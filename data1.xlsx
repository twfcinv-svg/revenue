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
    </mc:Choice>
  </mc:AlternateContent>
  <bookViews>
    <workbookView xWindow="0" yWindow="0" windowWidth="9340" windowHeight="4960" firstSheet="1" activeTab="3"/>
  </bookViews>
  <sheets>
    <sheet name="Revenue" sheetId="1" r:id="rId1"/>
    <sheet name="Links" sheetId="2" r:id="rId2"/>
    <sheet name="ChainNodes" sheetId="7" r:id="rId3"/>
    <sheet name="ChainLinks" sheetId="8" r:id="rId4"/>
    <sheet name="ChainStocks" sheetId="9" r:id="rId5"/>
    <sheet name="README" sheetId="3" r:id="rId6"/>
    <sheet name="營收表現" sheetId="5" r:id="rId7"/>
    <sheet name="類別" sheetId="6" r:id="rId8"/>
  </sheets>
  <definedNames>
    <definedName name="AUpdate">1</definedName>
    <definedName name="BUpdate">1</definedName>
    <definedName name="GUpdate">0</definedName>
    <definedName name="TUpdat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0" i="1" l="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69"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B38" i="1"/>
  <c r="C38" i="1"/>
  <c r="D38" i="1"/>
  <c r="E38" i="1"/>
  <c r="F38" i="1"/>
  <c r="G38" i="1"/>
  <c r="H38" i="1"/>
  <c r="I38" i="1"/>
  <c r="J38" i="1"/>
  <c r="K38" i="1"/>
  <c r="L38" i="1"/>
  <c r="M38" i="1"/>
  <c r="N38" i="1"/>
  <c r="B39" i="1"/>
  <c r="C39" i="1"/>
  <c r="D39" i="1"/>
  <c r="E39" i="1"/>
  <c r="F39" i="1"/>
  <c r="G39" i="1"/>
  <c r="H39" i="1"/>
  <c r="I39" i="1"/>
  <c r="J39" i="1"/>
  <c r="K39" i="1"/>
  <c r="L39" i="1"/>
  <c r="M39" i="1"/>
  <c r="N39" i="1"/>
  <c r="B40" i="1"/>
  <c r="C40" i="1"/>
  <c r="D40" i="1"/>
  <c r="E40" i="1"/>
  <c r="F40" i="1"/>
  <c r="G40" i="1"/>
  <c r="H40" i="1"/>
  <c r="I40" i="1"/>
  <c r="J40" i="1"/>
  <c r="K40" i="1"/>
  <c r="L40" i="1"/>
  <c r="M40" i="1"/>
  <c r="N40" i="1"/>
  <c r="B41" i="1"/>
  <c r="C41" i="1"/>
  <c r="D41" i="1"/>
  <c r="E41" i="1"/>
  <c r="F41" i="1"/>
  <c r="G41" i="1"/>
  <c r="H41" i="1"/>
  <c r="I41" i="1"/>
  <c r="J41" i="1"/>
  <c r="K41" i="1"/>
  <c r="L41" i="1"/>
  <c r="M41" i="1"/>
  <c r="N41" i="1"/>
  <c r="B42" i="1"/>
  <c r="C42" i="1"/>
  <c r="D42" i="1"/>
  <c r="E42" i="1"/>
  <c r="F42" i="1"/>
  <c r="G42" i="1"/>
  <c r="H42" i="1"/>
  <c r="I42" i="1"/>
  <c r="J42" i="1"/>
  <c r="K42" i="1"/>
  <c r="L42" i="1"/>
  <c r="M42" i="1"/>
  <c r="N42" i="1"/>
  <c r="B43" i="1"/>
  <c r="C43" i="1"/>
  <c r="D43" i="1"/>
  <c r="E43" i="1"/>
  <c r="F43" i="1"/>
  <c r="G43" i="1"/>
  <c r="H43" i="1"/>
  <c r="I43" i="1"/>
  <c r="J43" i="1"/>
  <c r="K43" i="1"/>
  <c r="L43" i="1"/>
  <c r="M43" i="1"/>
  <c r="N43" i="1"/>
  <c r="B44" i="1"/>
  <c r="C44" i="1"/>
  <c r="D44" i="1"/>
  <c r="E44" i="1"/>
  <c r="F44" i="1"/>
  <c r="G44" i="1"/>
  <c r="H44" i="1"/>
  <c r="I44" i="1"/>
  <c r="J44" i="1"/>
  <c r="K44" i="1"/>
  <c r="L44" i="1"/>
  <c r="M44" i="1"/>
  <c r="N44" i="1"/>
  <c r="B45" i="1"/>
  <c r="C45" i="1"/>
  <c r="D45" i="1"/>
  <c r="E45" i="1"/>
  <c r="F45" i="1"/>
  <c r="G45" i="1"/>
  <c r="H45" i="1"/>
  <c r="I45" i="1"/>
  <c r="J45" i="1"/>
  <c r="K45" i="1"/>
  <c r="L45" i="1"/>
  <c r="M45" i="1"/>
  <c r="N45" i="1"/>
  <c r="B46" i="1"/>
  <c r="C46" i="1"/>
  <c r="D46" i="1"/>
  <c r="E46" i="1"/>
  <c r="F46" i="1"/>
  <c r="G46" i="1"/>
  <c r="H46" i="1"/>
  <c r="I46" i="1"/>
  <c r="J46" i="1"/>
  <c r="K46" i="1"/>
  <c r="L46" i="1"/>
  <c r="M46" i="1"/>
  <c r="N46" i="1"/>
  <c r="B47" i="1"/>
  <c r="C47" i="1"/>
  <c r="D47" i="1"/>
  <c r="E47" i="1"/>
  <c r="F47" i="1"/>
  <c r="G47" i="1"/>
  <c r="H47" i="1"/>
  <c r="I47" i="1"/>
  <c r="J47" i="1"/>
  <c r="K47" i="1"/>
  <c r="L47" i="1"/>
  <c r="M47" i="1"/>
  <c r="N47" i="1"/>
  <c r="B48" i="1"/>
  <c r="C48" i="1"/>
  <c r="D48" i="1"/>
  <c r="E48" i="1"/>
  <c r="F48" i="1"/>
  <c r="G48" i="1"/>
  <c r="H48" i="1"/>
  <c r="I48" i="1"/>
  <c r="J48" i="1"/>
  <c r="K48" i="1"/>
  <c r="L48" i="1"/>
  <c r="M48" i="1"/>
  <c r="N48" i="1"/>
  <c r="B49" i="1"/>
  <c r="C49" i="1"/>
  <c r="D49" i="1"/>
  <c r="E49" i="1"/>
  <c r="F49" i="1"/>
  <c r="G49" i="1"/>
  <c r="H49" i="1"/>
  <c r="I49" i="1"/>
  <c r="J49" i="1"/>
  <c r="K49" i="1"/>
  <c r="L49" i="1"/>
  <c r="M49" i="1"/>
  <c r="N49" i="1"/>
  <c r="B50" i="1"/>
  <c r="C50" i="1"/>
  <c r="D50" i="1"/>
  <c r="E50" i="1"/>
  <c r="F50" i="1"/>
  <c r="G50" i="1"/>
  <c r="H50" i="1"/>
  <c r="I50" i="1"/>
  <c r="J50" i="1"/>
  <c r="K50" i="1"/>
  <c r="L50" i="1"/>
  <c r="M50" i="1"/>
  <c r="N50" i="1"/>
  <c r="B51" i="1"/>
  <c r="C51" i="1"/>
  <c r="D51" i="1"/>
  <c r="E51" i="1"/>
  <c r="F51" i="1"/>
  <c r="G51" i="1"/>
  <c r="H51" i="1"/>
  <c r="I51" i="1"/>
  <c r="J51" i="1"/>
  <c r="K51" i="1"/>
  <c r="L51" i="1"/>
  <c r="M51" i="1"/>
  <c r="N51" i="1"/>
  <c r="B52" i="1"/>
  <c r="C52" i="1"/>
  <c r="D52" i="1"/>
  <c r="E52" i="1"/>
  <c r="F52" i="1"/>
  <c r="G52" i="1"/>
  <c r="H52" i="1"/>
  <c r="I52" i="1"/>
  <c r="J52" i="1"/>
  <c r="K52" i="1"/>
  <c r="L52" i="1"/>
  <c r="M52" i="1"/>
  <c r="N52" i="1"/>
  <c r="B53" i="1"/>
  <c r="C53" i="1"/>
  <c r="D53" i="1"/>
  <c r="E53" i="1"/>
  <c r="F53" i="1"/>
  <c r="G53" i="1"/>
  <c r="H53" i="1"/>
  <c r="I53" i="1"/>
  <c r="J53" i="1"/>
  <c r="K53" i="1"/>
  <c r="L53" i="1"/>
  <c r="M53" i="1"/>
  <c r="N53" i="1"/>
  <c r="B54" i="1"/>
  <c r="C54" i="1"/>
  <c r="D54" i="1"/>
  <c r="E54" i="1"/>
  <c r="F54" i="1"/>
  <c r="G54" i="1"/>
  <c r="H54" i="1"/>
  <c r="I54" i="1"/>
  <c r="J54" i="1"/>
  <c r="K54" i="1"/>
  <c r="L54" i="1"/>
  <c r="M54" i="1"/>
  <c r="N54" i="1"/>
  <c r="B55" i="1"/>
  <c r="C55" i="1"/>
  <c r="D55" i="1"/>
  <c r="E55" i="1"/>
  <c r="F55" i="1"/>
  <c r="G55" i="1"/>
  <c r="H55" i="1"/>
  <c r="I55" i="1"/>
  <c r="J55" i="1"/>
  <c r="K55" i="1"/>
  <c r="L55" i="1"/>
  <c r="M55" i="1"/>
  <c r="N55" i="1"/>
  <c r="B56" i="1"/>
  <c r="C56" i="1"/>
  <c r="D56" i="1"/>
  <c r="E56" i="1"/>
  <c r="F56" i="1"/>
  <c r="G56" i="1"/>
  <c r="H56" i="1"/>
  <c r="I56" i="1"/>
  <c r="J56" i="1"/>
  <c r="K56" i="1"/>
  <c r="L56" i="1"/>
  <c r="M56" i="1"/>
  <c r="N56" i="1"/>
  <c r="B57" i="1"/>
  <c r="C57" i="1"/>
  <c r="D57" i="1"/>
  <c r="E57" i="1"/>
  <c r="F57" i="1"/>
  <c r="G57" i="1"/>
  <c r="H57" i="1"/>
  <c r="I57" i="1"/>
  <c r="J57" i="1"/>
  <c r="K57" i="1"/>
  <c r="L57" i="1"/>
  <c r="M57" i="1"/>
  <c r="N57" i="1"/>
  <c r="B58" i="1"/>
  <c r="C58" i="1"/>
  <c r="D58" i="1"/>
  <c r="E58" i="1"/>
  <c r="F58" i="1"/>
  <c r="G58" i="1"/>
  <c r="H58" i="1"/>
  <c r="I58" i="1"/>
  <c r="J58" i="1"/>
  <c r="K58" i="1"/>
  <c r="L58" i="1"/>
  <c r="M58" i="1"/>
  <c r="N58" i="1"/>
  <c r="B59" i="1"/>
  <c r="C59" i="1"/>
  <c r="D59" i="1"/>
  <c r="E59" i="1"/>
  <c r="F59" i="1"/>
  <c r="G59" i="1"/>
  <c r="H59" i="1"/>
  <c r="I59" i="1"/>
  <c r="J59" i="1"/>
  <c r="K59" i="1"/>
  <c r="L59" i="1"/>
  <c r="M59" i="1"/>
  <c r="N59" i="1"/>
  <c r="B60" i="1"/>
  <c r="C60" i="1"/>
  <c r="D60" i="1"/>
  <c r="E60" i="1"/>
  <c r="F60" i="1"/>
  <c r="G60" i="1"/>
  <c r="H60" i="1"/>
  <c r="I60" i="1"/>
  <c r="J60" i="1"/>
  <c r="K60" i="1"/>
  <c r="L60" i="1"/>
  <c r="M60" i="1"/>
  <c r="N60" i="1"/>
  <c r="B61" i="1"/>
  <c r="C61" i="1"/>
  <c r="D61" i="1"/>
  <c r="E61" i="1"/>
  <c r="F61" i="1"/>
  <c r="G61" i="1"/>
  <c r="H61" i="1"/>
  <c r="I61" i="1"/>
  <c r="J61" i="1"/>
  <c r="K61" i="1"/>
  <c r="L61" i="1"/>
  <c r="M61" i="1"/>
  <c r="N61" i="1"/>
  <c r="B62" i="1"/>
  <c r="C62" i="1"/>
  <c r="D62" i="1"/>
  <c r="E62" i="1"/>
  <c r="F62" i="1"/>
  <c r="G62" i="1"/>
  <c r="H62" i="1"/>
  <c r="I62" i="1"/>
  <c r="J62" i="1"/>
  <c r="K62" i="1"/>
  <c r="L62" i="1"/>
  <c r="M62" i="1"/>
  <c r="N62" i="1"/>
  <c r="B63" i="1"/>
  <c r="C63" i="1"/>
  <c r="D63" i="1"/>
  <c r="E63" i="1"/>
  <c r="F63" i="1"/>
  <c r="G63" i="1"/>
  <c r="H63" i="1"/>
  <c r="I63" i="1"/>
  <c r="J63" i="1"/>
  <c r="K63" i="1"/>
  <c r="L63" i="1"/>
  <c r="M63" i="1"/>
  <c r="N63" i="1"/>
  <c r="B64" i="1"/>
  <c r="C64" i="1"/>
  <c r="D64" i="1"/>
  <c r="E64" i="1"/>
  <c r="F64" i="1"/>
  <c r="G64" i="1"/>
  <c r="H64" i="1"/>
  <c r="I64" i="1"/>
  <c r="J64" i="1"/>
  <c r="K64" i="1"/>
  <c r="L64" i="1"/>
  <c r="M64" i="1"/>
  <c r="N64" i="1"/>
  <c r="B65" i="1"/>
  <c r="C65" i="1"/>
  <c r="D65" i="1"/>
  <c r="E65" i="1"/>
  <c r="F65" i="1"/>
  <c r="G65" i="1"/>
  <c r="H65" i="1"/>
  <c r="I65" i="1"/>
  <c r="J65" i="1"/>
  <c r="K65" i="1"/>
  <c r="L65" i="1"/>
  <c r="M65" i="1"/>
  <c r="N65" i="1"/>
  <c r="B66" i="1"/>
  <c r="C66" i="1"/>
  <c r="D66" i="1"/>
  <c r="E66" i="1"/>
  <c r="F66" i="1"/>
  <c r="G66" i="1"/>
  <c r="H66" i="1"/>
  <c r="I66" i="1"/>
  <c r="J66" i="1"/>
  <c r="K66" i="1"/>
  <c r="L66" i="1"/>
  <c r="M66" i="1"/>
  <c r="N66" i="1"/>
  <c r="B67" i="1"/>
  <c r="C67" i="1"/>
  <c r="D67" i="1"/>
  <c r="E67" i="1"/>
  <c r="F67" i="1"/>
  <c r="G67" i="1"/>
  <c r="H67" i="1"/>
  <c r="I67" i="1"/>
  <c r="J67" i="1"/>
  <c r="K67" i="1"/>
  <c r="L67" i="1"/>
  <c r="M67" i="1"/>
  <c r="N67" i="1"/>
  <c r="B68" i="1"/>
  <c r="C68" i="1"/>
  <c r="D68" i="1"/>
  <c r="E68" i="1"/>
  <c r="F68" i="1"/>
  <c r="G68" i="1"/>
  <c r="H68" i="1"/>
  <c r="I68" i="1"/>
  <c r="J68" i="1"/>
  <c r="K68" i="1"/>
  <c r="L68" i="1"/>
  <c r="M68" i="1"/>
  <c r="N68" i="1"/>
  <c r="B69" i="1"/>
  <c r="C69" i="1"/>
  <c r="D69" i="1"/>
  <c r="E69" i="1"/>
  <c r="F69" i="1"/>
  <c r="G69" i="1"/>
  <c r="H69" i="1"/>
  <c r="I69" i="1"/>
  <c r="J69" i="1"/>
  <c r="K69" i="1"/>
  <c r="L69" i="1"/>
  <c r="M69" i="1"/>
  <c r="N69" i="1"/>
  <c r="B70" i="1"/>
  <c r="C70" i="1"/>
  <c r="D70" i="1"/>
  <c r="E70" i="1"/>
  <c r="F70" i="1"/>
  <c r="G70" i="1"/>
  <c r="H70" i="1"/>
  <c r="I70" i="1"/>
  <c r="J70" i="1"/>
  <c r="K70" i="1"/>
  <c r="L70" i="1"/>
  <c r="M70" i="1"/>
  <c r="N70" i="1"/>
  <c r="B71" i="1"/>
  <c r="C71" i="1"/>
  <c r="D71" i="1"/>
  <c r="E71" i="1"/>
  <c r="F71" i="1"/>
  <c r="G71" i="1"/>
  <c r="H71" i="1"/>
  <c r="I71" i="1"/>
  <c r="J71" i="1"/>
  <c r="K71" i="1"/>
  <c r="L71" i="1"/>
  <c r="M71" i="1"/>
  <c r="N71" i="1"/>
  <c r="B72" i="1"/>
  <c r="C72" i="1"/>
  <c r="D72" i="1"/>
  <c r="E72" i="1"/>
  <c r="F72" i="1"/>
  <c r="G72" i="1"/>
  <c r="H72" i="1"/>
  <c r="I72" i="1"/>
  <c r="J72" i="1"/>
  <c r="K72" i="1"/>
  <c r="L72" i="1"/>
  <c r="M72" i="1"/>
  <c r="N72" i="1"/>
  <c r="B73" i="1"/>
  <c r="C73" i="1"/>
  <c r="D73" i="1"/>
  <c r="E73" i="1"/>
  <c r="F73" i="1"/>
  <c r="G73" i="1"/>
  <c r="H73" i="1"/>
  <c r="I73" i="1"/>
  <c r="J73" i="1"/>
  <c r="K73" i="1"/>
  <c r="L73" i="1"/>
  <c r="M73" i="1"/>
  <c r="N73" i="1"/>
  <c r="B74" i="1"/>
  <c r="C74" i="1"/>
  <c r="D74" i="1"/>
  <c r="E74" i="1"/>
  <c r="F74" i="1"/>
  <c r="G74" i="1"/>
  <c r="H74" i="1"/>
  <c r="I74" i="1"/>
  <c r="J74" i="1"/>
  <c r="K74" i="1"/>
  <c r="L74" i="1"/>
  <c r="M74" i="1"/>
  <c r="N74" i="1"/>
  <c r="B75" i="1"/>
  <c r="C75" i="1"/>
  <c r="D75" i="1"/>
  <c r="E75" i="1"/>
  <c r="F75" i="1"/>
  <c r="G75" i="1"/>
  <c r="H75" i="1"/>
  <c r="I75" i="1"/>
  <c r="J75" i="1"/>
  <c r="K75" i="1"/>
  <c r="L75" i="1"/>
  <c r="M75" i="1"/>
  <c r="N75" i="1"/>
  <c r="B76" i="1"/>
  <c r="C76" i="1"/>
  <c r="D76" i="1"/>
  <c r="E76" i="1"/>
  <c r="F76" i="1"/>
  <c r="G76" i="1"/>
  <c r="H76" i="1"/>
  <c r="I76" i="1"/>
  <c r="J76" i="1"/>
  <c r="K76" i="1"/>
  <c r="L76" i="1"/>
  <c r="M76" i="1"/>
  <c r="N76" i="1"/>
  <c r="B77" i="1"/>
  <c r="C77" i="1"/>
  <c r="D77" i="1"/>
  <c r="E77" i="1"/>
  <c r="F77" i="1"/>
  <c r="G77" i="1"/>
  <c r="H77" i="1"/>
  <c r="I77" i="1"/>
  <c r="J77" i="1"/>
  <c r="K77" i="1"/>
  <c r="L77" i="1"/>
  <c r="M77" i="1"/>
  <c r="N77" i="1"/>
  <c r="B78" i="1"/>
  <c r="C78" i="1"/>
  <c r="D78" i="1"/>
  <c r="E78" i="1"/>
  <c r="F78" i="1"/>
  <c r="G78" i="1"/>
  <c r="H78" i="1"/>
  <c r="I78" i="1"/>
  <c r="J78" i="1"/>
  <c r="K78" i="1"/>
  <c r="L78" i="1"/>
  <c r="M78" i="1"/>
  <c r="N78" i="1"/>
  <c r="B79" i="1"/>
  <c r="C79" i="1"/>
  <c r="D79" i="1"/>
  <c r="E79" i="1"/>
  <c r="F79" i="1"/>
  <c r="G79" i="1"/>
  <c r="H79" i="1"/>
  <c r="I79" i="1"/>
  <c r="J79" i="1"/>
  <c r="K79" i="1"/>
  <c r="L79" i="1"/>
  <c r="M79" i="1"/>
  <c r="N79" i="1"/>
  <c r="B80" i="1"/>
  <c r="C80" i="1"/>
  <c r="D80" i="1"/>
  <c r="E80" i="1"/>
  <c r="F80" i="1"/>
  <c r="G80" i="1"/>
  <c r="H80" i="1"/>
  <c r="I80" i="1"/>
  <c r="J80" i="1"/>
  <c r="K80" i="1"/>
  <c r="L80" i="1"/>
  <c r="M80" i="1"/>
  <c r="N80" i="1"/>
  <c r="B81" i="1"/>
  <c r="C81" i="1"/>
  <c r="D81" i="1"/>
  <c r="E81" i="1"/>
  <c r="F81" i="1"/>
  <c r="G81" i="1"/>
  <c r="H81" i="1"/>
  <c r="I81" i="1"/>
  <c r="J81" i="1"/>
  <c r="K81" i="1"/>
  <c r="L81" i="1"/>
  <c r="M81" i="1"/>
  <c r="N81" i="1"/>
  <c r="B82" i="1"/>
  <c r="C82" i="1"/>
  <c r="D82" i="1"/>
  <c r="E82" i="1"/>
  <c r="F82" i="1"/>
  <c r="G82" i="1"/>
  <c r="H82" i="1"/>
  <c r="I82" i="1"/>
  <c r="J82" i="1"/>
  <c r="K82" i="1"/>
  <c r="L82" i="1"/>
  <c r="M82" i="1"/>
  <c r="N82" i="1"/>
  <c r="B83" i="1"/>
  <c r="C83" i="1"/>
  <c r="D83" i="1"/>
  <c r="E83" i="1"/>
  <c r="F83" i="1"/>
  <c r="G83" i="1"/>
  <c r="H83" i="1"/>
  <c r="I83" i="1"/>
  <c r="J83" i="1"/>
  <c r="K83" i="1"/>
  <c r="L83" i="1"/>
  <c r="M83" i="1"/>
  <c r="N83" i="1"/>
  <c r="B84" i="1"/>
  <c r="C84" i="1"/>
  <c r="D84" i="1"/>
  <c r="E84" i="1"/>
  <c r="F84" i="1"/>
  <c r="G84" i="1"/>
  <c r="H84" i="1"/>
  <c r="I84" i="1"/>
  <c r="J84" i="1"/>
  <c r="K84" i="1"/>
  <c r="L84" i="1"/>
  <c r="M84" i="1"/>
  <c r="N84" i="1"/>
  <c r="B85" i="1"/>
  <c r="C85" i="1"/>
  <c r="D85" i="1"/>
  <c r="E85" i="1"/>
  <c r="F85" i="1"/>
  <c r="G85" i="1"/>
  <c r="H85" i="1"/>
  <c r="I85" i="1"/>
  <c r="J85" i="1"/>
  <c r="K85" i="1"/>
  <c r="L85" i="1"/>
  <c r="M85" i="1"/>
  <c r="N85" i="1"/>
  <c r="B86" i="1"/>
  <c r="C86" i="1"/>
  <c r="D86" i="1"/>
  <c r="E86" i="1"/>
  <c r="F86" i="1"/>
  <c r="G86" i="1"/>
  <c r="H86" i="1"/>
  <c r="I86" i="1"/>
  <c r="J86" i="1"/>
  <c r="K86" i="1"/>
  <c r="L86" i="1"/>
  <c r="M86" i="1"/>
  <c r="N86" i="1"/>
  <c r="B87" i="1"/>
  <c r="C87" i="1"/>
  <c r="D87" i="1"/>
  <c r="E87" i="1"/>
  <c r="F87" i="1"/>
  <c r="G87" i="1"/>
  <c r="H87" i="1"/>
  <c r="I87" i="1"/>
  <c r="J87" i="1"/>
  <c r="K87" i="1"/>
  <c r="L87" i="1"/>
  <c r="M87" i="1"/>
  <c r="N87" i="1"/>
  <c r="B88" i="1"/>
  <c r="C88" i="1"/>
  <c r="D88" i="1"/>
  <c r="E88" i="1"/>
  <c r="F88" i="1"/>
  <c r="G88" i="1"/>
  <c r="H88" i="1"/>
  <c r="I88" i="1"/>
  <c r="J88" i="1"/>
  <c r="K88" i="1"/>
  <c r="L88" i="1"/>
  <c r="M88" i="1"/>
  <c r="N88" i="1"/>
  <c r="B89" i="1"/>
  <c r="C89" i="1"/>
  <c r="D89" i="1"/>
  <c r="E89" i="1"/>
  <c r="F89" i="1"/>
  <c r="G89" i="1"/>
  <c r="H89" i="1"/>
  <c r="I89" i="1"/>
  <c r="J89" i="1"/>
  <c r="K89" i="1"/>
  <c r="L89" i="1"/>
  <c r="M89" i="1"/>
  <c r="N89" i="1"/>
  <c r="B90" i="1"/>
  <c r="C90" i="1"/>
  <c r="D90" i="1"/>
  <c r="E90" i="1"/>
  <c r="F90" i="1"/>
  <c r="G90" i="1"/>
  <c r="H90" i="1"/>
  <c r="I90" i="1"/>
  <c r="J90" i="1"/>
  <c r="K90" i="1"/>
  <c r="L90" i="1"/>
  <c r="M90" i="1"/>
  <c r="N90" i="1"/>
  <c r="B91" i="1"/>
  <c r="C91" i="1"/>
  <c r="D91" i="1"/>
  <c r="E91" i="1"/>
  <c r="F91" i="1"/>
  <c r="G91" i="1"/>
  <c r="H91" i="1"/>
  <c r="I91" i="1"/>
  <c r="J91" i="1"/>
  <c r="K91" i="1"/>
  <c r="L91" i="1"/>
  <c r="M91" i="1"/>
  <c r="N91" i="1"/>
  <c r="B92" i="1"/>
  <c r="C92" i="1"/>
  <c r="D92" i="1"/>
  <c r="E92" i="1"/>
  <c r="F92" i="1"/>
  <c r="G92" i="1"/>
  <c r="H92" i="1"/>
  <c r="I92" i="1"/>
  <c r="J92" i="1"/>
  <c r="K92" i="1"/>
  <c r="L92" i="1"/>
  <c r="M92" i="1"/>
  <c r="N92" i="1"/>
  <c r="B93" i="1"/>
  <c r="C93" i="1"/>
  <c r="D93" i="1"/>
  <c r="E93" i="1"/>
  <c r="F93" i="1"/>
  <c r="G93" i="1"/>
  <c r="H93" i="1"/>
  <c r="I93" i="1"/>
  <c r="J93" i="1"/>
  <c r="K93" i="1"/>
  <c r="L93" i="1"/>
  <c r="M93" i="1"/>
  <c r="N93" i="1"/>
  <c r="B94" i="1"/>
  <c r="C94" i="1"/>
  <c r="D94" i="1"/>
  <c r="E94" i="1"/>
  <c r="F94" i="1"/>
  <c r="G94" i="1"/>
  <c r="H94" i="1"/>
  <c r="I94" i="1"/>
  <c r="J94" i="1"/>
  <c r="K94" i="1"/>
  <c r="L94" i="1"/>
  <c r="M94" i="1"/>
  <c r="N94" i="1"/>
  <c r="B95" i="1"/>
  <c r="C95" i="1"/>
  <c r="D95" i="1"/>
  <c r="E95" i="1"/>
  <c r="F95" i="1"/>
  <c r="G95" i="1"/>
  <c r="H95" i="1"/>
  <c r="I95" i="1"/>
  <c r="J95" i="1"/>
  <c r="K95" i="1"/>
  <c r="L95" i="1"/>
  <c r="M95" i="1"/>
  <c r="N95" i="1"/>
  <c r="B96" i="1"/>
  <c r="C96" i="1"/>
  <c r="D96" i="1"/>
  <c r="E96" i="1"/>
  <c r="F96" i="1"/>
  <c r="G96" i="1"/>
  <c r="H96" i="1"/>
  <c r="I96" i="1"/>
  <c r="J96" i="1"/>
  <c r="K96" i="1"/>
  <c r="L96" i="1"/>
  <c r="M96" i="1"/>
  <c r="N96" i="1"/>
  <c r="B97" i="1"/>
  <c r="C97" i="1"/>
  <c r="D97" i="1"/>
  <c r="E97" i="1"/>
  <c r="F97" i="1"/>
  <c r="G97" i="1"/>
  <c r="H97" i="1"/>
  <c r="I97" i="1"/>
  <c r="J97" i="1"/>
  <c r="K97" i="1"/>
  <c r="L97" i="1"/>
  <c r="M97" i="1"/>
  <c r="N97" i="1"/>
  <c r="B98" i="1"/>
  <c r="C98" i="1"/>
  <c r="D98" i="1"/>
  <c r="E98" i="1"/>
  <c r="F98" i="1"/>
  <c r="G98" i="1"/>
  <c r="H98" i="1"/>
  <c r="I98" i="1"/>
  <c r="J98" i="1"/>
  <c r="K98" i="1"/>
  <c r="L98" i="1"/>
  <c r="M98" i="1"/>
  <c r="N98" i="1"/>
  <c r="B99" i="1"/>
  <c r="C99" i="1"/>
  <c r="D99" i="1"/>
  <c r="E99" i="1"/>
  <c r="F99" i="1"/>
  <c r="G99" i="1"/>
  <c r="H99" i="1"/>
  <c r="I99" i="1"/>
  <c r="J99" i="1"/>
  <c r="K99" i="1"/>
  <c r="L99" i="1"/>
  <c r="M99" i="1"/>
  <c r="N99" i="1"/>
  <c r="B100" i="1"/>
  <c r="C100" i="1"/>
  <c r="D100" i="1"/>
  <c r="E100" i="1"/>
  <c r="F100" i="1"/>
  <c r="G100" i="1"/>
  <c r="H100" i="1"/>
  <c r="I100" i="1"/>
  <c r="J100" i="1"/>
  <c r="K100" i="1"/>
  <c r="L100" i="1"/>
  <c r="M100" i="1"/>
  <c r="N100" i="1"/>
  <c r="B101" i="1"/>
  <c r="C101" i="1"/>
  <c r="D101" i="1"/>
  <c r="E101" i="1"/>
  <c r="F101" i="1"/>
  <c r="G101" i="1"/>
  <c r="H101" i="1"/>
  <c r="I101" i="1"/>
  <c r="J101" i="1"/>
  <c r="K101" i="1"/>
  <c r="L101" i="1"/>
  <c r="M101" i="1"/>
  <c r="N101" i="1"/>
  <c r="B102" i="1"/>
  <c r="C102" i="1"/>
  <c r="D102" i="1"/>
  <c r="E102" i="1"/>
  <c r="F102" i="1"/>
  <c r="G102" i="1"/>
  <c r="H102" i="1"/>
  <c r="I102" i="1"/>
  <c r="J102" i="1"/>
  <c r="K102" i="1"/>
  <c r="L102" i="1"/>
  <c r="M102" i="1"/>
  <c r="N102" i="1"/>
  <c r="B103" i="1"/>
  <c r="C103" i="1"/>
  <c r="D103" i="1"/>
  <c r="E103" i="1"/>
  <c r="F103" i="1"/>
  <c r="G103" i="1"/>
  <c r="H103" i="1"/>
  <c r="I103" i="1"/>
  <c r="J103" i="1"/>
  <c r="K103" i="1"/>
  <c r="L103" i="1"/>
  <c r="M103" i="1"/>
  <c r="N103" i="1"/>
  <c r="B104" i="1"/>
  <c r="C104" i="1"/>
  <c r="D104" i="1"/>
  <c r="E104" i="1"/>
  <c r="F104" i="1"/>
  <c r="G104" i="1"/>
  <c r="H104" i="1"/>
  <c r="I104" i="1"/>
  <c r="J104" i="1"/>
  <c r="K104" i="1"/>
  <c r="L104" i="1"/>
  <c r="M104" i="1"/>
  <c r="N104" i="1"/>
  <c r="B105" i="1"/>
  <c r="C105" i="1"/>
  <c r="D105" i="1"/>
  <c r="E105" i="1"/>
  <c r="F105" i="1"/>
  <c r="G105" i="1"/>
  <c r="H105" i="1"/>
  <c r="I105" i="1"/>
  <c r="J105" i="1"/>
  <c r="K105" i="1"/>
  <c r="L105" i="1"/>
  <c r="M105" i="1"/>
  <c r="N105" i="1"/>
  <c r="B106" i="1"/>
  <c r="C106" i="1"/>
  <c r="D106" i="1"/>
  <c r="E106" i="1"/>
  <c r="F106" i="1"/>
  <c r="G106" i="1"/>
  <c r="H106" i="1"/>
  <c r="I106" i="1"/>
  <c r="J106" i="1"/>
  <c r="K106" i="1"/>
  <c r="L106" i="1"/>
  <c r="M106" i="1"/>
  <c r="N106" i="1"/>
  <c r="B107" i="1"/>
  <c r="C107" i="1"/>
  <c r="D107" i="1"/>
  <c r="E107" i="1"/>
  <c r="F107" i="1"/>
  <c r="G107" i="1"/>
  <c r="H107" i="1"/>
  <c r="I107" i="1"/>
  <c r="J107" i="1"/>
  <c r="K107" i="1"/>
  <c r="L107" i="1"/>
  <c r="M107" i="1"/>
  <c r="N107" i="1"/>
  <c r="B108" i="1"/>
  <c r="C108" i="1"/>
  <c r="D108" i="1"/>
  <c r="E108" i="1"/>
  <c r="F108" i="1"/>
  <c r="G108" i="1"/>
  <c r="H108" i="1"/>
  <c r="I108" i="1"/>
  <c r="J108" i="1"/>
  <c r="K108" i="1"/>
  <c r="L108" i="1"/>
  <c r="M108" i="1"/>
  <c r="N108" i="1"/>
  <c r="B109" i="1"/>
  <c r="C109" i="1"/>
  <c r="D109" i="1"/>
  <c r="E109" i="1"/>
  <c r="F109" i="1"/>
  <c r="G109" i="1"/>
  <c r="H109" i="1"/>
  <c r="I109" i="1"/>
  <c r="J109" i="1"/>
  <c r="K109" i="1"/>
  <c r="L109" i="1"/>
  <c r="M109" i="1"/>
  <c r="N109" i="1"/>
  <c r="B110" i="1"/>
  <c r="C110" i="1"/>
  <c r="D110" i="1"/>
  <c r="E110" i="1"/>
  <c r="F110" i="1"/>
  <c r="G110" i="1"/>
  <c r="H110" i="1"/>
  <c r="I110" i="1"/>
  <c r="J110" i="1"/>
  <c r="K110" i="1"/>
  <c r="L110" i="1"/>
  <c r="M110" i="1"/>
  <c r="N110" i="1"/>
  <c r="B111" i="1"/>
  <c r="C111" i="1"/>
  <c r="D111" i="1"/>
  <c r="E111" i="1"/>
  <c r="F111" i="1"/>
  <c r="G111" i="1"/>
  <c r="H111" i="1"/>
  <c r="I111" i="1"/>
  <c r="J111" i="1"/>
  <c r="K111" i="1"/>
  <c r="L111" i="1"/>
  <c r="M111" i="1"/>
  <c r="N111" i="1"/>
  <c r="B112" i="1"/>
  <c r="C112" i="1"/>
  <c r="D112" i="1"/>
  <c r="E112" i="1"/>
  <c r="F112" i="1"/>
  <c r="G112" i="1"/>
  <c r="H112" i="1"/>
  <c r="I112" i="1"/>
  <c r="J112" i="1"/>
  <c r="K112" i="1"/>
  <c r="L112" i="1"/>
  <c r="M112" i="1"/>
  <c r="N112" i="1"/>
  <c r="B113" i="1"/>
  <c r="C113" i="1"/>
  <c r="D113" i="1"/>
  <c r="E113" i="1"/>
  <c r="F113" i="1"/>
  <c r="G113" i="1"/>
  <c r="H113" i="1"/>
  <c r="I113" i="1"/>
  <c r="J113" i="1"/>
  <c r="K113" i="1"/>
  <c r="L113" i="1"/>
  <c r="M113" i="1"/>
  <c r="N113" i="1"/>
  <c r="B114" i="1"/>
  <c r="C114" i="1"/>
  <c r="D114" i="1"/>
  <c r="E114" i="1"/>
  <c r="F114" i="1"/>
  <c r="G114" i="1"/>
  <c r="H114" i="1"/>
  <c r="I114" i="1"/>
  <c r="J114" i="1"/>
  <c r="K114" i="1"/>
  <c r="L114" i="1"/>
  <c r="M114" i="1"/>
  <c r="N114" i="1"/>
  <c r="B115" i="1"/>
  <c r="C115" i="1"/>
  <c r="D115" i="1"/>
  <c r="E115" i="1"/>
  <c r="F115" i="1"/>
  <c r="G115" i="1"/>
  <c r="H115" i="1"/>
  <c r="I115" i="1"/>
  <c r="J115" i="1"/>
  <c r="K115" i="1"/>
  <c r="L115" i="1"/>
  <c r="M115" i="1"/>
  <c r="N115" i="1"/>
  <c r="B116" i="1"/>
  <c r="C116" i="1"/>
  <c r="D116" i="1"/>
  <c r="E116" i="1"/>
  <c r="F116" i="1"/>
  <c r="G116" i="1"/>
  <c r="H116" i="1"/>
  <c r="I116" i="1"/>
  <c r="J116" i="1"/>
  <c r="K116" i="1"/>
  <c r="L116" i="1"/>
  <c r="M116" i="1"/>
  <c r="N116" i="1"/>
  <c r="B117" i="1"/>
  <c r="C117" i="1"/>
  <c r="D117" i="1"/>
  <c r="E117" i="1"/>
  <c r="F117" i="1"/>
  <c r="G117" i="1"/>
  <c r="H117" i="1"/>
  <c r="I117" i="1"/>
  <c r="J117" i="1"/>
  <c r="K117" i="1"/>
  <c r="L117" i="1"/>
  <c r="M117" i="1"/>
  <c r="N117" i="1"/>
  <c r="B118" i="1"/>
  <c r="C118" i="1"/>
  <c r="D118" i="1"/>
  <c r="E118" i="1"/>
  <c r="F118" i="1"/>
  <c r="G118" i="1"/>
  <c r="H118" i="1"/>
  <c r="I118" i="1"/>
  <c r="J118" i="1"/>
  <c r="K118" i="1"/>
  <c r="L118" i="1"/>
  <c r="M118" i="1"/>
  <c r="N118" i="1"/>
  <c r="B119" i="1"/>
  <c r="C119" i="1"/>
  <c r="D119" i="1"/>
  <c r="E119" i="1"/>
  <c r="F119" i="1"/>
  <c r="G119" i="1"/>
  <c r="H119" i="1"/>
  <c r="I119" i="1"/>
  <c r="J119" i="1"/>
  <c r="K119" i="1"/>
  <c r="L119" i="1"/>
  <c r="M119" i="1"/>
  <c r="N119" i="1"/>
  <c r="B120" i="1"/>
  <c r="C120" i="1"/>
  <c r="D120" i="1"/>
  <c r="E120" i="1"/>
  <c r="F120" i="1"/>
  <c r="G120" i="1"/>
  <c r="H120" i="1"/>
  <c r="I120" i="1"/>
  <c r="J120" i="1"/>
  <c r="K120" i="1"/>
  <c r="L120" i="1"/>
  <c r="M120" i="1"/>
  <c r="N120" i="1"/>
  <c r="B121" i="1"/>
  <c r="C121" i="1"/>
  <c r="D121" i="1"/>
  <c r="E121" i="1"/>
  <c r="F121" i="1"/>
  <c r="G121" i="1"/>
  <c r="H121" i="1"/>
  <c r="I121" i="1"/>
  <c r="J121" i="1"/>
  <c r="K121" i="1"/>
  <c r="L121" i="1"/>
  <c r="M121" i="1"/>
  <c r="N121" i="1"/>
  <c r="B122" i="1"/>
  <c r="C122" i="1"/>
  <c r="D122" i="1"/>
  <c r="E122" i="1"/>
  <c r="F122" i="1"/>
  <c r="G122" i="1"/>
  <c r="H122" i="1"/>
  <c r="I122" i="1"/>
  <c r="J122" i="1"/>
  <c r="K122" i="1"/>
  <c r="L122" i="1"/>
  <c r="M122" i="1"/>
  <c r="N122" i="1"/>
  <c r="B123" i="1"/>
  <c r="C123" i="1"/>
  <c r="D123" i="1"/>
  <c r="E123" i="1"/>
  <c r="F123" i="1"/>
  <c r="G123" i="1"/>
  <c r="H123" i="1"/>
  <c r="I123" i="1"/>
  <c r="J123" i="1"/>
  <c r="K123" i="1"/>
  <c r="L123" i="1"/>
  <c r="M123" i="1"/>
  <c r="N123" i="1"/>
  <c r="B124" i="1"/>
  <c r="C124" i="1"/>
  <c r="D124" i="1"/>
  <c r="E124" i="1"/>
  <c r="F124" i="1"/>
  <c r="G124" i="1"/>
  <c r="H124" i="1"/>
  <c r="I124" i="1"/>
  <c r="J124" i="1"/>
  <c r="K124" i="1"/>
  <c r="L124" i="1"/>
  <c r="M124" i="1"/>
  <c r="N124" i="1"/>
  <c r="B125" i="1"/>
  <c r="C125" i="1"/>
  <c r="D125" i="1"/>
  <c r="E125" i="1"/>
  <c r="F125" i="1"/>
  <c r="G125" i="1"/>
  <c r="H125" i="1"/>
  <c r="I125" i="1"/>
  <c r="J125" i="1"/>
  <c r="K125" i="1"/>
  <c r="L125" i="1"/>
  <c r="M125" i="1"/>
  <c r="N125" i="1"/>
  <c r="B126" i="1"/>
  <c r="C126" i="1"/>
  <c r="D126" i="1"/>
  <c r="E126" i="1"/>
  <c r="F126" i="1"/>
  <c r="G126" i="1"/>
  <c r="H126" i="1"/>
  <c r="I126" i="1"/>
  <c r="J126" i="1"/>
  <c r="K126" i="1"/>
  <c r="L126" i="1"/>
  <c r="M126" i="1"/>
  <c r="N126" i="1"/>
  <c r="B127" i="1"/>
  <c r="C127" i="1"/>
  <c r="D127" i="1"/>
  <c r="E127" i="1"/>
  <c r="F127" i="1"/>
  <c r="G127" i="1"/>
  <c r="H127" i="1"/>
  <c r="I127" i="1"/>
  <c r="J127" i="1"/>
  <c r="K127" i="1"/>
  <c r="L127" i="1"/>
  <c r="M127" i="1"/>
  <c r="N127" i="1"/>
  <c r="B128" i="1"/>
  <c r="C128" i="1"/>
  <c r="D128" i="1"/>
  <c r="E128" i="1"/>
  <c r="F128" i="1"/>
  <c r="G128" i="1"/>
  <c r="H128" i="1"/>
  <c r="I128" i="1"/>
  <c r="J128" i="1"/>
  <c r="K128" i="1"/>
  <c r="L128" i="1"/>
  <c r="M128" i="1"/>
  <c r="N128" i="1"/>
  <c r="B129" i="1"/>
  <c r="C129" i="1"/>
  <c r="D129" i="1"/>
  <c r="E129" i="1"/>
  <c r="F129" i="1"/>
  <c r="G129" i="1"/>
  <c r="H129" i="1"/>
  <c r="I129" i="1"/>
  <c r="J129" i="1"/>
  <c r="K129" i="1"/>
  <c r="L129" i="1"/>
  <c r="M129" i="1"/>
  <c r="N129" i="1"/>
  <c r="B130" i="1"/>
  <c r="C130" i="1"/>
  <c r="D130" i="1"/>
  <c r="E130" i="1"/>
  <c r="F130" i="1"/>
  <c r="G130" i="1"/>
  <c r="H130" i="1"/>
  <c r="I130" i="1"/>
  <c r="J130" i="1"/>
  <c r="K130" i="1"/>
  <c r="L130" i="1"/>
  <c r="M130" i="1"/>
  <c r="N130" i="1"/>
  <c r="B131" i="1"/>
  <c r="C131" i="1"/>
  <c r="D131" i="1"/>
  <c r="E131" i="1"/>
  <c r="F131" i="1"/>
  <c r="G131" i="1"/>
  <c r="H131" i="1"/>
  <c r="I131" i="1"/>
  <c r="J131" i="1"/>
  <c r="K131" i="1"/>
  <c r="L131" i="1"/>
  <c r="M131" i="1"/>
  <c r="N131" i="1"/>
  <c r="B132" i="1"/>
  <c r="C132" i="1"/>
  <c r="D132" i="1"/>
  <c r="E132" i="1"/>
  <c r="F132" i="1"/>
  <c r="G132" i="1"/>
  <c r="H132" i="1"/>
  <c r="I132" i="1"/>
  <c r="J132" i="1"/>
  <c r="K132" i="1"/>
  <c r="L132" i="1"/>
  <c r="M132" i="1"/>
  <c r="N132" i="1"/>
  <c r="B133" i="1"/>
  <c r="C133" i="1"/>
  <c r="D133" i="1"/>
  <c r="E133" i="1"/>
  <c r="F133" i="1"/>
  <c r="G133" i="1"/>
  <c r="H133" i="1"/>
  <c r="I133" i="1"/>
  <c r="J133" i="1"/>
  <c r="K133" i="1"/>
  <c r="L133" i="1"/>
  <c r="M133" i="1"/>
  <c r="N133" i="1"/>
  <c r="B134" i="1"/>
  <c r="C134" i="1"/>
  <c r="D134" i="1"/>
  <c r="E134" i="1"/>
  <c r="F134" i="1"/>
  <c r="G134" i="1"/>
  <c r="H134" i="1"/>
  <c r="I134" i="1"/>
  <c r="J134" i="1"/>
  <c r="K134" i="1"/>
  <c r="L134" i="1"/>
  <c r="M134" i="1"/>
  <c r="N134" i="1"/>
  <c r="B135" i="1"/>
  <c r="C135" i="1"/>
  <c r="D135" i="1"/>
  <c r="E135" i="1"/>
  <c r="F135" i="1"/>
  <c r="G135" i="1"/>
  <c r="H135" i="1"/>
  <c r="I135" i="1"/>
  <c r="J135" i="1"/>
  <c r="K135" i="1"/>
  <c r="L135" i="1"/>
  <c r="M135" i="1"/>
  <c r="N135" i="1"/>
  <c r="B136" i="1"/>
  <c r="C136" i="1"/>
  <c r="D136" i="1"/>
  <c r="E136" i="1"/>
  <c r="F136" i="1"/>
  <c r="G136" i="1"/>
  <c r="H136" i="1"/>
  <c r="I136" i="1"/>
  <c r="J136" i="1"/>
  <c r="K136" i="1"/>
  <c r="L136" i="1"/>
  <c r="M136" i="1"/>
  <c r="N136" i="1"/>
  <c r="B137" i="1"/>
  <c r="C137" i="1"/>
  <c r="D137" i="1"/>
  <c r="E137" i="1"/>
  <c r="F137" i="1"/>
  <c r="G137" i="1"/>
  <c r="H137" i="1"/>
  <c r="I137" i="1"/>
  <c r="J137" i="1"/>
  <c r="K137" i="1"/>
  <c r="L137" i="1"/>
  <c r="M137" i="1"/>
  <c r="N137" i="1"/>
  <c r="B138" i="1"/>
  <c r="C138" i="1"/>
  <c r="D138" i="1"/>
  <c r="E138" i="1"/>
  <c r="F138" i="1"/>
  <c r="G138" i="1"/>
  <c r="H138" i="1"/>
  <c r="I138" i="1"/>
  <c r="J138" i="1"/>
  <c r="K138" i="1"/>
  <c r="L138" i="1"/>
  <c r="M138" i="1"/>
  <c r="N138" i="1"/>
  <c r="B139" i="1"/>
  <c r="C139" i="1"/>
  <c r="D139" i="1"/>
  <c r="E139" i="1"/>
  <c r="F139" i="1"/>
  <c r="G139" i="1"/>
  <c r="H139" i="1"/>
  <c r="I139" i="1"/>
  <c r="J139" i="1"/>
  <c r="K139" i="1"/>
  <c r="L139" i="1"/>
  <c r="M139" i="1"/>
  <c r="N139" i="1"/>
  <c r="B140" i="1"/>
  <c r="C140" i="1"/>
  <c r="D140" i="1"/>
  <c r="E140" i="1"/>
  <c r="F140" i="1"/>
  <c r="G140" i="1"/>
  <c r="H140" i="1"/>
  <c r="I140" i="1"/>
  <c r="J140" i="1"/>
  <c r="K140" i="1"/>
  <c r="L140" i="1"/>
  <c r="M140" i="1"/>
  <c r="N140" i="1"/>
  <c r="B141" i="1"/>
  <c r="C141" i="1"/>
  <c r="D141" i="1"/>
  <c r="E141" i="1"/>
  <c r="F141" i="1"/>
  <c r="G141" i="1"/>
  <c r="H141" i="1"/>
  <c r="I141" i="1"/>
  <c r="J141" i="1"/>
  <c r="K141" i="1"/>
  <c r="L141" i="1"/>
  <c r="M141" i="1"/>
  <c r="N141" i="1"/>
  <c r="B142" i="1"/>
  <c r="C142" i="1"/>
  <c r="D142" i="1"/>
  <c r="E142" i="1"/>
  <c r="F142" i="1"/>
  <c r="G142" i="1"/>
  <c r="H142" i="1"/>
  <c r="I142" i="1"/>
  <c r="J142" i="1"/>
  <c r="K142" i="1"/>
  <c r="L142" i="1"/>
  <c r="M142" i="1"/>
  <c r="N142" i="1"/>
  <c r="B143" i="1"/>
  <c r="C143" i="1"/>
  <c r="D143" i="1"/>
  <c r="E143" i="1"/>
  <c r="F143" i="1"/>
  <c r="G143" i="1"/>
  <c r="H143" i="1"/>
  <c r="I143" i="1"/>
  <c r="J143" i="1"/>
  <c r="K143" i="1"/>
  <c r="L143" i="1"/>
  <c r="M143" i="1"/>
  <c r="N143" i="1"/>
  <c r="B144" i="1"/>
  <c r="C144" i="1"/>
  <c r="D144" i="1"/>
  <c r="E144" i="1"/>
  <c r="F144" i="1"/>
  <c r="G144" i="1"/>
  <c r="H144" i="1"/>
  <c r="I144" i="1"/>
  <c r="J144" i="1"/>
  <c r="K144" i="1"/>
  <c r="L144" i="1"/>
  <c r="M144" i="1"/>
  <c r="N144" i="1"/>
  <c r="B145" i="1"/>
  <c r="C145" i="1"/>
  <c r="D145" i="1"/>
  <c r="E145" i="1"/>
  <c r="F145" i="1"/>
  <c r="G145" i="1"/>
  <c r="H145" i="1"/>
  <c r="I145" i="1"/>
  <c r="J145" i="1"/>
  <c r="K145" i="1"/>
  <c r="L145" i="1"/>
  <c r="M145" i="1"/>
  <c r="N145" i="1"/>
  <c r="B146" i="1"/>
  <c r="C146" i="1"/>
  <c r="D146" i="1"/>
  <c r="E146" i="1"/>
  <c r="F146" i="1"/>
  <c r="G146" i="1"/>
  <c r="H146" i="1"/>
  <c r="I146" i="1"/>
  <c r="J146" i="1"/>
  <c r="K146" i="1"/>
  <c r="L146" i="1"/>
  <c r="M146" i="1"/>
  <c r="N146" i="1"/>
  <c r="B147" i="1"/>
  <c r="C147" i="1"/>
  <c r="D147" i="1"/>
  <c r="E147" i="1"/>
  <c r="F147" i="1"/>
  <c r="G147" i="1"/>
  <c r="H147" i="1"/>
  <c r="I147" i="1"/>
  <c r="J147" i="1"/>
  <c r="K147" i="1"/>
  <c r="L147" i="1"/>
  <c r="M147" i="1"/>
  <c r="N147" i="1"/>
  <c r="B148" i="1"/>
  <c r="C148" i="1"/>
  <c r="D148" i="1"/>
  <c r="E148" i="1"/>
  <c r="F148" i="1"/>
  <c r="G148" i="1"/>
  <c r="H148" i="1"/>
  <c r="I148" i="1"/>
  <c r="J148" i="1"/>
  <c r="K148" i="1"/>
  <c r="L148" i="1"/>
  <c r="M148" i="1"/>
  <c r="N148" i="1"/>
  <c r="B149" i="1"/>
  <c r="C149" i="1"/>
  <c r="D149" i="1"/>
  <c r="E149" i="1"/>
  <c r="F149" i="1"/>
  <c r="G149" i="1"/>
  <c r="H149" i="1"/>
  <c r="I149" i="1"/>
  <c r="J149" i="1"/>
  <c r="K149" i="1"/>
  <c r="L149" i="1"/>
  <c r="M149" i="1"/>
  <c r="N149" i="1"/>
  <c r="B150" i="1"/>
  <c r="C150" i="1"/>
  <c r="D150" i="1"/>
  <c r="E150" i="1"/>
  <c r="F150" i="1"/>
  <c r="G150" i="1"/>
  <c r="H150" i="1"/>
  <c r="I150" i="1"/>
  <c r="J150" i="1"/>
  <c r="K150" i="1"/>
  <c r="L150" i="1"/>
  <c r="M150" i="1"/>
  <c r="N150" i="1"/>
  <c r="B151" i="1"/>
  <c r="C151" i="1"/>
  <c r="D151" i="1"/>
  <c r="E151" i="1"/>
  <c r="F151" i="1"/>
  <c r="G151" i="1"/>
  <c r="H151" i="1"/>
  <c r="I151" i="1"/>
  <c r="J151" i="1"/>
  <c r="K151" i="1"/>
  <c r="L151" i="1"/>
  <c r="M151" i="1"/>
  <c r="N151" i="1"/>
  <c r="B152" i="1"/>
  <c r="C152" i="1"/>
  <c r="D152" i="1"/>
  <c r="E152" i="1"/>
  <c r="F152" i="1"/>
  <c r="G152" i="1"/>
  <c r="H152" i="1"/>
  <c r="I152" i="1"/>
  <c r="J152" i="1"/>
  <c r="K152" i="1"/>
  <c r="L152" i="1"/>
  <c r="M152" i="1"/>
  <c r="N152" i="1"/>
  <c r="B153" i="1"/>
  <c r="C153" i="1"/>
  <c r="D153" i="1"/>
  <c r="E153" i="1"/>
  <c r="F153" i="1"/>
  <c r="G153" i="1"/>
  <c r="H153" i="1"/>
  <c r="I153" i="1"/>
  <c r="J153" i="1"/>
  <c r="K153" i="1"/>
  <c r="L153" i="1"/>
  <c r="M153" i="1"/>
  <c r="N153" i="1"/>
  <c r="B154" i="1"/>
  <c r="C154" i="1"/>
  <c r="D154" i="1"/>
  <c r="E154" i="1"/>
  <c r="F154" i="1"/>
  <c r="G154" i="1"/>
  <c r="H154" i="1"/>
  <c r="I154" i="1"/>
  <c r="J154" i="1"/>
  <c r="K154" i="1"/>
  <c r="L154" i="1"/>
  <c r="M154" i="1"/>
  <c r="N154" i="1"/>
  <c r="B155" i="1"/>
  <c r="C155" i="1"/>
  <c r="D155" i="1"/>
  <c r="E155" i="1"/>
  <c r="F155" i="1"/>
  <c r="G155" i="1"/>
  <c r="H155" i="1"/>
  <c r="I155" i="1"/>
  <c r="J155" i="1"/>
  <c r="K155" i="1"/>
  <c r="L155" i="1"/>
  <c r="M155" i="1"/>
  <c r="N155" i="1"/>
  <c r="B156" i="1"/>
  <c r="C156" i="1"/>
  <c r="D156" i="1"/>
  <c r="E156" i="1"/>
  <c r="F156" i="1"/>
  <c r="G156" i="1"/>
  <c r="H156" i="1"/>
  <c r="I156" i="1"/>
  <c r="J156" i="1"/>
  <c r="K156" i="1"/>
  <c r="L156" i="1"/>
  <c r="M156" i="1"/>
  <c r="N156" i="1"/>
  <c r="B157" i="1"/>
  <c r="C157" i="1"/>
  <c r="D157" i="1"/>
  <c r="E157" i="1"/>
  <c r="F157" i="1"/>
  <c r="G157" i="1"/>
  <c r="H157" i="1"/>
  <c r="I157" i="1"/>
  <c r="J157" i="1"/>
  <c r="K157" i="1"/>
  <c r="L157" i="1"/>
  <c r="M157" i="1"/>
  <c r="N157" i="1"/>
  <c r="B158" i="1"/>
  <c r="C158" i="1"/>
  <c r="D158" i="1"/>
  <c r="E158" i="1"/>
  <c r="F158" i="1"/>
  <c r="G158" i="1"/>
  <c r="H158" i="1"/>
  <c r="I158" i="1"/>
  <c r="J158" i="1"/>
  <c r="K158" i="1"/>
  <c r="L158" i="1"/>
  <c r="M158" i="1"/>
  <c r="N158" i="1"/>
  <c r="E2" i="1"/>
  <c r="F2" i="1"/>
  <c r="G2" i="1"/>
  <c r="H2" i="1"/>
  <c r="I2" i="1"/>
  <c r="J2" i="1"/>
  <c r="K2" i="1"/>
  <c r="L2" i="1"/>
  <c r="M2" i="1"/>
  <c r="N2" i="1"/>
  <c r="E3" i="1"/>
  <c r="F3" i="1"/>
  <c r="G3" i="1"/>
  <c r="H3" i="1"/>
  <c r="I3" i="1"/>
  <c r="J3" i="1"/>
  <c r="K3" i="1"/>
  <c r="L3" i="1"/>
  <c r="M3" i="1"/>
  <c r="N3" i="1"/>
  <c r="E4" i="1"/>
  <c r="F4" i="1"/>
  <c r="G4" i="1"/>
  <c r="H4" i="1"/>
  <c r="I4" i="1"/>
  <c r="J4" i="1"/>
  <c r="K4" i="1"/>
  <c r="L4" i="1"/>
  <c r="M4" i="1"/>
  <c r="N4" i="1"/>
  <c r="E5" i="1"/>
  <c r="F5" i="1"/>
  <c r="G5" i="1"/>
  <c r="H5" i="1"/>
  <c r="I5" i="1"/>
  <c r="J5" i="1"/>
  <c r="K5" i="1"/>
  <c r="L5" i="1"/>
  <c r="M5" i="1"/>
  <c r="N5" i="1"/>
  <c r="E6" i="1"/>
  <c r="F6" i="1"/>
  <c r="G6" i="1"/>
  <c r="H6" i="1"/>
  <c r="I6" i="1"/>
  <c r="J6" i="1"/>
  <c r="K6" i="1"/>
  <c r="L6" i="1"/>
  <c r="M6" i="1"/>
  <c r="N6" i="1"/>
  <c r="E7" i="1"/>
  <c r="F7" i="1"/>
  <c r="G7" i="1"/>
  <c r="H7" i="1"/>
  <c r="I7" i="1"/>
  <c r="J7" i="1"/>
  <c r="K7" i="1"/>
  <c r="L7" i="1"/>
  <c r="M7" i="1"/>
  <c r="N7" i="1"/>
  <c r="E8" i="1"/>
  <c r="F8" i="1"/>
  <c r="G8" i="1"/>
  <c r="H8" i="1"/>
  <c r="I8" i="1"/>
  <c r="J8" i="1"/>
  <c r="K8" i="1"/>
  <c r="L8" i="1"/>
  <c r="M8" i="1"/>
  <c r="N8" i="1"/>
  <c r="E9" i="1"/>
  <c r="F9" i="1"/>
  <c r="G9" i="1"/>
  <c r="H9" i="1"/>
  <c r="I9" i="1"/>
  <c r="J9" i="1"/>
  <c r="K9" i="1"/>
  <c r="L9" i="1"/>
  <c r="M9" i="1"/>
  <c r="N9" i="1"/>
  <c r="E10" i="1"/>
  <c r="F10" i="1"/>
  <c r="G10" i="1"/>
  <c r="H10" i="1"/>
  <c r="I10" i="1"/>
  <c r="J10" i="1"/>
  <c r="K10" i="1"/>
  <c r="L10" i="1"/>
  <c r="M10" i="1"/>
  <c r="N10" i="1"/>
  <c r="E11" i="1"/>
  <c r="F11" i="1"/>
  <c r="G11" i="1"/>
  <c r="H11" i="1"/>
  <c r="I11" i="1"/>
  <c r="J11" i="1"/>
  <c r="K11" i="1"/>
  <c r="L11" i="1"/>
  <c r="M11" i="1"/>
  <c r="N11" i="1"/>
  <c r="E12" i="1"/>
  <c r="F12" i="1"/>
  <c r="G12" i="1"/>
  <c r="H12" i="1"/>
  <c r="I12" i="1"/>
  <c r="J12" i="1"/>
  <c r="K12" i="1"/>
  <c r="L12" i="1"/>
  <c r="M12" i="1"/>
  <c r="N12" i="1"/>
  <c r="E13" i="1"/>
  <c r="F13" i="1"/>
  <c r="G13" i="1"/>
  <c r="H13" i="1"/>
  <c r="I13" i="1"/>
  <c r="J13" i="1"/>
  <c r="K13" i="1"/>
  <c r="L13" i="1"/>
  <c r="M13" i="1"/>
  <c r="N13" i="1"/>
  <c r="E14" i="1"/>
  <c r="F14" i="1"/>
  <c r="G14" i="1"/>
  <c r="H14" i="1"/>
  <c r="I14" i="1"/>
  <c r="J14" i="1"/>
  <c r="K14" i="1"/>
  <c r="L14" i="1"/>
  <c r="M14" i="1"/>
  <c r="N14" i="1"/>
  <c r="E15" i="1"/>
  <c r="F15" i="1"/>
  <c r="G15" i="1"/>
  <c r="H15" i="1"/>
  <c r="I15" i="1"/>
  <c r="J15" i="1"/>
  <c r="K15" i="1"/>
  <c r="L15" i="1"/>
  <c r="M15" i="1"/>
  <c r="N15" i="1"/>
  <c r="E16" i="1"/>
  <c r="F16" i="1"/>
  <c r="G16" i="1"/>
  <c r="H16" i="1"/>
  <c r="I16" i="1"/>
  <c r="J16" i="1"/>
  <c r="K16" i="1"/>
  <c r="L16" i="1"/>
  <c r="M16" i="1"/>
  <c r="N16" i="1"/>
  <c r="E17" i="1"/>
  <c r="F17" i="1"/>
  <c r="G17" i="1"/>
  <c r="H17" i="1"/>
  <c r="I17" i="1"/>
  <c r="J17" i="1"/>
  <c r="K17" i="1"/>
  <c r="L17" i="1"/>
  <c r="M17" i="1"/>
  <c r="N17" i="1"/>
  <c r="E18" i="1"/>
  <c r="F18" i="1"/>
  <c r="G18" i="1"/>
  <c r="H18" i="1"/>
  <c r="I18" i="1"/>
  <c r="J18" i="1"/>
  <c r="K18" i="1"/>
  <c r="L18" i="1"/>
  <c r="M18" i="1"/>
  <c r="N18" i="1"/>
  <c r="E19" i="1"/>
  <c r="F19" i="1"/>
  <c r="G19" i="1"/>
  <c r="H19" i="1"/>
  <c r="I19" i="1"/>
  <c r="J19" i="1"/>
  <c r="K19" i="1"/>
  <c r="L19" i="1"/>
  <c r="M19" i="1"/>
  <c r="N19" i="1"/>
  <c r="E20" i="1"/>
  <c r="F20" i="1"/>
  <c r="G20" i="1"/>
  <c r="H20" i="1"/>
  <c r="I20" i="1"/>
  <c r="J20" i="1"/>
  <c r="K20" i="1"/>
  <c r="L20" i="1"/>
  <c r="M20" i="1"/>
  <c r="N20" i="1"/>
  <c r="E21" i="1"/>
  <c r="F21" i="1"/>
  <c r="G21" i="1"/>
  <c r="H21" i="1"/>
  <c r="I21" i="1"/>
  <c r="J21" i="1"/>
  <c r="K21" i="1"/>
  <c r="L21" i="1"/>
  <c r="M21" i="1"/>
  <c r="N21" i="1"/>
  <c r="E22" i="1"/>
  <c r="F22" i="1"/>
  <c r="G22" i="1"/>
  <c r="H22" i="1"/>
  <c r="I22" i="1"/>
  <c r="J22" i="1"/>
  <c r="K22" i="1"/>
  <c r="L22" i="1"/>
  <c r="M22" i="1"/>
  <c r="N22" i="1"/>
  <c r="E23" i="1"/>
  <c r="F23" i="1"/>
  <c r="G23" i="1"/>
  <c r="H23" i="1"/>
  <c r="I23" i="1"/>
  <c r="J23" i="1"/>
  <c r="K23" i="1"/>
  <c r="L23" i="1"/>
  <c r="M23" i="1"/>
  <c r="N23" i="1"/>
  <c r="E24" i="1"/>
  <c r="F24" i="1"/>
  <c r="G24" i="1"/>
  <c r="H24" i="1"/>
  <c r="I24" i="1"/>
  <c r="J24" i="1"/>
  <c r="K24" i="1"/>
  <c r="L24" i="1"/>
  <c r="M24" i="1"/>
  <c r="N24" i="1"/>
  <c r="E25" i="1"/>
  <c r="F25" i="1"/>
  <c r="G25" i="1"/>
  <c r="H25" i="1"/>
  <c r="I25" i="1"/>
  <c r="J25" i="1"/>
  <c r="K25" i="1"/>
  <c r="L25" i="1"/>
  <c r="M25" i="1"/>
  <c r="N25" i="1"/>
  <c r="E26" i="1"/>
  <c r="F26" i="1"/>
  <c r="G26" i="1"/>
  <c r="H26" i="1"/>
  <c r="I26" i="1"/>
  <c r="J26" i="1"/>
  <c r="K26" i="1"/>
  <c r="L26" i="1"/>
  <c r="M26" i="1"/>
  <c r="N26" i="1"/>
  <c r="E27" i="1"/>
  <c r="F27" i="1"/>
  <c r="G27" i="1"/>
  <c r="H27" i="1"/>
  <c r="I27" i="1"/>
  <c r="J27" i="1"/>
  <c r="K27" i="1"/>
  <c r="L27" i="1"/>
  <c r="M27" i="1"/>
  <c r="N27" i="1"/>
  <c r="E28" i="1"/>
  <c r="F28" i="1"/>
  <c r="G28" i="1"/>
  <c r="H28" i="1"/>
  <c r="I28" i="1"/>
  <c r="J28" i="1"/>
  <c r="K28" i="1"/>
  <c r="L28" i="1"/>
  <c r="M28" i="1"/>
  <c r="N28" i="1"/>
  <c r="E29" i="1"/>
  <c r="F29" i="1"/>
  <c r="G29" i="1"/>
  <c r="H29" i="1"/>
  <c r="I29" i="1"/>
  <c r="J29" i="1"/>
  <c r="K29" i="1"/>
  <c r="L29" i="1"/>
  <c r="M29" i="1"/>
  <c r="N29" i="1"/>
  <c r="E30" i="1"/>
  <c r="F30" i="1"/>
  <c r="G30" i="1"/>
  <c r="H30" i="1"/>
  <c r="I30" i="1"/>
  <c r="J30" i="1"/>
  <c r="K30" i="1"/>
  <c r="L30" i="1"/>
  <c r="M30" i="1"/>
  <c r="N30" i="1"/>
  <c r="E31" i="1"/>
  <c r="F31" i="1"/>
  <c r="G31" i="1"/>
  <c r="H31" i="1"/>
  <c r="I31" i="1"/>
  <c r="J31" i="1"/>
  <c r="K31" i="1"/>
  <c r="L31" i="1"/>
  <c r="M31" i="1"/>
  <c r="N31" i="1"/>
  <c r="E32" i="1"/>
  <c r="F32" i="1"/>
  <c r="G32" i="1"/>
  <c r="H32" i="1"/>
  <c r="I32" i="1"/>
  <c r="J32" i="1"/>
  <c r="K32" i="1"/>
  <c r="L32" i="1"/>
  <c r="M32" i="1"/>
  <c r="N32" i="1"/>
  <c r="E33" i="1"/>
  <c r="F33" i="1"/>
  <c r="G33" i="1"/>
  <c r="H33" i="1"/>
  <c r="I33" i="1"/>
  <c r="J33" i="1"/>
  <c r="K33" i="1"/>
  <c r="L33" i="1"/>
  <c r="M33" i="1"/>
  <c r="N33" i="1"/>
  <c r="E34" i="1"/>
  <c r="F34" i="1"/>
  <c r="G34" i="1"/>
  <c r="H34" i="1"/>
  <c r="I34" i="1"/>
  <c r="J34" i="1"/>
  <c r="K34" i="1"/>
  <c r="L34" i="1"/>
  <c r="M34" i="1"/>
  <c r="N34" i="1"/>
  <c r="E35" i="1"/>
  <c r="F35" i="1"/>
  <c r="G35" i="1"/>
  <c r="H35" i="1"/>
  <c r="I35" i="1"/>
  <c r="J35" i="1"/>
  <c r="K35" i="1"/>
  <c r="L35" i="1"/>
  <c r="M35" i="1"/>
  <c r="N35" i="1"/>
  <c r="E36" i="1"/>
  <c r="F36" i="1"/>
  <c r="G36" i="1"/>
  <c r="H36" i="1"/>
  <c r="I36" i="1"/>
  <c r="J36" i="1"/>
  <c r="K36" i="1"/>
  <c r="L36" i="1"/>
  <c r="M36" i="1"/>
  <c r="N36" i="1"/>
  <c r="E37" i="1"/>
  <c r="F37" i="1"/>
  <c r="G37" i="1"/>
  <c r="H37" i="1"/>
  <c r="I37" i="1"/>
  <c r="J37" i="1"/>
  <c r="K37" i="1"/>
  <c r="L37" i="1"/>
  <c r="M37" i="1"/>
  <c r="N37"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2" i="1"/>
  <c r="O2" i="1"/>
  <c r="O3" i="1"/>
  <c r="O4" i="1"/>
  <c r="O5" i="1"/>
  <c r="O6" i="1"/>
  <c r="O7" i="1"/>
  <c r="O8" i="1"/>
  <c r="O9" i="1"/>
  <c r="O10" i="1"/>
  <c r="O11" i="1"/>
  <c r="E1" i="1"/>
  <c r="F1" i="1"/>
  <c r="G1" i="1"/>
  <c r="H1" i="1"/>
  <c r="I1" i="1"/>
  <c r="J1" i="1"/>
  <c r="K1" i="1"/>
  <c r="L1" i="1"/>
  <c r="M1" i="1"/>
  <c r="N1" i="1"/>
  <c r="O1" i="1"/>
  <c r="D1" i="1"/>
</calcChain>
</file>

<file path=xl/sharedStrings.xml><?xml version="1.0" encoding="utf-8"?>
<sst xmlns="http://schemas.openxmlformats.org/spreadsheetml/2006/main" count="23287" uniqueCount="7917">
  <si>
    <t>個股</t>
  </si>
  <si>
    <t>名稱</t>
  </si>
  <si>
    <t>產業別</t>
  </si>
  <si>
    <t>202511單月合併營收年成長(%)</t>
  </si>
  <si>
    <t>202511單月合併營收月變動(%)</t>
  </si>
  <si>
    <t>202512單月合併營收年成長(%)</t>
  </si>
  <si>
    <t>202512單月合併營收月變動(%)</t>
  </si>
  <si>
    <t>台積電</t>
  </si>
  <si>
    <t>半導體</t>
  </si>
  <si>
    <t>聯發科</t>
  </si>
  <si>
    <t>IC設計</t>
  </si>
  <si>
    <t>光罩</t>
  </si>
  <si>
    <t>半導體設備</t>
  </si>
  <si>
    <t>京元電子</t>
  </si>
  <si>
    <t>IC封測</t>
  </si>
  <si>
    <t>家登</t>
  </si>
  <si>
    <t>台達電</t>
  </si>
  <si>
    <t>電子零組件</t>
  </si>
  <si>
    <t>上游代號</t>
  </si>
  <si>
    <t>下游代號</t>
  </si>
  <si>
    <t>關係類型</t>
  </si>
  <si>
    <t>備註</t>
  </si>
  <si>
    <t>示例</t>
  </si>
  <si>
    <t>夾具/傳送盒</t>
  </si>
  <si>
    <t>晶圓代工</t>
  </si>
  <si>
    <t>電源/電源模組</t>
  </si>
  <si>
    <t>使用說明</t>
  </si>
  <si>
    <t>1. Revenue：每家公司一列；月份欄位命名必須為 YYYYMM單月合併營收年成長(%) / YYYYMM單月合併營收月變動(%)。</t>
  </si>
  <si>
    <t>2. Links：方向為 上游代號 ➜ 下游代號；關係類型與權重可自由維護。</t>
  </si>
  <si>
    <t>3. 將本檔命名為 data.xlsx，與 index.html 放在同一層，部署到 GitHub Pages 即可。</t>
  </si>
  <si>
    <t>日月光投控</t>
    <phoneticPr fontId="2" type="noConversion"/>
  </si>
  <si>
    <t>永光</t>
    <phoneticPr fontId="2" type="noConversion"/>
  </si>
  <si>
    <t>中華化</t>
    <phoneticPr fontId="2" type="noConversion"/>
  </si>
  <si>
    <t>長興</t>
    <phoneticPr fontId="2" type="noConversion"/>
  </si>
  <si>
    <t>1101</t>
  </si>
  <si>
    <t>1102</t>
  </si>
  <si>
    <t>1103</t>
  </si>
  <si>
    <t>1104</t>
  </si>
  <si>
    <t>1108</t>
  </si>
  <si>
    <t>1109</t>
  </si>
  <si>
    <t>1110</t>
  </si>
  <si>
    <t>1201</t>
  </si>
  <si>
    <t>1203</t>
  </si>
  <si>
    <t>1210</t>
  </si>
  <si>
    <t>1213</t>
  </si>
  <si>
    <t>1215</t>
  </si>
  <si>
    <t>1216</t>
  </si>
  <si>
    <t>1217</t>
  </si>
  <si>
    <t>1218</t>
  </si>
  <si>
    <t>1219</t>
  </si>
  <si>
    <t>1220</t>
  </si>
  <si>
    <t>1225</t>
  </si>
  <si>
    <t>1227</t>
  </si>
  <si>
    <t>1229</t>
  </si>
  <si>
    <t>1231</t>
  </si>
  <si>
    <t>1232</t>
  </si>
  <si>
    <t>1233</t>
  </si>
  <si>
    <t>1234</t>
  </si>
  <si>
    <t>1235</t>
  </si>
  <si>
    <t>1236</t>
  </si>
  <si>
    <t>1240</t>
  </si>
  <si>
    <t>1256</t>
  </si>
  <si>
    <t>1259</t>
  </si>
  <si>
    <t>1264</t>
  </si>
  <si>
    <t>1268</t>
  </si>
  <si>
    <t>1294</t>
  </si>
  <si>
    <t>1295</t>
  </si>
  <si>
    <t>1301</t>
  </si>
  <si>
    <t>1303</t>
  </si>
  <si>
    <t>1304</t>
  </si>
  <si>
    <t>1305</t>
  </si>
  <si>
    <t>1307</t>
  </si>
  <si>
    <t>1308</t>
  </si>
  <si>
    <t>1309</t>
  </si>
  <si>
    <t>1310</t>
  </si>
  <si>
    <t>1312</t>
  </si>
  <si>
    <t>1313</t>
  </si>
  <si>
    <t>1314</t>
  </si>
  <si>
    <t>1315</t>
  </si>
  <si>
    <t>1316</t>
  </si>
  <si>
    <t>1319</t>
  </si>
  <si>
    <t>1321</t>
  </si>
  <si>
    <t>1323</t>
  </si>
  <si>
    <t>1324</t>
  </si>
  <si>
    <t>1325</t>
  </si>
  <si>
    <t>1326</t>
  </si>
  <si>
    <t>1336</t>
  </si>
  <si>
    <t>1337</t>
  </si>
  <si>
    <t>1338</t>
  </si>
  <si>
    <t>1339</t>
  </si>
  <si>
    <t>1340</t>
  </si>
  <si>
    <t>1341</t>
  </si>
  <si>
    <t>1342</t>
  </si>
  <si>
    <t>1402</t>
  </si>
  <si>
    <t>1409</t>
  </si>
  <si>
    <t>1410</t>
  </si>
  <si>
    <t>1413</t>
  </si>
  <si>
    <t>1414</t>
  </si>
  <si>
    <t>1416</t>
  </si>
  <si>
    <t>1417</t>
  </si>
  <si>
    <t>1418</t>
  </si>
  <si>
    <t>1419</t>
  </si>
  <si>
    <t>1423</t>
  </si>
  <si>
    <t>1432</t>
  </si>
  <si>
    <t>1434</t>
  </si>
  <si>
    <t>1435</t>
  </si>
  <si>
    <t>1436</t>
  </si>
  <si>
    <t>1437</t>
  </si>
  <si>
    <t>1438</t>
  </si>
  <si>
    <t>1439</t>
  </si>
  <si>
    <t>1440</t>
  </si>
  <si>
    <t>1441</t>
  </si>
  <si>
    <t>1442</t>
  </si>
  <si>
    <t>1443</t>
  </si>
  <si>
    <t>1444</t>
  </si>
  <si>
    <t>1445</t>
  </si>
  <si>
    <t>1446</t>
  </si>
  <si>
    <t>1447</t>
  </si>
  <si>
    <t>1449</t>
  </si>
  <si>
    <t>1451</t>
  </si>
  <si>
    <t>1452</t>
  </si>
  <si>
    <t>1453</t>
  </si>
  <si>
    <t>1454</t>
  </si>
  <si>
    <t>1455</t>
  </si>
  <si>
    <t>1456</t>
  </si>
  <si>
    <t>1457</t>
  </si>
  <si>
    <t>1459</t>
  </si>
  <si>
    <t>1460</t>
  </si>
  <si>
    <t>1463</t>
  </si>
  <si>
    <t>1464</t>
  </si>
  <si>
    <t>1465</t>
  </si>
  <si>
    <t>1466</t>
  </si>
  <si>
    <t>1467</t>
  </si>
  <si>
    <t>1468</t>
  </si>
  <si>
    <t>1470</t>
  </si>
  <si>
    <t>1471</t>
  </si>
  <si>
    <t>1472</t>
  </si>
  <si>
    <t>1473</t>
  </si>
  <si>
    <t>1474</t>
  </si>
  <si>
    <t>1475</t>
  </si>
  <si>
    <t>1476</t>
  </si>
  <si>
    <t>1477</t>
  </si>
  <si>
    <t>1503</t>
  </si>
  <si>
    <t>1504</t>
  </si>
  <si>
    <t>1506</t>
  </si>
  <si>
    <t>1512</t>
  </si>
  <si>
    <t>1513</t>
  </si>
  <si>
    <t>1514</t>
  </si>
  <si>
    <t>1515</t>
  </si>
  <si>
    <t>1516</t>
  </si>
  <si>
    <t>1517</t>
  </si>
  <si>
    <t>1519</t>
  </si>
  <si>
    <t>1521</t>
  </si>
  <si>
    <t>1522</t>
  </si>
  <si>
    <t>1524</t>
  </si>
  <si>
    <t>1525</t>
  </si>
  <si>
    <t>1526</t>
  </si>
  <si>
    <t>1527</t>
  </si>
  <si>
    <t>1528</t>
  </si>
  <si>
    <t>1529</t>
  </si>
  <si>
    <t>1530</t>
  </si>
  <si>
    <t>1531</t>
  </si>
  <si>
    <t>1532</t>
  </si>
  <si>
    <t>1533</t>
  </si>
  <si>
    <t>1535</t>
  </si>
  <si>
    <t>1536</t>
  </si>
  <si>
    <t>1537</t>
  </si>
  <si>
    <t>1538</t>
  </si>
  <si>
    <t>1539</t>
  </si>
  <si>
    <t>1540</t>
  </si>
  <si>
    <t>1541</t>
  </si>
  <si>
    <t>1558</t>
  </si>
  <si>
    <t>1560</t>
  </si>
  <si>
    <t>1563</t>
  </si>
  <si>
    <t>1565</t>
  </si>
  <si>
    <t>1568</t>
  </si>
  <si>
    <t>1569</t>
  </si>
  <si>
    <t>1570</t>
  </si>
  <si>
    <t>1580</t>
  </si>
  <si>
    <t>1582</t>
  </si>
  <si>
    <t>1583</t>
  </si>
  <si>
    <t>1584</t>
  </si>
  <si>
    <t>1586</t>
  </si>
  <si>
    <t>1587</t>
  </si>
  <si>
    <t>1589</t>
  </si>
  <si>
    <t>1590</t>
  </si>
  <si>
    <t>1591</t>
  </si>
  <si>
    <t>1593</t>
  </si>
  <si>
    <t>1595</t>
  </si>
  <si>
    <t>1597</t>
  </si>
  <si>
    <t>1598</t>
  </si>
  <si>
    <t>1599</t>
  </si>
  <si>
    <t>1603</t>
  </si>
  <si>
    <t>1604</t>
  </si>
  <si>
    <t>1605</t>
  </si>
  <si>
    <t>1608</t>
  </si>
  <si>
    <t>1609</t>
  </si>
  <si>
    <t>1611</t>
  </si>
  <si>
    <t>1612</t>
  </si>
  <si>
    <t>1614</t>
  </si>
  <si>
    <t>1615</t>
  </si>
  <si>
    <t>1616</t>
  </si>
  <si>
    <t>1617</t>
  </si>
  <si>
    <t>1618</t>
  </si>
  <si>
    <t>1623</t>
  </si>
  <si>
    <t>1626</t>
  </si>
  <si>
    <t>1702</t>
  </si>
  <si>
    <t>1707</t>
  </si>
  <si>
    <t>1708</t>
  </si>
  <si>
    <t>1709</t>
  </si>
  <si>
    <t>1710</t>
  </si>
  <si>
    <t>1711</t>
  </si>
  <si>
    <t>1712</t>
  </si>
  <si>
    <t>1713</t>
  </si>
  <si>
    <t>1714</t>
  </si>
  <si>
    <t>1717</t>
  </si>
  <si>
    <t>1718</t>
  </si>
  <si>
    <t>1720</t>
  </si>
  <si>
    <t>1721</t>
  </si>
  <si>
    <t>1722</t>
  </si>
  <si>
    <t>1723</t>
  </si>
  <si>
    <t>1725</t>
  </si>
  <si>
    <t>1726</t>
  </si>
  <si>
    <t>1727</t>
  </si>
  <si>
    <t>1730</t>
  </si>
  <si>
    <t>1731</t>
  </si>
  <si>
    <t>1732</t>
  </si>
  <si>
    <t>1733</t>
  </si>
  <si>
    <t>1734</t>
  </si>
  <si>
    <t>1735</t>
  </si>
  <si>
    <t>1736</t>
  </si>
  <si>
    <t>1737</t>
  </si>
  <si>
    <t>1742</t>
  </si>
  <si>
    <t>1752</t>
  </si>
  <si>
    <t>1760</t>
  </si>
  <si>
    <t>1762</t>
  </si>
  <si>
    <t>1773</t>
  </si>
  <si>
    <t>1776</t>
  </si>
  <si>
    <t>1777</t>
  </si>
  <si>
    <t>1781</t>
  </si>
  <si>
    <t>1783</t>
  </si>
  <si>
    <t>1784</t>
  </si>
  <si>
    <t>1785</t>
  </si>
  <si>
    <t>1786</t>
  </si>
  <si>
    <t>1788</t>
  </si>
  <si>
    <t>1789</t>
  </si>
  <si>
    <t>1795</t>
  </si>
  <si>
    <t>1796</t>
  </si>
  <si>
    <t>1799</t>
  </si>
  <si>
    <t>1802</t>
  </si>
  <si>
    <t>1805</t>
  </si>
  <si>
    <t>1806</t>
  </si>
  <si>
    <t>1808</t>
  </si>
  <si>
    <t>1809</t>
  </si>
  <si>
    <t>1810</t>
  </si>
  <si>
    <t>1813</t>
  </si>
  <si>
    <t>1815</t>
  </si>
  <si>
    <t>1817</t>
  </si>
  <si>
    <t>1903</t>
  </si>
  <si>
    <t>1904</t>
  </si>
  <si>
    <t>1905</t>
  </si>
  <si>
    <t>1906</t>
  </si>
  <si>
    <t>1907</t>
  </si>
  <si>
    <t>1909</t>
  </si>
  <si>
    <t>2002</t>
  </si>
  <si>
    <t>2006</t>
  </si>
  <si>
    <t>2007</t>
  </si>
  <si>
    <t>2008</t>
  </si>
  <si>
    <t>2009</t>
  </si>
  <si>
    <t>2010</t>
  </si>
  <si>
    <t>2012</t>
  </si>
  <si>
    <t>2013</t>
  </si>
  <si>
    <t>2014</t>
  </si>
  <si>
    <t>2015</t>
  </si>
  <si>
    <t>2017</t>
  </si>
  <si>
    <t>2020</t>
  </si>
  <si>
    <t>2022</t>
  </si>
  <si>
    <t>2023</t>
  </si>
  <si>
    <t>2024</t>
  </si>
  <si>
    <t>2025</t>
  </si>
  <si>
    <t>2027</t>
  </si>
  <si>
    <t>2028</t>
  </si>
  <si>
    <t>2029</t>
  </si>
  <si>
    <t>2030</t>
  </si>
  <si>
    <t>2031</t>
  </si>
  <si>
    <t>2032</t>
  </si>
  <si>
    <t>2033</t>
  </si>
  <si>
    <t>2034</t>
  </si>
  <si>
    <t>2035</t>
  </si>
  <si>
    <t>2038</t>
  </si>
  <si>
    <t>2049</t>
  </si>
  <si>
    <t>2059</t>
  </si>
  <si>
    <t>2061</t>
  </si>
  <si>
    <t>2062</t>
  </si>
  <si>
    <t>2063</t>
  </si>
  <si>
    <t>2064</t>
  </si>
  <si>
    <t>2065</t>
  </si>
  <si>
    <t>2066</t>
  </si>
  <si>
    <t>2067</t>
  </si>
  <si>
    <t>2069</t>
  </si>
  <si>
    <t>2070</t>
  </si>
  <si>
    <t>2073</t>
  </si>
  <si>
    <t>2101</t>
  </si>
  <si>
    <t>2102</t>
  </si>
  <si>
    <t>2103</t>
  </si>
  <si>
    <t>2104</t>
  </si>
  <si>
    <t>2105</t>
  </si>
  <si>
    <t>2106</t>
  </si>
  <si>
    <t>2107</t>
  </si>
  <si>
    <t>2108</t>
  </si>
  <si>
    <t>2109</t>
  </si>
  <si>
    <t>2114</t>
  </si>
  <si>
    <t>2115</t>
  </si>
  <si>
    <t>2201</t>
  </si>
  <si>
    <t>2204</t>
  </si>
  <si>
    <t>2206</t>
  </si>
  <si>
    <t>2207</t>
  </si>
  <si>
    <t>2208</t>
  </si>
  <si>
    <t>2211</t>
  </si>
  <si>
    <t>2221</t>
  </si>
  <si>
    <t>2227</t>
  </si>
  <si>
    <t>2228</t>
  </si>
  <si>
    <t>2230</t>
  </si>
  <si>
    <t>2231</t>
  </si>
  <si>
    <t>2233</t>
  </si>
  <si>
    <t>2235</t>
  </si>
  <si>
    <t>2236</t>
  </si>
  <si>
    <t>2239</t>
  </si>
  <si>
    <t>2241</t>
  </si>
  <si>
    <t>2243</t>
  </si>
  <si>
    <t>2247</t>
  </si>
  <si>
    <t>2248</t>
  </si>
  <si>
    <t>2250</t>
  </si>
  <si>
    <t>2254</t>
  </si>
  <si>
    <t>2258</t>
  </si>
  <si>
    <t>2301</t>
  </si>
  <si>
    <t>2302</t>
  </si>
  <si>
    <t>2303</t>
  </si>
  <si>
    <t>2305</t>
  </si>
  <si>
    <t>2308</t>
  </si>
  <si>
    <t>2312</t>
  </si>
  <si>
    <t>2313</t>
  </si>
  <si>
    <t>2314</t>
  </si>
  <si>
    <t>2316</t>
  </si>
  <si>
    <t>2317</t>
  </si>
  <si>
    <t>2321</t>
  </si>
  <si>
    <t>2323</t>
  </si>
  <si>
    <t>2324</t>
  </si>
  <si>
    <t>2327</t>
  </si>
  <si>
    <t>2328</t>
  </si>
  <si>
    <t>2329</t>
  </si>
  <si>
    <t>2330</t>
  </si>
  <si>
    <t>2331</t>
  </si>
  <si>
    <t>2332</t>
  </si>
  <si>
    <t>2337</t>
  </si>
  <si>
    <t>2338</t>
  </si>
  <si>
    <t>2340</t>
  </si>
  <si>
    <t>2342</t>
  </si>
  <si>
    <t>2344</t>
  </si>
  <si>
    <t>2345</t>
  </si>
  <si>
    <t>2347</t>
  </si>
  <si>
    <t>2348</t>
  </si>
  <si>
    <t>2349</t>
  </si>
  <si>
    <t>2351</t>
  </si>
  <si>
    <t>2352</t>
  </si>
  <si>
    <t>2353</t>
  </si>
  <si>
    <t>2354</t>
  </si>
  <si>
    <t>2355</t>
  </si>
  <si>
    <t>2356</t>
  </si>
  <si>
    <t>2357</t>
  </si>
  <si>
    <t>2359</t>
  </si>
  <si>
    <t>2360</t>
  </si>
  <si>
    <t>2362</t>
  </si>
  <si>
    <t>2363</t>
  </si>
  <si>
    <t>2364</t>
  </si>
  <si>
    <t>2365</t>
  </si>
  <si>
    <t>2367</t>
  </si>
  <si>
    <t>2368</t>
  </si>
  <si>
    <t>2369</t>
  </si>
  <si>
    <t>2371</t>
  </si>
  <si>
    <t>2373</t>
  </si>
  <si>
    <t>2374</t>
  </si>
  <si>
    <t>2375</t>
  </si>
  <si>
    <t>2376</t>
  </si>
  <si>
    <t>2377</t>
  </si>
  <si>
    <t>2379</t>
  </si>
  <si>
    <t>2380</t>
  </si>
  <si>
    <t>2382</t>
  </si>
  <si>
    <t>2383</t>
  </si>
  <si>
    <t>2385</t>
  </si>
  <si>
    <t>2387</t>
  </si>
  <si>
    <t>2388</t>
  </si>
  <si>
    <t>2390</t>
  </si>
  <si>
    <t>2392</t>
  </si>
  <si>
    <t>2393</t>
  </si>
  <si>
    <t>2395</t>
  </si>
  <si>
    <t>2397</t>
  </si>
  <si>
    <t>2399</t>
  </si>
  <si>
    <t>2401</t>
  </si>
  <si>
    <t>2402</t>
  </si>
  <si>
    <t>2404</t>
  </si>
  <si>
    <t>2405</t>
  </si>
  <si>
    <t>2406</t>
  </si>
  <si>
    <t>2408</t>
  </si>
  <si>
    <t>2409</t>
  </si>
  <si>
    <t>2412</t>
  </si>
  <si>
    <t>2413</t>
  </si>
  <si>
    <t>2414</t>
  </si>
  <si>
    <t>2415</t>
  </si>
  <si>
    <t>2417</t>
  </si>
  <si>
    <t>2419</t>
  </si>
  <si>
    <t>2420</t>
  </si>
  <si>
    <t>2421</t>
  </si>
  <si>
    <t>2423</t>
  </si>
  <si>
    <t>2424</t>
  </si>
  <si>
    <t>2425</t>
  </si>
  <si>
    <t>2426</t>
  </si>
  <si>
    <t>2427</t>
  </si>
  <si>
    <t>2428</t>
  </si>
  <si>
    <t>2429</t>
  </si>
  <si>
    <t>2430</t>
  </si>
  <si>
    <t>2431</t>
  </si>
  <si>
    <t>2432</t>
  </si>
  <si>
    <t>2433</t>
  </si>
  <si>
    <t>2434</t>
  </si>
  <si>
    <t>2436</t>
  </si>
  <si>
    <t>2438</t>
  </si>
  <si>
    <t>2439</t>
  </si>
  <si>
    <t>2440</t>
  </si>
  <si>
    <t>2441</t>
  </si>
  <si>
    <t>2442</t>
  </si>
  <si>
    <t>2444</t>
  </si>
  <si>
    <t>2449</t>
  </si>
  <si>
    <t>2450</t>
  </si>
  <si>
    <t>2451</t>
  </si>
  <si>
    <t>2453</t>
  </si>
  <si>
    <t>2454</t>
  </si>
  <si>
    <t>2455</t>
  </si>
  <si>
    <t>2457</t>
  </si>
  <si>
    <t>2458</t>
  </si>
  <si>
    <t>2459</t>
  </si>
  <si>
    <t>2460</t>
  </si>
  <si>
    <t>2461</t>
  </si>
  <si>
    <t>2462</t>
  </si>
  <si>
    <t>2464</t>
  </si>
  <si>
    <t>2465</t>
  </si>
  <si>
    <t>2466</t>
  </si>
  <si>
    <t>2467</t>
  </si>
  <si>
    <t>2468</t>
  </si>
  <si>
    <t>2471</t>
  </si>
  <si>
    <t>2472</t>
  </si>
  <si>
    <t>2474</t>
  </si>
  <si>
    <t>2476</t>
  </si>
  <si>
    <t>2477</t>
  </si>
  <si>
    <t>2478</t>
  </si>
  <si>
    <t>2480</t>
  </si>
  <si>
    <t>2481</t>
  </si>
  <si>
    <t>2482</t>
  </si>
  <si>
    <t>2483</t>
  </si>
  <si>
    <t>2484</t>
  </si>
  <si>
    <t>2485</t>
  </si>
  <si>
    <t>2486</t>
  </si>
  <si>
    <t>2488</t>
  </si>
  <si>
    <t>2489</t>
  </si>
  <si>
    <t>2491</t>
  </si>
  <si>
    <t>2492</t>
  </si>
  <si>
    <t>2493</t>
  </si>
  <si>
    <t>2495</t>
  </si>
  <si>
    <t>2496</t>
  </si>
  <si>
    <t>2497</t>
  </si>
  <si>
    <t>2498</t>
  </si>
  <si>
    <t>2501</t>
  </si>
  <si>
    <t>2504</t>
  </si>
  <si>
    <t>2505</t>
  </si>
  <si>
    <t>2506</t>
  </si>
  <si>
    <t>2509</t>
  </si>
  <si>
    <t>2511</t>
  </si>
  <si>
    <t>2514</t>
  </si>
  <si>
    <t>2515</t>
  </si>
  <si>
    <t>2516</t>
  </si>
  <si>
    <t>2520</t>
  </si>
  <si>
    <t>2524</t>
  </si>
  <si>
    <t>2527</t>
  </si>
  <si>
    <t>2528</t>
  </si>
  <si>
    <t>2530</t>
  </si>
  <si>
    <t>2534</t>
  </si>
  <si>
    <t>2535</t>
  </si>
  <si>
    <t>2536</t>
  </si>
  <si>
    <t>2537</t>
  </si>
  <si>
    <t>2538</t>
  </si>
  <si>
    <t>2539</t>
  </si>
  <si>
    <t>2540</t>
  </si>
  <si>
    <t>2542</t>
  </si>
  <si>
    <t>2543</t>
  </si>
  <si>
    <t>2545</t>
  </si>
  <si>
    <t>2546</t>
  </si>
  <si>
    <t>2547</t>
  </si>
  <si>
    <t>2548</t>
  </si>
  <si>
    <t>2596</t>
  </si>
  <si>
    <t>2597</t>
  </si>
  <si>
    <t>2601</t>
  </si>
  <si>
    <t>2603</t>
  </si>
  <si>
    <t>2605</t>
  </si>
  <si>
    <t>2606</t>
  </si>
  <si>
    <t>2607</t>
  </si>
  <si>
    <t>2608</t>
  </si>
  <si>
    <t>2609</t>
  </si>
  <si>
    <t>2610</t>
  </si>
  <si>
    <t>2611</t>
  </si>
  <si>
    <t>2612</t>
  </si>
  <si>
    <t>2613</t>
  </si>
  <si>
    <t>2614</t>
  </si>
  <si>
    <t>2615</t>
  </si>
  <si>
    <t>2616</t>
  </si>
  <si>
    <t>2617</t>
  </si>
  <si>
    <t>2618</t>
  </si>
  <si>
    <t>2630</t>
  </si>
  <si>
    <t>2633</t>
  </si>
  <si>
    <t>2634</t>
  </si>
  <si>
    <t>2636</t>
  </si>
  <si>
    <t>2637</t>
  </si>
  <si>
    <t>2640</t>
  </si>
  <si>
    <t>2641</t>
  </si>
  <si>
    <t>2642</t>
  </si>
  <si>
    <t>2643</t>
  </si>
  <si>
    <t>2645</t>
  </si>
  <si>
    <t>2646</t>
  </si>
  <si>
    <t>2701</t>
  </si>
  <si>
    <t>2702</t>
  </si>
  <si>
    <t>2704</t>
  </si>
  <si>
    <t>2705</t>
  </si>
  <si>
    <t>2706</t>
  </si>
  <si>
    <t>2707</t>
  </si>
  <si>
    <t>2712</t>
  </si>
  <si>
    <t>2718</t>
  </si>
  <si>
    <t>2719</t>
  </si>
  <si>
    <t>2722</t>
  </si>
  <si>
    <t>2723</t>
  </si>
  <si>
    <t>2724</t>
  </si>
  <si>
    <t>2726</t>
  </si>
  <si>
    <t>2727</t>
  </si>
  <si>
    <t>2729</t>
  </si>
  <si>
    <t>2731</t>
  </si>
  <si>
    <t>2732</t>
  </si>
  <si>
    <t>2734</t>
  </si>
  <si>
    <t>2736</t>
  </si>
  <si>
    <t>2739</t>
  </si>
  <si>
    <t>2740</t>
  </si>
  <si>
    <t>2743</t>
  </si>
  <si>
    <t>2745</t>
  </si>
  <si>
    <t>2748</t>
  </si>
  <si>
    <t>2751</t>
  </si>
  <si>
    <t>2752</t>
  </si>
  <si>
    <t>2753</t>
  </si>
  <si>
    <t>2754</t>
  </si>
  <si>
    <t>2755</t>
  </si>
  <si>
    <t>2756</t>
  </si>
  <si>
    <t>2762</t>
  </si>
  <si>
    <t>2801</t>
  </si>
  <si>
    <t>2812</t>
  </si>
  <si>
    <t>2816</t>
  </si>
  <si>
    <t>2820</t>
  </si>
  <si>
    <t>2832</t>
  </si>
  <si>
    <t>2834</t>
  </si>
  <si>
    <t>2836</t>
  </si>
  <si>
    <t>2838</t>
  </si>
  <si>
    <t>2845</t>
  </si>
  <si>
    <t>2849</t>
  </si>
  <si>
    <t>2850</t>
  </si>
  <si>
    <t>2851</t>
  </si>
  <si>
    <t>2852</t>
  </si>
  <si>
    <t>2855</t>
  </si>
  <si>
    <t>2867</t>
  </si>
  <si>
    <t>2880</t>
  </si>
  <si>
    <t>2881</t>
  </si>
  <si>
    <t>2882</t>
  </si>
  <si>
    <t>2883</t>
  </si>
  <si>
    <t>2884</t>
  </si>
  <si>
    <t>2885</t>
  </si>
  <si>
    <t>2886</t>
  </si>
  <si>
    <t>2887</t>
  </si>
  <si>
    <t>2889</t>
  </si>
  <si>
    <t>2890</t>
  </si>
  <si>
    <t>2891</t>
  </si>
  <si>
    <t>2892</t>
  </si>
  <si>
    <t>2897</t>
  </si>
  <si>
    <t>2901</t>
  </si>
  <si>
    <t>2903</t>
  </si>
  <si>
    <t>2904</t>
  </si>
  <si>
    <t>2905</t>
  </si>
  <si>
    <t>2906</t>
  </si>
  <si>
    <t>2908</t>
  </si>
  <si>
    <t>2910</t>
  </si>
  <si>
    <t>2911</t>
  </si>
  <si>
    <t>2912</t>
  </si>
  <si>
    <t>2913</t>
  </si>
  <si>
    <t>2915</t>
  </si>
  <si>
    <t>2916</t>
  </si>
  <si>
    <t>2923</t>
  </si>
  <si>
    <t>2924</t>
  </si>
  <si>
    <t>2926</t>
  </si>
  <si>
    <t>2929</t>
  </si>
  <si>
    <t>2937</t>
  </si>
  <si>
    <t>2939</t>
  </si>
  <si>
    <t>2941</t>
  </si>
  <si>
    <t>2945</t>
  </si>
  <si>
    <t>2947</t>
  </si>
  <si>
    <t>2948</t>
  </si>
  <si>
    <t>2949</t>
  </si>
  <si>
    <t>3002</t>
  </si>
  <si>
    <t>3003</t>
  </si>
  <si>
    <t>3004</t>
  </si>
  <si>
    <t>3005</t>
  </si>
  <si>
    <t>3006</t>
  </si>
  <si>
    <t>3008</t>
  </si>
  <si>
    <t>3010</t>
  </si>
  <si>
    <t>3011</t>
  </si>
  <si>
    <t>3013</t>
  </si>
  <si>
    <t>3014</t>
  </si>
  <si>
    <t>3015</t>
  </si>
  <si>
    <t>3016</t>
  </si>
  <si>
    <t>3017</t>
  </si>
  <si>
    <t>3018</t>
  </si>
  <si>
    <t>3019</t>
  </si>
  <si>
    <t>3021</t>
  </si>
  <si>
    <t>3022</t>
  </si>
  <si>
    <t>3023</t>
  </si>
  <si>
    <t>3024</t>
  </si>
  <si>
    <t>3025</t>
  </si>
  <si>
    <t>3026</t>
  </si>
  <si>
    <t>3027</t>
  </si>
  <si>
    <t>3028</t>
  </si>
  <si>
    <t>3029</t>
  </si>
  <si>
    <t>3030</t>
  </si>
  <si>
    <t>3031</t>
  </si>
  <si>
    <t>3032</t>
  </si>
  <si>
    <t>3033</t>
  </si>
  <si>
    <t>3034</t>
  </si>
  <si>
    <t>3035</t>
  </si>
  <si>
    <t>3036</t>
  </si>
  <si>
    <t>3037</t>
  </si>
  <si>
    <t>3038</t>
  </si>
  <si>
    <t>3040</t>
  </si>
  <si>
    <t>3041</t>
  </si>
  <si>
    <t>3042</t>
  </si>
  <si>
    <t>3043</t>
  </si>
  <si>
    <t>3044</t>
  </si>
  <si>
    <t>3045</t>
  </si>
  <si>
    <t>3046</t>
  </si>
  <si>
    <t>3047</t>
  </si>
  <si>
    <t>3048</t>
  </si>
  <si>
    <t>3049</t>
  </si>
  <si>
    <t>3050</t>
  </si>
  <si>
    <t>3051</t>
  </si>
  <si>
    <t>3052</t>
  </si>
  <si>
    <t>3054</t>
  </si>
  <si>
    <t>3055</t>
  </si>
  <si>
    <t>3056</t>
  </si>
  <si>
    <t>3057</t>
  </si>
  <si>
    <t>3058</t>
  </si>
  <si>
    <t>3059</t>
  </si>
  <si>
    <t>3060</t>
  </si>
  <si>
    <t>3062</t>
  </si>
  <si>
    <t>3064</t>
  </si>
  <si>
    <t>3066</t>
  </si>
  <si>
    <t>3067</t>
  </si>
  <si>
    <t>3071</t>
  </si>
  <si>
    <t>3073</t>
  </si>
  <si>
    <t>3078</t>
  </si>
  <si>
    <t>3081</t>
  </si>
  <si>
    <t>3083</t>
  </si>
  <si>
    <t>3085</t>
  </si>
  <si>
    <t>3086</t>
  </si>
  <si>
    <t>3088</t>
  </si>
  <si>
    <t>3090</t>
  </si>
  <si>
    <t>3092</t>
  </si>
  <si>
    <t>3093</t>
  </si>
  <si>
    <t>3094</t>
  </si>
  <si>
    <t>3095</t>
  </si>
  <si>
    <t>3105</t>
  </si>
  <si>
    <t>3114</t>
  </si>
  <si>
    <t>3115</t>
  </si>
  <si>
    <t>3118</t>
  </si>
  <si>
    <t>3122</t>
  </si>
  <si>
    <t>3128</t>
  </si>
  <si>
    <t>3130</t>
  </si>
  <si>
    <t>3131</t>
  </si>
  <si>
    <t>3135</t>
  </si>
  <si>
    <t>3138</t>
  </si>
  <si>
    <t>3141</t>
  </si>
  <si>
    <t>3147</t>
  </si>
  <si>
    <t>3149</t>
  </si>
  <si>
    <t>3150</t>
  </si>
  <si>
    <t>3152</t>
  </si>
  <si>
    <t>3158</t>
  </si>
  <si>
    <t>3162</t>
  </si>
  <si>
    <t>3163</t>
  </si>
  <si>
    <t>3164</t>
  </si>
  <si>
    <t>3167</t>
  </si>
  <si>
    <t>3168</t>
  </si>
  <si>
    <t>3169</t>
  </si>
  <si>
    <t>3171</t>
  </si>
  <si>
    <t>3176</t>
  </si>
  <si>
    <t>3178</t>
  </si>
  <si>
    <t>3188</t>
  </si>
  <si>
    <t>3189</t>
  </si>
  <si>
    <t>3191</t>
  </si>
  <si>
    <t>3205</t>
  </si>
  <si>
    <t>3206</t>
  </si>
  <si>
    <t>3207</t>
  </si>
  <si>
    <t>3209</t>
  </si>
  <si>
    <t>3211</t>
  </si>
  <si>
    <t>3213</t>
  </si>
  <si>
    <t>3217</t>
  </si>
  <si>
    <t>3218</t>
  </si>
  <si>
    <t>3219</t>
  </si>
  <si>
    <t>3221</t>
  </si>
  <si>
    <t>3224</t>
  </si>
  <si>
    <t>3226</t>
  </si>
  <si>
    <t>3227</t>
  </si>
  <si>
    <t>3228</t>
  </si>
  <si>
    <t>3229</t>
  </si>
  <si>
    <t>3230</t>
  </si>
  <si>
    <t>3231</t>
  </si>
  <si>
    <t>3232</t>
  </si>
  <si>
    <t>3234</t>
  </si>
  <si>
    <t>3236</t>
  </si>
  <si>
    <t>3252</t>
  </si>
  <si>
    <t>3257</t>
  </si>
  <si>
    <t>3259</t>
  </si>
  <si>
    <t>3260</t>
  </si>
  <si>
    <t>3264</t>
  </si>
  <si>
    <t>3265</t>
  </si>
  <si>
    <t>3266</t>
  </si>
  <si>
    <t>3268</t>
  </si>
  <si>
    <t>3272</t>
  </si>
  <si>
    <t>3276</t>
  </si>
  <si>
    <t>3284</t>
  </si>
  <si>
    <t>3285</t>
  </si>
  <si>
    <t>3287</t>
  </si>
  <si>
    <t>3288</t>
  </si>
  <si>
    <t>3289</t>
  </si>
  <si>
    <t>3290</t>
  </si>
  <si>
    <t>3293</t>
  </si>
  <si>
    <t>3294</t>
  </si>
  <si>
    <t>3296</t>
  </si>
  <si>
    <t>3297</t>
  </si>
  <si>
    <t>3303</t>
  </si>
  <si>
    <t>3305</t>
  </si>
  <si>
    <t>3306</t>
  </si>
  <si>
    <t>3308</t>
  </si>
  <si>
    <t>3310</t>
  </si>
  <si>
    <t>3311</t>
  </si>
  <si>
    <t>3312</t>
  </si>
  <si>
    <t>3313</t>
  </si>
  <si>
    <t>3317</t>
  </si>
  <si>
    <t>3321</t>
  </si>
  <si>
    <t>3322</t>
  </si>
  <si>
    <t>3323</t>
  </si>
  <si>
    <t>3324</t>
  </si>
  <si>
    <t>3325</t>
  </si>
  <si>
    <t>3332</t>
  </si>
  <si>
    <t>3338</t>
  </si>
  <si>
    <t>3339</t>
  </si>
  <si>
    <t>3346</t>
  </si>
  <si>
    <t>3349</t>
  </si>
  <si>
    <t>3354</t>
  </si>
  <si>
    <t>3356</t>
  </si>
  <si>
    <t>3357</t>
  </si>
  <si>
    <t>3360</t>
  </si>
  <si>
    <t>3362</t>
  </si>
  <si>
    <t>3363</t>
  </si>
  <si>
    <t>3372</t>
  </si>
  <si>
    <t>3373</t>
  </si>
  <si>
    <t>3374</t>
  </si>
  <si>
    <t>3376</t>
  </si>
  <si>
    <t>3379</t>
  </si>
  <si>
    <t>3380</t>
  </si>
  <si>
    <t>3388</t>
  </si>
  <si>
    <t>3390</t>
  </si>
  <si>
    <t>3402</t>
  </si>
  <si>
    <t>3406</t>
  </si>
  <si>
    <t>3413</t>
  </si>
  <si>
    <t>3416</t>
  </si>
  <si>
    <t>3419</t>
  </si>
  <si>
    <t>3426</t>
  </si>
  <si>
    <t>3430</t>
  </si>
  <si>
    <t>3432</t>
  </si>
  <si>
    <t>3434</t>
  </si>
  <si>
    <t>3437</t>
  </si>
  <si>
    <t>3438</t>
  </si>
  <si>
    <t>3441</t>
  </si>
  <si>
    <t>3443</t>
  </si>
  <si>
    <t>3444</t>
  </si>
  <si>
    <t>3447</t>
  </si>
  <si>
    <t>3450</t>
  </si>
  <si>
    <t>3454</t>
  </si>
  <si>
    <t>3455</t>
  </si>
  <si>
    <t>3465</t>
  </si>
  <si>
    <t>3466</t>
  </si>
  <si>
    <t>3467</t>
  </si>
  <si>
    <t>3479</t>
  </si>
  <si>
    <t>3481</t>
  </si>
  <si>
    <t>3483</t>
  </si>
  <si>
    <t>3484</t>
  </si>
  <si>
    <t>3489</t>
  </si>
  <si>
    <t>3490</t>
  </si>
  <si>
    <t>3491</t>
  </si>
  <si>
    <t>3492</t>
  </si>
  <si>
    <t>3494</t>
  </si>
  <si>
    <t>3498</t>
  </si>
  <si>
    <t>3499</t>
  </si>
  <si>
    <t>3501</t>
  </si>
  <si>
    <t>3504</t>
  </si>
  <si>
    <t>3508</t>
  </si>
  <si>
    <t>3511</t>
  </si>
  <si>
    <t>3512</t>
  </si>
  <si>
    <t>3515</t>
  </si>
  <si>
    <t>3516</t>
  </si>
  <si>
    <t>3518</t>
  </si>
  <si>
    <t>3520</t>
  </si>
  <si>
    <t>3521</t>
  </si>
  <si>
    <t>3522</t>
  </si>
  <si>
    <t>3523</t>
  </si>
  <si>
    <t>3526</t>
  </si>
  <si>
    <t>3527</t>
  </si>
  <si>
    <t>3528</t>
  </si>
  <si>
    <t>3529</t>
  </si>
  <si>
    <t>3530</t>
  </si>
  <si>
    <t>3531</t>
  </si>
  <si>
    <t>3532</t>
  </si>
  <si>
    <t>3533</t>
  </si>
  <si>
    <t>3535</t>
  </si>
  <si>
    <t>3537</t>
  </si>
  <si>
    <t>3540</t>
  </si>
  <si>
    <t>3541</t>
  </si>
  <si>
    <t>3543</t>
  </si>
  <si>
    <t>3545</t>
  </si>
  <si>
    <t>3546</t>
  </si>
  <si>
    <t>3548</t>
  </si>
  <si>
    <t>3550</t>
  </si>
  <si>
    <t>3551</t>
  </si>
  <si>
    <t>3552</t>
  </si>
  <si>
    <t>3555</t>
  </si>
  <si>
    <t>3556</t>
  </si>
  <si>
    <t>3557</t>
  </si>
  <si>
    <t>3558</t>
  </si>
  <si>
    <t>3563</t>
  </si>
  <si>
    <t>3564</t>
  </si>
  <si>
    <t>3567</t>
  </si>
  <si>
    <t>3570</t>
  </si>
  <si>
    <t>3576</t>
  </si>
  <si>
    <t>3577</t>
  </si>
  <si>
    <t>3580</t>
  </si>
  <si>
    <t>3581</t>
  </si>
  <si>
    <t>3583</t>
  </si>
  <si>
    <t>3587</t>
  </si>
  <si>
    <t>3588</t>
  </si>
  <si>
    <t>3591</t>
  </si>
  <si>
    <t>3592</t>
  </si>
  <si>
    <t>3593</t>
  </si>
  <si>
    <t>3594</t>
  </si>
  <si>
    <t>3596</t>
  </si>
  <si>
    <t>3597</t>
  </si>
  <si>
    <t>3605</t>
  </si>
  <si>
    <t>3607</t>
  </si>
  <si>
    <t>3609</t>
  </si>
  <si>
    <t>3611</t>
  </si>
  <si>
    <t>3615</t>
  </si>
  <si>
    <t>3617</t>
  </si>
  <si>
    <t>3622</t>
  </si>
  <si>
    <t>3623</t>
  </si>
  <si>
    <t>3624</t>
  </si>
  <si>
    <t>3625</t>
  </si>
  <si>
    <t>3628</t>
  </si>
  <si>
    <t>3629</t>
  </si>
  <si>
    <t>3630</t>
  </si>
  <si>
    <t>3631</t>
  </si>
  <si>
    <t>3632</t>
  </si>
  <si>
    <t>3645</t>
  </si>
  <si>
    <t>3646</t>
  </si>
  <si>
    <t>3652</t>
  </si>
  <si>
    <t>3653</t>
  </si>
  <si>
    <t>3661</t>
  </si>
  <si>
    <t>3663</t>
  </si>
  <si>
    <t>3664</t>
  </si>
  <si>
    <t>3665</t>
  </si>
  <si>
    <t>3666</t>
  </si>
  <si>
    <t>3669</t>
  </si>
  <si>
    <t>3672</t>
  </si>
  <si>
    <t>3673</t>
  </si>
  <si>
    <t>3675</t>
  </si>
  <si>
    <t>3679</t>
  </si>
  <si>
    <t>3680</t>
  </si>
  <si>
    <t>3684</t>
  </si>
  <si>
    <t>3685</t>
  </si>
  <si>
    <t>3686</t>
  </si>
  <si>
    <t>3687</t>
  </si>
  <si>
    <t>3689</t>
  </si>
  <si>
    <t>3691</t>
  </si>
  <si>
    <t>3693</t>
  </si>
  <si>
    <t>3694</t>
  </si>
  <si>
    <t>3701</t>
  </si>
  <si>
    <t>3702</t>
  </si>
  <si>
    <t>3703</t>
  </si>
  <si>
    <t>3704</t>
  </si>
  <si>
    <t>3705</t>
  </si>
  <si>
    <t>3706</t>
  </si>
  <si>
    <t>3707</t>
  </si>
  <si>
    <t>3708</t>
  </si>
  <si>
    <t>3709</t>
  </si>
  <si>
    <t>3710</t>
  </si>
  <si>
    <t>3711</t>
  </si>
  <si>
    <t>3712</t>
  </si>
  <si>
    <t>3713</t>
  </si>
  <si>
    <t>3714</t>
  </si>
  <si>
    <t>3715</t>
  </si>
  <si>
    <t>3716</t>
  </si>
  <si>
    <t>3717</t>
  </si>
  <si>
    <t>4102</t>
  </si>
  <si>
    <t>4104</t>
  </si>
  <si>
    <t>4105</t>
  </si>
  <si>
    <t>4106</t>
  </si>
  <si>
    <t>4107</t>
  </si>
  <si>
    <t>4108</t>
  </si>
  <si>
    <t>4109</t>
  </si>
  <si>
    <t>4111</t>
  </si>
  <si>
    <t>4113</t>
  </si>
  <si>
    <t>4114</t>
  </si>
  <si>
    <t>4116</t>
  </si>
  <si>
    <t>4119</t>
  </si>
  <si>
    <t>4120</t>
  </si>
  <si>
    <t>4121</t>
  </si>
  <si>
    <t>4123</t>
  </si>
  <si>
    <t>4126</t>
  </si>
  <si>
    <t>4127</t>
  </si>
  <si>
    <t>4128</t>
  </si>
  <si>
    <t>4129</t>
  </si>
  <si>
    <t>4130</t>
  </si>
  <si>
    <t>4131</t>
  </si>
  <si>
    <t>4133</t>
  </si>
  <si>
    <t>4137</t>
  </si>
  <si>
    <t>4138</t>
  </si>
  <si>
    <t>4139</t>
  </si>
  <si>
    <t>4142</t>
  </si>
  <si>
    <t>4147</t>
  </si>
  <si>
    <t>4148</t>
  </si>
  <si>
    <t>4153</t>
  </si>
  <si>
    <t>4154</t>
  </si>
  <si>
    <t>4155</t>
  </si>
  <si>
    <t>4157</t>
  </si>
  <si>
    <t>4160</t>
  </si>
  <si>
    <t>4161</t>
  </si>
  <si>
    <t>4162</t>
  </si>
  <si>
    <t>4163</t>
  </si>
  <si>
    <t>4164</t>
  </si>
  <si>
    <t>4166</t>
  </si>
  <si>
    <t>4167</t>
  </si>
  <si>
    <t>4168</t>
  </si>
  <si>
    <t>4171</t>
  </si>
  <si>
    <t>4173</t>
  </si>
  <si>
    <t>4174</t>
  </si>
  <si>
    <t>4175</t>
  </si>
  <si>
    <t>4183</t>
  </si>
  <si>
    <t>4188</t>
  </si>
  <si>
    <t>4190</t>
  </si>
  <si>
    <t>4192</t>
  </si>
  <si>
    <t>4198</t>
  </si>
  <si>
    <t>4205</t>
  </si>
  <si>
    <t>4207</t>
  </si>
  <si>
    <t>4303</t>
  </si>
  <si>
    <t>4304</t>
  </si>
  <si>
    <t>4305</t>
  </si>
  <si>
    <t>4306</t>
  </si>
  <si>
    <t>4401</t>
  </si>
  <si>
    <t>4402</t>
  </si>
  <si>
    <t>4406</t>
  </si>
  <si>
    <t>4413</t>
  </si>
  <si>
    <t>4414</t>
  </si>
  <si>
    <t>4416</t>
  </si>
  <si>
    <t>4417</t>
  </si>
  <si>
    <t>4419</t>
  </si>
  <si>
    <t>4420</t>
  </si>
  <si>
    <t>4426</t>
  </si>
  <si>
    <t>4430</t>
  </si>
  <si>
    <t>4432</t>
  </si>
  <si>
    <t>4433</t>
  </si>
  <si>
    <t>4438</t>
  </si>
  <si>
    <t>4439</t>
  </si>
  <si>
    <t>4440</t>
  </si>
  <si>
    <t>4441</t>
  </si>
  <si>
    <t>4442</t>
  </si>
  <si>
    <t>4502</t>
  </si>
  <si>
    <t>4503</t>
  </si>
  <si>
    <t>4506</t>
  </si>
  <si>
    <t>4510</t>
  </si>
  <si>
    <t>4513</t>
  </si>
  <si>
    <t>4523</t>
  </si>
  <si>
    <t>4526</t>
  </si>
  <si>
    <t>4527</t>
  </si>
  <si>
    <t>4528</t>
  </si>
  <si>
    <t>4529</t>
  </si>
  <si>
    <t>4530</t>
  </si>
  <si>
    <t>4532</t>
  </si>
  <si>
    <t>4533</t>
  </si>
  <si>
    <t>4534</t>
  </si>
  <si>
    <t>4535</t>
  </si>
  <si>
    <t>4536</t>
  </si>
  <si>
    <t>4538</t>
  </si>
  <si>
    <t>4540</t>
  </si>
  <si>
    <t>4541</t>
  </si>
  <si>
    <t>4542</t>
  </si>
  <si>
    <t>4543</t>
  </si>
  <si>
    <t>4545</t>
  </si>
  <si>
    <t>4549</t>
  </si>
  <si>
    <t>4550</t>
  </si>
  <si>
    <t>4551</t>
  </si>
  <si>
    <t>4552</t>
  </si>
  <si>
    <t>4554</t>
  </si>
  <si>
    <t>4555</t>
  </si>
  <si>
    <t>4556</t>
  </si>
  <si>
    <t>4557</t>
  </si>
  <si>
    <t>4558</t>
  </si>
  <si>
    <t>4560</t>
  </si>
  <si>
    <t>4561</t>
  </si>
  <si>
    <t>4562</t>
  </si>
  <si>
    <t>4563</t>
  </si>
  <si>
    <t>4564</t>
  </si>
  <si>
    <t>4566</t>
  </si>
  <si>
    <t>4568</t>
  </si>
  <si>
    <t>4569</t>
  </si>
  <si>
    <t>4571</t>
  </si>
  <si>
    <t>4572</t>
  </si>
  <si>
    <t>4576</t>
  </si>
  <si>
    <t>4577</t>
  </si>
  <si>
    <t>4580</t>
  </si>
  <si>
    <t>4581</t>
  </si>
  <si>
    <t>4583</t>
  </si>
  <si>
    <t>4584</t>
  </si>
  <si>
    <t>4585</t>
  </si>
  <si>
    <t>4588</t>
  </si>
  <si>
    <t>4590</t>
  </si>
  <si>
    <t>4609</t>
  </si>
  <si>
    <t>4702</t>
  </si>
  <si>
    <t>4706</t>
  </si>
  <si>
    <t>4707</t>
  </si>
  <si>
    <t>4711</t>
  </si>
  <si>
    <t>4714</t>
  </si>
  <si>
    <t>4716</t>
  </si>
  <si>
    <t>4720</t>
  </si>
  <si>
    <t>4721</t>
  </si>
  <si>
    <t>4722</t>
  </si>
  <si>
    <t>4726</t>
  </si>
  <si>
    <t>4728</t>
  </si>
  <si>
    <t>4729</t>
  </si>
  <si>
    <t>4735</t>
  </si>
  <si>
    <t>4736</t>
  </si>
  <si>
    <t>4737</t>
  </si>
  <si>
    <t>4739</t>
  </si>
  <si>
    <t>4741</t>
  </si>
  <si>
    <t>4743</t>
  </si>
  <si>
    <t>4744</t>
  </si>
  <si>
    <t>4745</t>
  </si>
  <si>
    <t>4746</t>
  </si>
  <si>
    <t>4747</t>
  </si>
  <si>
    <t>4749</t>
  </si>
  <si>
    <t>4754</t>
  </si>
  <si>
    <t>4755</t>
  </si>
  <si>
    <t>4760</t>
  </si>
  <si>
    <t>4763</t>
  </si>
  <si>
    <t>4764</t>
  </si>
  <si>
    <t>4766</t>
  </si>
  <si>
    <t>4767</t>
  </si>
  <si>
    <t>4768</t>
  </si>
  <si>
    <t>4770</t>
  </si>
  <si>
    <t>4771</t>
  </si>
  <si>
    <t>4772</t>
  </si>
  <si>
    <t>4804</t>
  </si>
  <si>
    <t>4806</t>
  </si>
  <si>
    <t>4807</t>
  </si>
  <si>
    <t>4903</t>
  </si>
  <si>
    <t>4904</t>
  </si>
  <si>
    <t>4905</t>
  </si>
  <si>
    <t>4906</t>
  </si>
  <si>
    <t>4907</t>
  </si>
  <si>
    <t>4908</t>
  </si>
  <si>
    <t>4909</t>
  </si>
  <si>
    <t>4911</t>
  </si>
  <si>
    <t>4912</t>
  </si>
  <si>
    <t>4915</t>
  </si>
  <si>
    <t>4916</t>
  </si>
  <si>
    <t>4919</t>
  </si>
  <si>
    <t>4923</t>
  </si>
  <si>
    <t>4924</t>
  </si>
  <si>
    <t>4927</t>
  </si>
  <si>
    <t>4930</t>
  </si>
  <si>
    <t>4931</t>
  </si>
  <si>
    <t>4933</t>
  </si>
  <si>
    <t>4934</t>
  </si>
  <si>
    <t>4935</t>
  </si>
  <si>
    <t>4938</t>
  </si>
  <si>
    <t>4939</t>
  </si>
  <si>
    <t>4942</t>
  </si>
  <si>
    <t>4943</t>
  </si>
  <si>
    <t>4946</t>
  </si>
  <si>
    <t>4949</t>
  </si>
  <si>
    <t>4950</t>
  </si>
  <si>
    <t>4951</t>
  </si>
  <si>
    <t>4952</t>
  </si>
  <si>
    <t>4953</t>
  </si>
  <si>
    <t>4956</t>
  </si>
  <si>
    <t>4958</t>
  </si>
  <si>
    <t>4960</t>
  </si>
  <si>
    <t>4961</t>
  </si>
  <si>
    <t>4966</t>
  </si>
  <si>
    <t>4967</t>
  </si>
  <si>
    <t>4968</t>
  </si>
  <si>
    <t>4971</t>
  </si>
  <si>
    <t>4972</t>
  </si>
  <si>
    <t>4973</t>
  </si>
  <si>
    <t>4974</t>
  </si>
  <si>
    <t>4976</t>
  </si>
  <si>
    <t>4977</t>
  </si>
  <si>
    <t>4979</t>
  </si>
  <si>
    <t>4987</t>
  </si>
  <si>
    <t>4989</t>
  </si>
  <si>
    <t>4991</t>
  </si>
  <si>
    <t>4994</t>
  </si>
  <si>
    <t>4995</t>
  </si>
  <si>
    <t>4999</t>
  </si>
  <si>
    <t>5007</t>
  </si>
  <si>
    <t>5009</t>
  </si>
  <si>
    <t>5011</t>
  </si>
  <si>
    <t>5013</t>
  </si>
  <si>
    <t>5014</t>
  </si>
  <si>
    <t>5015</t>
  </si>
  <si>
    <t>5016</t>
  </si>
  <si>
    <t>5201</t>
  </si>
  <si>
    <t>5202</t>
  </si>
  <si>
    <t>5203</t>
  </si>
  <si>
    <t>5205</t>
  </si>
  <si>
    <t>5206</t>
  </si>
  <si>
    <t>5209</t>
  </si>
  <si>
    <t>5210</t>
  </si>
  <si>
    <t>5211</t>
  </si>
  <si>
    <t>5212</t>
  </si>
  <si>
    <t>5213</t>
  </si>
  <si>
    <t>5215</t>
  </si>
  <si>
    <t>5220</t>
  </si>
  <si>
    <t>5222</t>
  </si>
  <si>
    <t>5223</t>
  </si>
  <si>
    <t>5225</t>
  </si>
  <si>
    <t>5227</t>
  </si>
  <si>
    <t>5228</t>
  </si>
  <si>
    <t>5230</t>
  </si>
  <si>
    <t>5234</t>
  </si>
  <si>
    <t>5236</t>
  </si>
  <si>
    <t>5243</t>
  </si>
  <si>
    <t>5244</t>
  </si>
  <si>
    <t>5245</t>
  </si>
  <si>
    <t>5251</t>
  </si>
  <si>
    <t>5258</t>
  </si>
  <si>
    <t>5263</t>
  </si>
  <si>
    <t>5269</t>
  </si>
  <si>
    <t>5272</t>
  </si>
  <si>
    <t>5274</t>
  </si>
  <si>
    <t>5276</t>
  </si>
  <si>
    <t>5278</t>
  </si>
  <si>
    <t>5283</t>
  </si>
  <si>
    <t>5284</t>
  </si>
  <si>
    <t>5285</t>
  </si>
  <si>
    <t>5287</t>
  </si>
  <si>
    <t>5288</t>
  </si>
  <si>
    <t>5289</t>
  </si>
  <si>
    <t>5291</t>
  </si>
  <si>
    <t>5292</t>
  </si>
  <si>
    <t>5299</t>
  </si>
  <si>
    <t>5301</t>
  </si>
  <si>
    <t>5302</t>
  </si>
  <si>
    <t>5306</t>
  </si>
  <si>
    <t>5309</t>
  </si>
  <si>
    <t>5310</t>
  </si>
  <si>
    <t>5312</t>
  </si>
  <si>
    <t>5314</t>
  </si>
  <si>
    <t>5315</t>
  </si>
  <si>
    <t>5321</t>
  </si>
  <si>
    <t>5324</t>
  </si>
  <si>
    <t>5328</t>
  </si>
  <si>
    <t>5340</t>
  </si>
  <si>
    <t>5344</t>
  </si>
  <si>
    <t>5345</t>
  </si>
  <si>
    <t>5347</t>
  </si>
  <si>
    <t>5348</t>
  </si>
  <si>
    <t>5351</t>
  </si>
  <si>
    <t>5353</t>
  </si>
  <si>
    <t>5355</t>
  </si>
  <si>
    <t>5356</t>
  </si>
  <si>
    <t>5364</t>
  </si>
  <si>
    <t>5371</t>
  </si>
  <si>
    <t>5381</t>
  </si>
  <si>
    <t>5386</t>
  </si>
  <si>
    <t>5388</t>
  </si>
  <si>
    <t>5392</t>
  </si>
  <si>
    <t>5398</t>
  </si>
  <si>
    <t>5403</t>
  </si>
  <si>
    <t>5410</t>
  </si>
  <si>
    <t>5425</t>
  </si>
  <si>
    <t>5426</t>
  </si>
  <si>
    <t>5432</t>
  </si>
  <si>
    <t>5434</t>
  </si>
  <si>
    <t>5438</t>
  </si>
  <si>
    <t>5439</t>
  </si>
  <si>
    <t>5443</t>
  </si>
  <si>
    <t>5450</t>
  </si>
  <si>
    <t>5452</t>
  </si>
  <si>
    <t>5455</t>
  </si>
  <si>
    <t>5457</t>
  </si>
  <si>
    <t>5460</t>
  </si>
  <si>
    <t>5464</t>
  </si>
  <si>
    <t>5465</t>
  </si>
  <si>
    <t>5468</t>
  </si>
  <si>
    <t>5469</t>
  </si>
  <si>
    <t>5471</t>
  </si>
  <si>
    <t>5474</t>
  </si>
  <si>
    <t>5475</t>
  </si>
  <si>
    <t>5478</t>
  </si>
  <si>
    <t>5481</t>
  </si>
  <si>
    <t>5483</t>
  </si>
  <si>
    <t>5484</t>
  </si>
  <si>
    <t>5487</t>
  </si>
  <si>
    <t>5488</t>
  </si>
  <si>
    <t>5489</t>
  </si>
  <si>
    <t>5490</t>
  </si>
  <si>
    <t>5493</t>
  </si>
  <si>
    <t>5498</t>
  </si>
  <si>
    <t>5508</t>
  </si>
  <si>
    <t>5511</t>
  </si>
  <si>
    <t>5512</t>
  </si>
  <si>
    <t>5514</t>
  </si>
  <si>
    <t>5515</t>
  </si>
  <si>
    <t>5516</t>
  </si>
  <si>
    <t>5519</t>
  </si>
  <si>
    <t>5520</t>
  </si>
  <si>
    <t>5521</t>
  </si>
  <si>
    <t>5522</t>
  </si>
  <si>
    <t>5523</t>
  </si>
  <si>
    <t>5525</t>
  </si>
  <si>
    <t>5529</t>
  </si>
  <si>
    <t>5530</t>
  </si>
  <si>
    <t>5531</t>
  </si>
  <si>
    <t>5533</t>
  </si>
  <si>
    <t>5534</t>
  </si>
  <si>
    <t>5536</t>
  </si>
  <si>
    <t>5538</t>
  </si>
  <si>
    <t>5543</t>
  </si>
  <si>
    <t>5546</t>
  </si>
  <si>
    <t>5547</t>
  </si>
  <si>
    <t>5548</t>
  </si>
  <si>
    <t>5601</t>
  </si>
  <si>
    <t>5603</t>
  </si>
  <si>
    <t>5604</t>
  </si>
  <si>
    <t>5607</t>
  </si>
  <si>
    <t>5608</t>
  </si>
  <si>
    <t>5609</t>
  </si>
  <si>
    <t>5701</t>
  </si>
  <si>
    <t>5703</t>
  </si>
  <si>
    <t>5704</t>
  </si>
  <si>
    <t>5706</t>
  </si>
  <si>
    <t>5864</t>
  </si>
  <si>
    <t>5871</t>
  </si>
  <si>
    <t>5876</t>
  </si>
  <si>
    <t>5878</t>
  </si>
  <si>
    <t>5880</t>
  </si>
  <si>
    <t>5902</t>
  </si>
  <si>
    <t>5903</t>
  </si>
  <si>
    <t>5904</t>
  </si>
  <si>
    <t>5905</t>
  </si>
  <si>
    <t>5906</t>
  </si>
  <si>
    <t>5907</t>
  </si>
  <si>
    <t>6005</t>
  </si>
  <si>
    <t>6015</t>
  </si>
  <si>
    <t>6016</t>
  </si>
  <si>
    <t>6020</t>
  </si>
  <si>
    <t>6021</t>
  </si>
  <si>
    <t>6023</t>
  </si>
  <si>
    <t>6024</t>
  </si>
  <si>
    <t>6026</t>
  </si>
  <si>
    <t>6101</t>
  </si>
  <si>
    <t>6103</t>
  </si>
  <si>
    <t>6104</t>
  </si>
  <si>
    <t>6108</t>
  </si>
  <si>
    <t>6109</t>
  </si>
  <si>
    <t>6111</t>
  </si>
  <si>
    <t>6112</t>
  </si>
  <si>
    <t>6113</t>
  </si>
  <si>
    <t>6114</t>
  </si>
  <si>
    <t>6115</t>
  </si>
  <si>
    <t>6116</t>
  </si>
  <si>
    <t>6117</t>
  </si>
  <si>
    <t>6118</t>
  </si>
  <si>
    <t>6120</t>
  </si>
  <si>
    <t>6121</t>
  </si>
  <si>
    <t>6122</t>
  </si>
  <si>
    <t>6123</t>
  </si>
  <si>
    <t>6124</t>
  </si>
  <si>
    <t>6125</t>
  </si>
  <si>
    <t>6126</t>
  </si>
  <si>
    <t>6127</t>
  </si>
  <si>
    <t>6128</t>
  </si>
  <si>
    <t>6129</t>
  </si>
  <si>
    <t>6130</t>
  </si>
  <si>
    <t>6133</t>
  </si>
  <si>
    <t>6134</t>
  </si>
  <si>
    <t>6136</t>
  </si>
  <si>
    <t>6138</t>
  </si>
  <si>
    <t>6139</t>
  </si>
  <si>
    <t>6140</t>
  </si>
  <si>
    <t>6141</t>
  </si>
  <si>
    <t>6142</t>
  </si>
  <si>
    <t>6143</t>
  </si>
  <si>
    <t>6144</t>
  </si>
  <si>
    <t>6146</t>
  </si>
  <si>
    <t>6147</t>
  </si>
  <si>
    <t>6148</t>
  </si>
  <si>
    <t>6150</t>
  </si>
  <si>
    <t>6151</t>
  </si>
  <si>
    <t>6152</t>
  </si>
  <si>
    <t>6153</t>
  </si>
  <si>
    <t>6154</t>
  </si>
  <si>
    <t>6155</t>
  </si>
  <si>
    <t>6156</t>
  </si>
  <si>
    <t>6158</t>
  </si>
  <si>
    <t>6160</t>
  </si>
  <si>
    <t>6161</t>
  </si>
  <si>
    <t>6163</t>
  </si>
  <si>
    <t>6164</t>
  </si>
  <si>
    <t>6165</t>
  </si>
  <si>
    <t>6166</t>
  </si>
  <si>
    <t>6167</t>
  </si>
  <si>
    <t>6168</t>
  </si>
  <si>
    <t>6169</t>
  </si>
  <si>
    <t>6170</t>
  </si>
  <si>
    <t>6171</t>
  </si>
  <si>
    <t>6173</t>
  </si>
  <si>
    <t>6174</t>
  </si>
  <si>
    <t>6175</t>
  </si>
  <si>
    <t>6176</t>
  </si>
  <si>
    <t>6177</t>
  </si>
  <si>
    <t>6179</t>
  </si>
  <si>
    <t>6180</t>
  </si>
  <si>
    <t>6182</t>
  </si>
  <si>
    <t>6183</t>
  </si>
  <si>
    <t>6184</t>
  </si>
  <si>
    <t>6185</t>
  </si>
  <si>
    <t>6186</t>
  </si>
  <si>
    <t>6187</t>
  </si>
  <si>
    <t>6188</t>
  </si>
  <si>
    <t>6189</t>
  </si>
  <si>
    <t>6190</t>
  </si>
  <si>
    <t>6191</t>
  </si>
  <si>
    <t>6192</t>
  </si>
  <si>
    <t>6194</t>
  </si>
  <si>
    <t>6195</t>
  </si>
  <si>
    <t>6196</t>
  </si>
  <si>
    <t>6197</t>
  </si>
  <si>
    <t>6198</t>
  </si>
  <si>
    <t>6199</t>
  </si>
  <si>
    <t>6201</t>
  </si>
  <si>
    <t>6202</t>
  </si>
  <si>
    <t>6203</t>
  </si>
  <si>
    <t>6204</t>
  </si>
  <si>
    <t>6205</t>
  </si>
  <si>
    <t>6206</t>
  </si>
  <si>
    <t>6207</t>
  </si>
  <si>
    <t>6208</t>
  </si>
  <si>
    <t>6209</t>
  </si>
  <si>
    <t>6210</t>
  </si>
  <si>
    <t>6212</t>
  </si>
  <si>
    <t>6213</t>
  </si>
  <si>
    <t>6214</t>
  </si>
  <si>
    <t>6215</t>
  </si>
  <si>
    <t>6216</t>
  </si>
  <si>
    <t>6217</t>
  </si>
  <si>
    <t>6218</t>
  </si>
  <si>
    <t>6219</t>
  </si>
  <si>
    <t>6220</t>
  </si>
  <si>
    <t>6221</t>
  </si>
  <si>
    <t>6222</t>
  </si>
  <si>
    <t>6223</t>
  </si>
  <si>
    <t>6224</t>
  </si>
  <si>
    <t>6225</t>
  </si>
  <si>
    <t>6226</t>
  </si>
  <si>
    <t>6227</t>
  </si>
  <si>
    <t>6228</t>
  </si>
  <si>
    <t>6229</t>
  </si>
  <si>
    <t>6230</t>
  </si>
  <si>
    <t>6231</t>
  </si>
  <si>
    <t>6233</t>
  </si>
  <si>
    <t>6234</t>
  </si>
  <si>
    <t>6235</t>
  </si>
  <si>
    <t>6236</t>
  </si>
  <si>
    <t>6237</t>
  </si>
  <si>
    <t>6239</t>
  </si>
  <si>
    <t>6240</t>
  </si>
  <si>
    <t>6241</t>
  </si>
  <si>
    <t>6242</t>
  </si>
  <si>
    <t>6243</t>
  </si>
  <si>
    <t>6244</t>
  </si>
  <si>
    <t>6245</t>
  </si>
  <si>
    <t>6246</t>
  </si>
  <si>
    <t>6248</t>
  </si>
  <si>
    <t>6257</t>
  </si>
  <si>
    <t>6259</t>
  </si>
  <si>
    <t>6261</t>
  </si>
  <si>
    <t>6263</t>
  </si>
  <si>
    <t>6264</t>
  </si>
  <si>
    <t>6265</t>
  </si>
  <si>
    <t>6266</t>
  </si>
  <si>
    <t>6269</t>
  </si>
  <si>
    <t>6270</t>
  </si>
  <si>
    <t>6271</t>
  </si>
  <si>
    <t>6272</t>
  </si>
  <si>
    <t>6274</t>
  </si>
  <si>
    <t>6275</t>
  </si>
  <si>
    <t>6276</t>
  </si>
  <si>
    <t>6277</t>
  </si>
  <si>
    <t>6278</t>
  </si>
  <si>
    <t>6279</t>
  </si>
  <si>
    <t>6281</t>
  </si>
  <si>
    <t>6282</t>
  </si>
  <si>
    <t>6283</t>
  </si>
  <si>
    <t>6284</t>
  </si>
  <si>
    <t>6285</t>
  </si>
  <si>
    <t>6290</t>
  </si>
  <si>
    <t>6291</t>
  </si>
  <si>
    <t>6292</t>
  </si>
  <si>
    <t>6294</t>
  </si>
  <si>
    <t>6405</t>
  </si>
  <si>
    <t>6409</t>
  </si>
  <si>
    <t>6411</t>
  </si>
  <si>
    <t>6412</t>
  </si>
  <si>
    <t>6414</t>
  </si>
  <si>
    <t>6415</t>
  </si>
  <si>
    <t>6416</t>
  </si>
  <si>
    <t>6417</t>
  </si>
  <si>
    <t>6418</t>
  </si>
  <si>
    <t>6419</t>
  </si>
  <si>
    <t>6423</t>
  </si>
  <si>
    <t>6425</t>
  </si>
  <si>
    <t>6426</t>
  </si>
  <si>
    <t>6431</t>
  </si>
  <si>
    <t>6432</t>
  </si>
  <si>
    <t>6435</t>
  </si>
  <si>
    <t>6438</t>
  </si>
  <si>
    <t>6441</t>
  </si>
  <si>
    <t>6442</t>
  </si>
  <si>
    <t>6443</t>
  </si>
  <si>
    <t>6446</t>
  </si>
  <si>
    <t>6449</t>
  </si>
  <si>
    <t>6451</t>
  </si>
  <si>
    <t>6456</t>
  </si>
  <si>
    <t>6461</t>
  </si>
  <si>
    <t>6462</t>
  </si>
  <si>
    <t>6464</t>
  </si>
  <si>
    <t>6465</t>
  </si>
  <si>
    <t>6469</t>
  </si>
  <si>
    <t>6470</t>
  </si>
  <si>
    <t>6472</t>
  </si>
  <si>
    <t>6474</t>
  </si>
  <si>
    <t>6477</t>
  </si>
  <si>
    <t>6482</t>
  </si>
  <si>
    <t>6485</t>
  </si>
  <si>
    <t>6486</t>
  </si>
  <si>
    <t>6488</t>
  </si>
  <si>
    <t>6491</t>
  </si>
  <si>
    <t>6492</t>
  </si>
  <si>
    <t>6494</t>
  </si>
  <si>
    <t>6496</t>
  </si>
  <si>
    <t>6498</t>
  </si>
  <si>
    <t>6499</t>
  </si>
  <si>
    <t>6504</t>
  </si>
  <si>
    <t>6505</t>
  </si>
  <si>
    <t>6506</t>
  </si>
  <si>
    <t>6508</t>
  </si>
  <si>
    <t>6509</t>
  </si>
  <si>
    <t>6510</t>
  </si>
  <si>
    <t>6512</t>
  </si>
  <si>
    <t>6515</t>
  </si>
  <si>
    <t>6516</t>
  </si>
  <si>
    <t>6517</t>
  </si>
  <si>
    <t>6523</t>
  </si>
  <si>
    <t>6525</t>
  </si>
  <si>
    <t>6526</t>
  </si>
  <si>
    <t>6527</t>
  </si>
  <si>
    <t>6530</t>
  </si>
  <si>
    <t>6531</t>
  </si>
  <si>
    <t>6532</t>
  </si>
  <si>
    <t>6533</t>
  </si>
  <si>
    <t>6534</t>
  </si>
  <si>
    <t>6535</t>
  </si>
  <si>
    <t>6538</t>
  </si>
  <si>
    <t>6541</t>
  </si>
  <si>
    <t>6542</t>
  </si>
  <si>
    <t>6546</t>
  </si>
  <si>
    <t>6547</t>
  </si>
  <si>
    <t>6548</t>
  </si>
  <si>
    <t>6550</t>
  </si>
  <si>
    <t>6552</t>
  </si>
  <si>
    <t>6556</t>
  </si>
  <si>
    <t>6558</t>
  </si>
  <si>
    <t>6560</t>
  </si>
  <si>
    <t>6561</t>
  </si>
  <si>
    <t>6568</t>
  </si>
  <si>
    <t>6569</t>
  </si>
  <si>
    <t>6570</t>
  </si>
  <si>
    <t>6573</t>
  </si>
  <si>
    <t>6574</t>
  </si>
  <si>
    <t>6576</t>
  </si>
  <si>
    <t>6577</t>
  </si>
  <si>
    <t>6578</t>
  </si>
  <si>
    <t>6579</t>
  </si>
  <si>
    <t>6581</t>
  </si>
  <si>
    <t>6582</t>
  </si>
  <si>
    <t>6584</t>
  </si>
  <si>
    <t>6585</t>
  </si>
  <si>
    <t>6588</t>
  </si>
  <si>
    <t>6589</t>
  </si>
  <si>
    <t>6590</t>
  </si>
  <si>
    <t>6591</t>
  </si>
  <si>
    <t>6592</t>
  </si>
  <si>
    <t>6593</t>
  </si>
  <si>
    <t>6596</t>
  </si>
  <si>
    <t>6597</t>
  </si>
  <si>
    <t>6598</t>
  </si>
  <si>
    <t>6603</t>
  </si>
  <si>
    <t>6605</t>
  </si>
  <si>
    <t>6606</t>
  </si>
  <si>
    <t>6609</t>
  </si>
  <si>
    <t>6612</t>
  </si>
  <si>
    <t>6613</t>
  </si>
  <si>
    <t>6614</t>
  </si>
  <si>
    <t>6615</t>
  </si>
  <si>
    <t>6616</t>
  </si>
  <si>
    <t>6617</t>
  </si>
  <si>
    <t>6620</t>
  </si>
  <si>
    <t>6624</t>
  </si>
  <si>
    <t>6625</t>
  </si>
  <si>
    <t>6629</t>
  </si>
  <si>
    <t>6637</t>
  </si>
  <si>
    <t>6640</t>
  </si>
  <si>
    <t>6641</t>
  </si>
  <si>
    <t>6642</t>
  </si>
  <si>
    <t>6643</t>
  </si>
  <si>
    <t>6645</t>
  </si>
  <si>
    <t>6649</t>
  </si>
  <si>
    <t>6651</t>
  </si>
  <si>
    <t>6654</t>
  </si>
  <si>
    <t>6655</t>
  </si>
  <si>
    <t>6657</t>
  </si>
  <si>
    <t>6658</t>
  </si>
  <si>
    <t>6661</t>
  </si>
  <si>
    <t>6662</t>
  </si>
  <si>
    <t>6664</t>
  </si>
  <si>
    <t>6666</t>
  </si>
  <si>
    <t>6667</t>
  </si>
  <si>
    <t>6668</t>
  </si>
  <si>
    <t>6669</t>
  </si>
  <si>
    <t>6670</t>
  </si>
  <si>
    <t>6671</t>
  </si>
  <si>
    <t>6672</t>
  </si>
  <si>
    <t>6674</t>
  </si>
  <si>
    <t>6679</t>
  </si>
  <si>
    <t>6680</t>
  </si>
  <si>
    <t>6683</t>
  </si>
  <si>
    <t>6684</t>
  </si>
  <si>
    <t>6689</t>
  </si>
  <si>
    <t>6690</t>
  </si>
  <si>
    <t>6691</t>
  </si>
  <si>
    <t>6692</t>
  </si>
  <si>
    <t>6693</t>
  </si>
  <si>
    <t>6695</t>
  </si>
  <si>
    <t>6697</t>
  </si>
  <si>
    <t>6698</t>
  </si>
  <si>
    <t>6703</t>
  </si>
  <si>
    <t>6706</t>
  </si>
  <si>
    <t>6708</t>
  </si>
  <si>
    <t>6712</t>
  </si>
  <si>
    <t>6715</t>
  </si>
  <si>
    <t>6716</t>
  </si>
  <si>
    <t>6719</t>
  </si>
  <si>
    <t>6720</t>
  </si>
  <si>
    <t>6721</t>
  </si>
  <si>
    <t>6722</t>
  </si>
  <si>
    <t>6725</t>
  </si>
  <si>
    <t>6727</t>
  </si>
  <si>
    <t>6728</t>
  </si>
  <si>
    <t>6730</t>
  </si>
  <si>
    <t>6732</t>
  </si>
  <si>
    <t>6733</t>
  </si>
  <si>
    <t>6735</t>
  </si>
  <si>
    <t>6739</t>
  </si>
  <si>
    <t>6741</t>
  </si>
  <si>
    <t>6742</t>
  </si>
  <si>
    <t>6743</t>
  </si>
  <si>
    <t>6751</t>
  </si>
  <si>
    <t>6752</t>
  </si>
  <si>
    <t>6753</t>
  </si>
  <si>
    <t>6754</t>
  </si>
  <si>
    <t>6756</t>
  </si>
  <si>
    <t>6757</t>
  </si>
  <si>
    <t>6761</t>
  </si>
  <si>
    <t>6762</t>
  </si>
  <si>
    <t>6763</t>
  </si>
  <si>
    <t>6767</t>
  </si>
  <si>
    <t>6768</t>
  </si>
  <si>
    <t>6770</t>
  </si>
  <si>
    <t>6771</t>
  </si>
  <si>
    <t>6776</t>
  </si>
  <si>
    <t>6781</t>
  </si>
  <si>
    <t>6782</t>
  </si>
  <si>
    <t>6785</t>
  </si>
  <si>
    <t>6788</t>
  </si>
  <si>
    <t>6789</t>
  </si>
  <si>
    <t>6790</t>
  </si>
  <si>
    <t>6791</t>
  </si>
  <si>
    <t>6792</t>
  </si>
  <si>
    <t>6794</t>
  </si>
  <si>
    <t>6796</t>
  </si>
  <si>
    <t>6799</t>
  </si>
  <si>
    <t>6803</t>
  </si>
  <si>
    <t>6804</t>
  </si>
  <si>
    <t>6805</t>
  </si>
  <si>
    <t>6806</t>
  </si>
  <si>
    <t>6807</t>
  </si>
  <si>
    <t>6811</t>
  </si>
  <si>
    <t>6821</t>
  </si>
  <si>
    <t>6823</t>
  </si>
  <si>
    <t>6829</t>
  </si>
  <si>
    <t>6830</t>
  </si>
  <si>
    <t>6831</t>
  </si>
  <si>
    <t>6834</t>
  </si>
  <si>
    <t>6835</t>
  </si>
  <si>
    <t>6838</t>
  </si>
  <si>
    <t>6840</t>
  </si>
  <si>
    <t>6841</t>
  </si>
  <si>
    <t>6843</t>
  </si>
  <si>
    <t>6844</t>
  </si>
  <si>
    <t>6846</t>
  </si>
  <si>
    <t>6854</t>
  </si>
  <si>
    <t>6855</t>
  </si>
  <si>
    <t>6856</t>
  </si>
  <si>
    <t>6859</t>
  </si>
  <si>
    <t>6861</t>
  </si>
  <si>
    <t>6862</t>
  </si>
  <si>
    <t>6863</t>
  </si>
  <si>
    <t>6865</t>
  </si>
  <si>
    <t>6869</t>
  </si>
  <si>
    <t>6870</t>
  </si>
  <si>
    <t>6872</t>
  </si>
  <si>
    <t>6873</t>
  </si>
  <si>
    <t>6874</t>
  </si>
  <si>
    <t>6875</t>
  </si>
  <si>
    <t>6877</t>
  </si>
  <si>
    <t>6881</t>
  </si>
  <si>
    <t>6884</t>
  </si>
  <si>
    <t>6885</t>
  </si>
  <si>
    <t>6887</t>
  </si>
  <si>
    <t>6890</t>
  </si>
  <si>
    <t>6894</t>
  </si>
  <si>
    <t>6895</t>
  </si>
  <si>
    <t>6899</t>
  </si>
  <si>
    <t>6901</t>
  </si>
  <si>
    <t>6902</t>
  </si>
  <si>
    <t>6903</t>
  </si>
  <si>
    <t>6904</t>
  </si>
  <si>
    <t>6906</t>
  </si>
  <si>
    <t>6907</t>
  </si>
  <si>
    <t>6909</t>
  </si>
  <si>
    <t>6910</t>
  </si>
  <si>
    <t>6913</t>
  </si>
  <si>
    <t>6914</t>
  </si>
  <si>
    <t>6916</t>
  </si>
  <si>
    <t>6918</t>
  </si>
  <si>
    <t>6919</t>
  </si>
  <si>
    <t>6921</t>
  </si>
  <si>
    <t>6922</t>
  </si>
  <si>
    <t>6923</t>
  </si>
  <si>
    <t>6924</t>
  </si>
  <si>
    <t>6925</t>
  </si>
  <si>
    <t>6928</t>
  </si>
  <si>
    <t>6929</t>
  </si>
  <si>
    <t>6931</t>
  </si>
  <si>
    <t>6933</t>
  </si>
  <si>
    <t>6934</t>
  </si>
  <si>
    <t>6936</t>
  </si>
  <si>
    <t>6937</t>
  </si>
  <si>
    <t>6944</t>
  </si>
  <si>
    <t>6949</t>
  </si>
  <si>
    <t>6951</t>
  </si>
  <si>
    <t>6952</t>
  </si>
  <si>
    <t>6953</t>
  </si>
  <si>
    <t>6955</t>
  </si>
  <si>
    <t>6957</t>
  </si>
  <si>
    <t>6958</t>
  </si>
  <si>
    <t>6961</t>
  </si>
  <si>
    <t>6962</t>
  </si>
  <si>
    <t>6965</t>
  </si>
  <si>
    <t>6967</t>
  </si>
  <si>
    <t>6968</t>
  </si>
  <si>
    <t>6969</t>
  </si>
  <si>
    <t>6971</t>
  </si>
  <si>
    <t>6982</t>
  </si>
  <si>
    <t>6988</t>
  </si>
  <si>
    <t>6994</t>
  </si>
  <si>
    <t>6996</t>
  </si>
  <si>
    <t>6997</t>
  </si>
  <si>
    <t>7402</t>
  </si>
  <si>
    <t>7547</t>
  </si>
  <si>
    <t>7556</t>
  </si>
  <si>
    <t>7584</t>
  </si>
  <si>
    <t>7610</t>
  </si>
  <si>
    <t>7631</t>
  </si>
  <si>
    <t>7642</t>
  </si>
  <si>
    <t>7703</t>
  </si>
  <si>
    <t>7704</t>
  </si>
  <si>
    <t>7705</t>
  </si>
  <si>
    <t>7708</t>
  </si>
  <si>
    <t>7709</t>
  </si>
  <si>
    <t>7711</t>
  </si>
  <si>
    <t>7712</t>
  </si>
  <si>
    <t>7713</t>
  </si>
  <si>
    <t>7714</t>
  </si>
  <si>
    <t>7715</t>
  </si>
  <si>
    <t>7716</t>
  </si>
  <si>
    <t>7717</t>
  </si>
  <si>
    <t>7718</t>
  </si>
  <si>
    <t>7721</t>
  </si>
  <si>
    <t>7722</t>
  </si>
  <si>
    <t>7723</t>
  </si>
  <si>
    <t>7728</t>
  </si>
  <si>
    <t>7730</t>
  </si>
  <si>
    <t>7732</t>
  </si>
  <si>
    <t>7734</t>
  </si>
  <si>
    <t>7736</t>
  </si>
  <si>
    <t>7738</t>
  </si>
  <si>
    <t>7740</t>
  </si>
  <si>
    <t>7743</t>
  </si>
  <si>
    <t>7744</t>
  </si>
  <si>
    <t>7747</t>
  </si>
  <si>
    <t>7749</t>
  </si>
  <si>
    <t>7750</t>
  </si>
  <si>
    <t>7751</t>
  </si>
  <si>
    <t>7753</t>
  </si>
  <si>
    <t>7757</t>
  </si>
  <si>
    <t>7765</t>
  </si>
  <si>
    <t>7767</t>
  </si>
  <si>
    <t>7769</t>
  </si>
  <si>
    <t>7770</t>
  </si>
  <si>
    <t>7777</t>
  </si>
  <si>
    <t>7780</t>
  </si>
  <si>
    <t>7782</t>
  </si>
  <si>
    <t>7786</t>
  </si>
  <si>
    <t>7788</t>
  </si>
  <si>
    <t>7791</t>
  </si>
  <si>
    <t>7792</t>
  </si>
  <si>
    <t>7795</t>
  </si>
  <si>
    <t>7799</t>
  </si>
  <si>
    <t>7805</t>
  </si>
  <si>
    <t>7810</t>
  </si>
  <si>
    <t>8011</t>
  </si>
  <si>
    <t>8016</t>
  </si>
  <si>
    <t>8021</t>
  </si>
  <si>
    <t>8024</t>
  </si>
  <si>
    <t>8027</t>
  </si>
  <si>
    <t>8028</t>
  </si>
  <si>
    <t>8032</t>
  </si>
  <si>
    <t>8033</t>
  </si>
  <si>
    <t>8034</t>
  </si>
  <si>
    <t>8038</t>
  </si>
  <si>
    <t>8039</t>
  </si>
  <si>
    <t>8040</t>
  </si>
  <si>
    <t>8042</t>
  </si>
  <si>
    <t>8043</t>
  </si>
  <si>
    <t>8044</t>
  </si>
  <si>
    <t>8045</t>
  </si>
  <si>
    <t>8046</t>
  </si>
  <si>
    <t>8047</t>
  </si>
  <si>
    <t>8048</t>
  </si>
  <si>
    <t>8049</t>
  </si>
  <si>
    <t>8050</t>
  </si>
  <si>
    <t>8054</t>
  </si>
  <si>
    <t>8059</t>
  </si>
  <si>
    <t>8064</t>
  </si>
  <si>
    <t>8066</t>
  </si>
  <si>
    <t>8067</t>
  </si>
  <si>
    <t>8068</t>
  </si>
  <si>
    <t>8069</t>
  </si>
  <si>
    <t>8070</t>
  </si>
  <si>
    <t>8071</t>
  </si>
  <si>
    <t>8072</t>
  </si>
  <si>
    <t>8074</t>
  </si>
  <si>
    <t>8076</t>
  </si>
  <si>
    <t>8077</t>
  </si>
  <si>
    <t>8080</t>
  </si>
  <si>
    <t>8081</t>
  </si>
  <si>
    <t>8083</t>
  </si>
  <si>
    <t>8084</t>
  </si>
  <si>
    <t>8085</t>
  </si>
  <si>
    <t>8086</t>
  </si>
  <si>
    <t>8087</t>
  </si>
  <si>
    <t>8088</t>
  </si>
  <si>
    <t>8089</t>
  </si>
  <si>
    <t>8091</t>
  </si>
  <si>
    <t>8092</t>
  </si>
  <si>
    <t>8093</t>
  </si>
  <si>
    <t>8096</t>
  </si>
  <si>
    <t>8097</t>
  </si>
  <si>
    <t>8099</t>
  </si>
  <si>
    <t>8101</t>
  </si>
  <si>
    <t>8102</t>
  </si>
  <si>
    <t>8103</t>
  </si>
  <si>
    <t>8104</t>
  </si>
  <si>
    <t>8105</t>
  </si>
  <si>
    <t>8107</t>
  </si>
  <si>
    <t>8109</t>
  </si>
  <si>
    <t>8110</t>
  </si>
  <si>
    <t>8111</t>
  </si>
  <si>
    <t>8112</t>
  </si>
  <si>
    <t>8114</t>
  </si>
  <si>
    <t>8121</t>
  </si>
  <si>
    <t>8131</t>
  </si>
  <si>
    <t>8147</t>
  </si>
  <si>
    <t>8150</t>
  </si>
  <si>
    <t>8155</t>
  </si>
  <si>
    <t>8162</t>
  </si>
  <si>
    <t>8163</t>
  </si>
  <si>
    <t>8171</t>
  </si>
  <si>
    <t>8176</t>
  </si>
  <si>
    <t>8182</t>
  </si>
  <si>
    <t>8183</t>
  </si>
  <si>
    <t>8201</t>
  </si>
  <si>
    <t>8210</t>
  </si>
  <si>
    <t>8213</t>
  </si>
  <si>
    <t>8215</t>
  </si>
  <si>
    <t>8222</t>
  </si>
  <si>
    <t>8227</t>
  </si>
  <si>
    <t>8234</t>
  </si>
  <si>
    <t>8240</t>
  </si>
  <si>
    <t>8249</t>
  </si>
  <si>
    <t>8255</t>
  </si>
  <si>
    <t>8261</t>
  </si>
  <si>
    <t>8271</t>
  </si>
  <si>
    <t>8272</t>
  </si>
  <si>
    <t>8277</t>
  </si>
  <si>
    <t>8279</t>
  </si>
  <si>
    <t>8284</t>
  </si>
  <si>
    <t>8289</t>
  </si>
  <si>
    <t>8291</t>
  </si>
  <si>
    <t>8299</t>
  </si>
  <si>
    <t>8341</t>
  </si>
  <si>
    <t>8342</t>
  </si>
  <si>
    <t>8349</t>
  </si>
  <si>
    <t>8354</t>
  </si>
  <si>
    <t>8358</t>
  </si>
  <si>
    <t>8367</t>
  </si>
  <si>
    <t>8374</t>
  </si>
  <si>
    <t>8383</t>
  </si>
  <si>
    <t>8390</t>
  </si>
  <si>
    <t>8401</t>
  </si>
  <si>
    <t>8403</t>
  </si>
  <si>
    <t>8404</t>
  </si>
  <si>
    <t>8409</t>
  </si>
  <si>
    <t>8410</t>
  </si>
  <si>
    <t>8411</t>
  </si>
  <si>
    <t>8415</t>
  </si>
  <si>
    <t>8416</t>
  </si>
  <si>
    <t>8421</t>
  </si>
  <si>
    <t>8422</t>
  </si>
  <si>
    <t>8423</t>
  </si>
  <si>
    <t>8424</t>
  </si>
  <si>
    <t>8426</t>
  </si>
  <si>
    <t>8429</t>
  </si>
  <si>
    <t>8431</t>
  </si>
  <si>
    <t>8432</t>
  </si>
  <si>
    <t>8433</t>
  </si>
  <si>
    <t>8435</t>
  </si>
  <si>
    <t>8436</t>
  </si>
  <si>
    <t>8437</t>
  </si>
  <si>
    <t>8438</t>
  </si>
  <si>
    <t>8440</t>
  </si>
  <si>
    <t>8442</t>
  </si>
  <si>
    <t>8443</t>
  </si>
  <si>
    <t>8444</t>
  </si>
  <si>
    <t>8446</t>
  </si>
  <si>
    <t>8450</t>
  </si>
  <si>
    <t>8454</t>
  </si>
  <si>
    <t>8455</t>
  </si>
  <si>
    <t>8462</t>
  </si>
  <si>
    <t>8463</t>
  </si>
  <si>
    <t>8464</t>
  </si>
  <si>
    <t>8466</t>
  </si>
  <si>
    <t>8467</t>
  </si>
  <si>
    <t>8472</t>
  </si>
  <si>
    <t>8473</t>
  </si>
  <si>
    <t>8476</t>
  </si>
  <si>
    <t>8477</t>
  </si>
  <si>
    <t>8478</t>
  </si>
  <si>
    <t>8481</t>
  </si>
  <si>
    <t>8482</t>
  </si>
  <si>
    <t>8487</t>
  </si>
  <si>
    <t>8488</t>
  </si>
  <si>
    <t>8489</t>
  </si>
  <si>
    <t>8499</t>
  </si>
  <si>
    <t>8905</t>
  </si>
  <si>
    <t>8906</t>
  </si>
  <si>
    <t>8908</t>
  </si>
  <si>
    <t>8916</t>
  </si>
  <si>
    <t>8917</t>
  </si>
  <si>
    <t>8921</t>
  </si>
  <si>
    <t>8923</t>
  </si>
  <si>
    <t>8924</t>
  </si>
  <si>
    <t>8926</t>
  </si>
  <si>
    <t>8927</t>
  </si>
  <si>
    <t>8928</t>
  </si>
  <si>
    <t>8929</t>
  </si>
  <si>
    <t>8930</t>
  </si>
  <si>
    <t>8931</t>
  </si>
  <si>
    <t>8932</t>
  </si>
  <si>
    <t>8933</t>
  </si>
  <si>
    <t>8935</t>
  </si>
  <si>
    <t>8936</t>
  </si>
  <si>
    <t>8937</t>
  </si>
  <si>
    <t>8938</t>
  </si>
  <si>
    <t>8940</t>
  </si>
  <si>
    <t>8941</t>
  </si>
  <si>
    <t>8942</t>
  </si>
  <si>
    <t>8996</t>
  </si>
  <si>
    <t>9103</t>
  </si>
  <si>
    <t>910322</t>
  </si>
  <si>
    <t>9105</t>
  </si>
  <si>
    <t>910861</t>
  </si>
  <si>
    <t>9110</t>
  </si>
  <si>
    <t>911608</t>
  </si>
  <si>
    <t>911622</t>
  </si>
  <si>
    <t>911868</t>
  </si>
  <si>
    <t>912000</t>
  </si>
  <si>
    <t>9136</t>
  </si>
  <si>
    <t>9802</t>
  </si>
  <si>
    <t>9902</t>
  </si>
  <si>
    <t>9904</t>
  </si>
  <si>
    <t>9905</t>
  </si>
  <si>
    <t>9906</t>
  </si>
  <si>
    <t>9907</t>
  </si>
  <si>
    <t>9908</t>
  </si>
  <si>
    <t>9910</t>
  </si>
  <si>
    <t>9911</t>
  </si>
  <si>
    <t>9912</t>
  </si>
  <si>
    <t>9914</t>
  </si>
  <si>
    <t>9917</t>
  </si>
  <si>
    <t>9918</t>
  </si>
  <si>
    <t>9919</t>
  </si>
  <si>
    <t>9921</t>
  </si>
  <si>
    <t>9924</t>
  </si>
  <si>
    <t>9925</t>
  </si>
  <si>
    <t>9926</t>
  </si>
  <si>
    <t>9927</t>
  </si>
  <si>
    <t>9928</t>
  </si>
  <si>
    <t>9929</t>
  </si>
  <si>
    <t>9930</t>
  </si>
  <si>
    <t>9931</t>
  </si>
  <si>
    <t>9933</t>
  </si>
  <si>
    <t>9934</t>
  </si>
  <si>
    <t>9935</t>
  </si>
  <si>
    <t>9937</t>
  </si>
  <si>
    <t>9938</t>
  </si>
  <si>
    <t>9939</t>
  </si>
  <si>
    <t>9940</t>
  </si>
  <si>
    <t>9941</t>
  </si>
  <si>
    <t>9942</t>
  </si>
  <si>
    <t>9943</t>
  </si>
  <si>
    <t>9944</t>
  </si>
  <si>
    <t>9945</t>
  </si>
  <si>
    <t>9946</t>
  </si>
  <si>
    <t>9949</t>
  </si>
  <si>
    <t>9950</t>
  </si>
  <si>
    <t>9951</t>
  </si>
  <si>
    <t>9955</t>
  </si>
  <si>
    <t>9958</t>
  </si>
  <si>
    <t>9960</t>
  </si>
  <si>
    <t>9962</t>
  </si>
  <si>
    <t>台泥</t>
  </si>
  <si>
    <t>亞泥</t>
  </si>
  <si>
    <t>嘉泥</t>
  </si>
  <si>
    <t>環泥</t>
  </si>
  <si>
    <t>幸福</t>
  </si>
  <si>
    <t>信大</t>
  </si>
  <si>
    <t>東泥</t>
  </si>
  <si>
    <t>味全</t>
  </si>
  <si>
    <t>味王</t>
  </si>
  <si>
    <t>大成</t>
  </si>
  <si>
    <t>大飲</t>
  </si>
  <si>
    <t>卜蜂</t>
  </si>
  <si>
    <t>統一</t>
  </si>
  <si>
    <t>愛之味</t>
  </si>
  <si>
    <t>泰山</t>
  </si>
  <si>
    <t>福壽</t>
  </si>
  <si>
    <t>台榮</t>
  </si>
  <si>
    <t>福懋油</t>
  </si>
  <si>
    <t>佳格</t>
  </si>
  <si>
    <t>聯華</t>
  </si>
  <si>
    <t>聯華食</t>
  </si>
  <si>
    <t>大統益</t>
  </si>
  <si>
    <t>天仁</t>
  </si>
  <si>
    <t>黑松</t>
  </si>
  <si>
    <t>興泰</t>
  </si>
  <si>
    <t>宏亞</t>
  </si>
  <si>
    <t>茂生農經</t>
  </si>
  <si>
    <t>鮮活果汁-KY</t>
  </si>
  <si>
    <t>安心</t>
  </si>
  <si>
    <t>德麥</t>
  </si>
  <si>
    <t>漢來美食</t>
  </si>
  <si>
    <t>台塑</t>
  </si>
  <si>
    <t>南亞</t>
  </si>
  <si>
    <t>台聚</t>
  </si>
  <si>
    <t>華夏</t>
  </si>
  <si>
    <t>三芳</t>
  </si>
  <si>
    <t>亞聚</t>
  </si>
  <si>
    <t>台達化</t>
  </si>
  <si>
    <t>台苯</t>
  </si>
  <si>
    <t>國喬</t>
  </si>
  <si>
    <t>聯成</t>
  </si>
  <si>
    <t>中石化</t>
  </si>
  <si>
    <t>達新</t>
  </si>
  <si>
    <t>上曜</t>
  </si>
  <si>
    <t>東陽</t>
  </si>
  <si>
    <t>大洋</t>
  </si>
  <si>
    <t>永裕</t>
  </si>
  <si>
    <t>地球</t>
  </si>
  <si>
    <t>恆大</t>
  </si>
  <si>
    <t>台化</t>
  </si>
  <si>
    <t>台翰</t>
  </si>
  <si>
    <t>再生-KY</t>
  </si>
  <si>
    <t>廣華-KY</t>
  </si>
  <si>
    <t>昭輝</t>
  </si>
  <si>
    <t>勝悅-KY</t>
  </si>
  <si>
    <t>富林-KY</t>
  </si>
  <si>
    <t>八貫</t>
  </si>
  <si>
    <t>遠東新</t>
  </si>
  <si>
    <t>新纖</t>
  </si>
  <si>
    <t>南染</t>
  </si>
  <si>
    <t>宏洲</t>
  </si>
  <si>
    <t>東和</t>
  </si>
  <si>
    <t>廣豐</t>
  </si>
  <si>
    <t>嘉裕</t>
  </si>
  <si>
    <t>東華</t>
  </si>
  <si>
    <t>新紡</t>
  </si>
  <si>
    <t>利華</t>
  </si>
  <si>
    <t>大魯閣</t>
  </si>
  <si>
    <t>福懋</t>
  </si>
  <si>
    <t>中福</t>
  </si>
  <si>
    <t>華友聯</t>
  </si>
  <si>
    <t>勤益控</t>
  </si>
  <si>
    <t>三地開發</t>
  </si>
  <si>
    <t>雋揚</t>
  </si>
  <si>
    <t>南紡</t>
  </si>
  <si>
    <t>大東</t>
  </si>
  <si>
    <t>名軒</t>
  </si>
  <si>
    <t>立益物流</t>
  </si>
  <si>
    <t>力麗</t>
  </si>
  <si>
    <t>大宇</t>
  </si>
  <si>
    <t>宏和</t>
  </si>
  <si>
    <t>力鵬</t>
  </si>
  <si>
    <t>佳和</t>
  </si>
  <si>
    <t>年興</t>
  </si>
  <si>
    <t>宏益</t>
  </si>
  <si>
    <t>大將</t>
  </si>
  <si>
    <t>台富</t>
  </si>
  <si>
    <t>集盛</t>
  </si>
  <si>
    <t>怡華</t>
  </si>
  <si>
    <t>宜進</t>
  </si>
  <si>
    <t>聯發</t>
  </si>
  <si>
    <t>宏遠</t>
  </si>
  <si>
    <t>得力</t>
  </si>
  <si>
    <t>偉全</t>
  </si>
  <si>
    <t>聚隆</t>
  </si>
  <si>
    <t>南緯</t>
  </si>
  <si>
    <t>昶和</t>
  </si>
  <si>
    <t>大統新創</t>
  </si>
  <si>
    <t>首利</t>
  </si>
  <si>
    <t>三洋實業</t>
  </si>
  <si>
    <t>台南</t>
  </si>
  <si>
    <t>弘裕</t>
  </si>
  <si>
    <t>業旺</t>
  </si>
  <si>
    <t>儒鴻</t>
  </si>
  <si>
    <t>聚陽</t>
  </si>
  <si>
    <t>士電</t>
  </si>
  <si>
    <t>東元</t>
  </si>
  <si>
    <t>正道</t>
  </si>
  <si>
    <t>瑞利</t>
  </si>
  <si>
    <t>中興電</t>
  </si>
  <si>
    <t>亞力</t>
  </si>
  <si>
    <t>力山</t>
  </si>
  <si>
    <t>川飛</t>
  </si>
  <si>
    <t>利奇</t>
  </si>
  <si>
    <t>華城</t>
  </si>
  <si>
    <t>大億</t>
  </si>
  <si>
    <t>堤維西</t>
  </si>
  <si>
    <t>耿鼎</t>
  </si>
  <si>
    <t>江申</t>
  </si>
  <si>
    <t>日馳</t>
  </si>
  <si>
    <t>鑽全</t>
  </si>
  <si>
    <t>恩德</t>
  </si>
  <si>
    <t>樂事綠能</t>
  </si>
  <si>
    <t>亞崴</t>
  </si>
  <si>
    <t>高林股</t>
  </si>
  <si>
    <t>勤美</t>
  </si>
  <si>
    <t>車王電</t>
  </si>
  <si>
    <t>中宇</t>
  </si>
  <si>
    <t>和大</t>
  </si>
  <si>
    <t>廣隆</t>
  </si>
  <si>
    <t>正峰</t>
  </si>
  <si>
    <t>巨庭</t>
  </si>
  <si>
    <t>喬福</t>
  </si>
  <si>
    <t>錩泰</t>
  </si>
  <si>
    <t>伸興</t>
  </si>
  <si>
    <t>中砂</t>
  </si>
  <si>
    <t>巧新</t>
  </si>
  <si>
    <t>精華</t>
  </si>
  <si>
    <t>倉佑</t>
  </si>
  <si>
    <t>濱川</t>
  </si>
  <si>
    <t>力肯</t>
  </si>
  <si>
    <t>新麥</t>
  </si>
  <si>
    <t>信錦</t>
  </si>
  <si>
    <t>程泰</t>
  </si>
  <si>
    <t>精剛</t>
  </si>
  <si>
    <t>和勤</t>
  </si>
  <si>
    <t>吉茂</t>
  </si>
  <si>
    <t>永冠-KY</t>
  </si>
  <si>
    <t>亞德客-KY</t>
  </si>
  <si>
    <t>駿吉-KY</t>
  </si>
  <si>
    <t>祺驊</t>
  </si>
  <si>
    <t>川寶</t>
  </si>
  <si>
    <t>直得</t>
  </si>
  <si>
    <t>岱宇</t>
  </si>
  <si>
    <t>宏佳騰</t>
  </si>
  <si>
    <t>華電</t>
  </si>
  <si>
    <t>聲寶</t>
  </si>
  <si>
    <t>華新</t>
  </si>
  <si>
    <t>華榮</t>
  </si>
  <si>
    <t>大亞</t>
  </si>
  <si>
    <t>中電</t>
  </si>
  <si>
    <t>宏泰</t>
  </si>
  <si>
    <t>三洋電</t>
  </si>
  <si>
    <t>大山</t>
  </si>
  <si>
    <t>億泰</t>
  </si>
  <si>
    <t>榮星</t>
  </si>
  <si>
    <t>合機</t>
  </si>
  <si>
    <t>大東電</t>
  </si>
  <si>
    <t>艾美特-KY</t>
  </si>
  <si>
    <t>南僑</t>
  </si>
  <si>
    <t>葡萄王</t>
  </si>
  <si>
    <t>東鹼</t>
  </si>
  <si>
    <t>和益</t>
  </si>
  <si>
    <t>東聯</t>
  </si>
  <si>
    <t>永光</t>
  </si>
  <si>
    <t>興農</t>
  </si>
  <si>
    <t>國化</t>
  </si>
  <si>
    <t>和桐</t>
  </si>
  <si>
    <t>長興</t>
  </si>
  <si>
    <t>中纖</t>
  </si>
  <si>
    <t>生達</t>
  </si>
  <si>
    <t>三晃</t>
  </si>
  <si>
    <t>台肥</t>
  </si>
  <si>
    <t>中碳</t>
  </si>
  <si>
    <t>元禎</t>
  </si>
  <si>
    <t>永記</t>
  </si>
  <si>
    <t>中華化</t>
  </si>
  <si>
    <t>花仙子</t>
  </si>
  <si>
    <t>美吾華</t>
  </si>
  <si>
    <t>毛寶</t>
  </si>
  <si>
    <t>五鼎</t>
  </si>
  <si>
    <t>杏輝</t>
  </si>
  <si>
    <t>日勝化</t>
  </si>
  <si>
    <t>喬山</t>
  </si>
  <si>
    <t>臺鹽</t>
  </si>
  <si>
    <t>台蠟</t>
  </si>
  <si>
    <t>南光</t>
  </si>
  <si>
    <t>寶齡富錦</t>
  </si>
  <si>
    <t>中化生</t>
  </si>
  <si>
    <t>勝一</t>
  </si>
  <si>
    <t>展宇</t>
  </si>
  <si>
    <t>生泰</t>
  </si>
  <si>
    <t>合世</t>
  </si>
  <si>
    <t>和康生</t>
  </si>
  <si>
    <t>訊聯</t>
  </si>
  <si>
    <t>光洋科</t>
  </si>
  <si>
    <t>科妍</t>
  </si>
  <si>
    <t>杏昌</t>
  </si>
  <si>
    <t>神隆</t>
  </si>
  <si>
    <t>美時</t>
  </si>
  <si>
    <t>金穎生技</t>
  </si>
  <si>
    <t>易威</t>
  </si>
  <si>
    <t>台玻</t>
  </si>
  <si>
    <t>寶徠</t>
  </si>
  <si>
    <t>冠軍</t>
  </si>
  <si>
    <t>潤隆</t>
  </si>
  <si>
    <t>中釉</t>
  </si>
  <si>
    <t>和成</t>
  </si>
  <si>
    <t>寶利徠</t>
  </si>
  <si>
    <t>富喬</t>
  </si>
  <si>
    <t>凱撒衛</t>
  </si>
  <si>
    <t>士紙</t>
  </si>
  <si>
    <t>正隆</t>
  </si>
  <si>
    <t>華紙</t>
  </si>
  <si>
    <t>寶隆</t>
  </si>
  <si>
    <t>永豐餘</t>
  </si>
  <si>
    <t>榮成</t>
  </si>
  <si>
    <t>中鋼</t>
  </si>
  <si>
    <t>東和鋼鐵</t>
  </si>
  <si>
    <t>燁興</t>
  </si>
  <si>
    <t>高興昌</t>
  </si>
  <si>
    <t>第一銅</t>
  </si>
  <si>
    <t>春源</t>
  </si>
  <si>
    <t>春雨</t>
  </si>
  <si>
    <t>中鋼構</t>
  </si>
  <si>
    <t>中鴻</t>
  </si>
  <si>
    <t>豐興</t>
  </si>
  <si>
    <t>官田鋼</t>
  </si>
  <si>
    <t>美亞</t>
  </si>
  <si>
    <t>聚亨</t>
  </si>
  <si>
    <t>燁輝</t>
  </si>
  <si>
    <t>志聯</t>
  </si>
  <si>
    <t>千興</t>
  </si>
  <si>
    <t>大成鋼</t>
  </si>
  <si>
    <t>威致</t>
  </si>
  <si>
    <t>盛餘</t>
  </si>
  <si>
    <t>彰源</t>
  </si>
  <si>
    <t>新光鋼</t>
  </si>
  <si>
    <t>新鋼</t>
  </si>
  <si>
    <t>佳大</t>
  </si>
  <si>
    <t>允強</t>
  </si>
  <si>
    <t>唐榮</t>
  </si>
  <si>
    <t>海光</t>
  </si>
  <si>
    <t>上銀</t>
  </si>
  <si>
    <t>川湖</t>
  </si>
  <si>
    <t>風青</t>
  </si>
  <si>
    <t>橋椿</t>
  </si>
  <si>
    <t>世鎧</t>
  </si>
  <si>
    <t>晉椿</t>
  </si>
  <si>
    <t>世豐</t>
  </si>
  <si>
    <t>世德</t>
  </si>
  <si>
    <t>嘉鋼</t>
  </si>
  <si>
    <t>運錩</t>
  </si>
  <si>
    <t>精湛</t>
  </si>
  <si>
    <t>雄順</t>
  </si>
  <si>
    <t>南港</t>
  </si>
  <si>
    <t>泰豐</t>
  </si>
  <si>
    <t>台橡</t>
  </si>
  <si>
    <t>國際中橡</t>
  </si>
  <si>
    <t>正新</t>
  </si>
  <si>
    <t>建大</t>
  </si>
  <si>
    <t>厚生</t>
  </si>
  <si>
    <t>南帝</t>
  </si>
  <si>
    <t>華豐</t>
  </si>
  <si>
    <t>鑫永銓</t>
  </si>
  <si>
    <t>六暉-KY</t>
  </si>
  <si>
    <t>裕隆</t>
  </si>
  <si>
    <t>中華</t>
  </si>
  <si>
    <t>三陽工業</t>
  </si>
  <si>
    <t>和泰車</t>
  </si>
  <si>
    <t>台船</t>
  </si>
  <si>
    <t>長榮鋼</t>
  </si>
  <si>
    <t>大甲</t>
  </si>
  <si>
    <t>裕日車</t>
  </si>
  <si>
    <t>劍麟</t>
  </si>
  <si>
    <t>泰茂</t>
  </si>
  <si>
    <t>為升</t>
  </si>
  <si>
    <t>宇隆</t>
  </si>
  <si>
    <t>謚源</t>
  </si>
  <si>
    <t>百達-KY</t>
  </si>
  <si>
    <t>英利-KY</t>
  </si>
  <si>
    <t>艾姆勒</t>
  </si>
  <si>
    <t>宏旭-KY</t>
  </si>
  <si>
    <t>汎德永業</t>
  </si>
  <si>
    <t>IKKA-KY</t>
  </si>
  <si>
    <t>光寶科</t>
  </si>
  <si>
    <t>麗正</t>
  </si>
  <si>
    <t>聯電</t>
  </si>
  <si>
    <t>全友</t>
  </si>
  <si>
    <t>金寶</t>
  </si>
  <si>
    <t>華通</t>
  </si>
  <si>
    <t>台揚</t>
  </si>
  <si>
    <t>楠梓電</t>
  </si>
  <si>
    <t>鴻海</t>
  </si>
  <si>
    <t>東訊</t>
  </si>
  <si>
    <t>中環</t>
  </si>
  <si>
    <t>仁寶</t>
  </si>
  <si>
    <t>廣宇</t>
  </si>
  <si>
    <t>華泰</t>
  </si>
  <si>
    <t>精英</t>
  </si>
  <si>
    <t>友訊</t>
  </si>
  <si>
    <t>旺宏</t>
  </si>
  <si>
    <t>台亞</t>
  </si>
  <si>
    <t>茂矽</t>
  </si>
  <si>
    <t>華邦電</t>
  </si>
  <si>
    <t>智邦</t>
  </si>
  <si>
    <t>聯強</t>
  </si>
  <si>
    <t>海悅</t>
  </si>
  <si>
    <t>錸德</t>
  </si>
  <si>
    <t>順德</t>
  </si>
  <si>
    <t>佳世達</t>
  </si>
  <si>
    <t>宏碁</t>
  </si>
  <si>
    <t>鴻準</t>
  </si>
  <si>
    <t>敬鵬</t>
  </si>
  <si>
    <t>英業達</t>
  </si>
  <si>
    <t>華碩</t>
  </si>
  <si>
    <t>所羅門</t>
  </si>
  <si>
    <t>致茂</t>
  </si>
  <si>
    <t>藍天</t>
  </si>
  <si>
    <t>矽統</t>
  </si>
  <si>
    <t>倫飛</t>
  </si>
  <si>
    <t>昆盈</t>
  </si>
  <si>
    <t>燿華</t>
  </si>
  <si>
    <t>金像電</t>
  </si>
  <si>
    <t>菱生</t>
  </si>
  <si>
    <t>大同</t>
  </si>
  <si>
    <t>震旦行</t>
  </si>
  <si>
    <t>佳能</t>
  </si>
  <si>
    <t>凱美</t>
  </si>
  <si>
    <t>技嘉</t>
  </si>
  <si>
    <t>微星</t>
  </si>
  <si>
    <t>瑞昱</t>
  </si>
  <si>
    <t>虹光</t>
  </si>
  <si>
    <t>廣達</t>
  </si>
  <si>
    <t>台光電</t>
  </si>
  <si>
    <t>群光</t>
  </si>
  <si>
    <t>精元</t>
  </si>
  <si>
    <t>威盛</t>
  </si>
  <si>
    <t>云辰</t>
  </si>
  <si>
    <t>正崴</t>
  </si>
  <si>
    <t>億光</t>
  </si>
  <si>
    <t>研華</t>
  </si>
  <si>
    <t>友通</t>
  </si>
  <si>
    <t>映泰</t>
  </si>
  <si>
    <t>凌陽</t>
  </si>
  <si>
    <t>毅嘉</t>
  </si>
  <si>
    <t>漢唐</t>
  </si>
  <si>
    <t>輔信</t>
  </si>
  <si>
    <t>國碩</t>
  </si>
  <si>
    <t>南亞科</t>
  </si>
  <si>
    <t>友達</t>
  </si>
  <si>
    <t>中華電</t>
  </si>
  <si>
    <t>環科</t>
  </si>
  <si>
    <t>精技</t>
  </si>
  <si>
    <t>錩新</t>
  </si>
  <si>
    <t>圓剛</t>
  </si>
  <si>
    <t>仲琦</t>
  </si>
  <si>
    <t>新巨</t>
  </si>
  <si>
    <t>建準</t>
  </si>
  <si>
    <t>固緯</t>
  </si>
  <si>
    <t>隴華</t>
  </si>
  <si>
    <t>承啟</t>
  </si>
  <si>
    <t>鼎元</t>
  </si>
  <si>
    <t>三商電</t>
  </si>
  <si>
    <t>興勤</t>
  </si>
  <si>
    <t>銘旺科</t>
  </si>
  <si>
    <t>燦坤</t>
  </si>
  <si>
    <t>聯昌</t>
  </si>
  <si>
    <t>互盛電</t>
  </si>
  <si>
    <t>統懋</t>
  </si>
  <si>
    <t>偉詮電</t>
  </si>
  <si>
    <t>翔耀</t>
  </si>
  <si>
    <t>美律</t>
  </si>
  <si>
    <t>太空梭</t>
  </si>
  <si>
    <t>超豐</t>
  </si>
  <si>
    <t>新美齊</t>
  </si>
  <si>
    <t>兆勁</t>
  </si>
  <si>
    <t>神腦</t>
  </si>
  <si>
    <t>創見</t>
  </si>
  <si>
    <t>凌群</t>
  </si>
  <si>
    <t>全新</t>
  </si>
  <si>
    <t>飛宏</t>
  </si>
  <si>
    <t>義隆</t>
  </si>
  <si>
    <t>敦吉</t>
  </si>
  <si>
    <t>建通</t>
  </si>
  <si>
    <t>光群雷</t>
  </si>
  <si>
    <t>良得電</t>
  </si>
  <si>
    <t>盟立</t>
  </si>
  <si>
    <t>麗臺</t>
  </si>
  <si>
    <t>冠西電</t>
  </si>
  <si>
    <t>志聖</t>
  </si>
  <si>
    <t>華經</t>
  </si>
  <si>
    <t>資通</t>
  </si>
  <si>
    <t>立隆電</t>
  </si>
  <si>
    <t>可成</t>
  </si>
  <si>
    <t>鉅祥</t>
  </si>
  <si>
    <t>美隆電</t>
  </si>
  <si>
    <t>大毅</t>
  </si>
  <si>
    <t>敦陽科</t>
  </si>
  <si>
    <t>強茂</t>
  </si>
  <si>
    <t>連宇</t>
  </si>
  <si>
    <t>百容</t>
  </si>
  <si>
    <t>希華</t>
  </si>
  <si>
    <t>兆赫</t>
  </si>
  <si>
    <t>一詮</t>
  </si>
  <si>
    <t>漢平</t>
  </si>
  <si>
    <t>瑞軒</t>
  </si>
  <si>
    <t>吉祥全</t>
  </si>
  <si>
    <t>華新科</t>
  </si>
  <si>
    <t>揚博</t>
  </si>
  <si>
    <t>普安</t>
  </si>
  <si>
    <t>卓越</t>
  </si>
  <si>
    <t>怡利電</t>
  </si>
  <si>
    <t>宏達電</t>
  </si>
  <si>
    <t>國建</t>
  </si>
  <si>
    <t>國產</t>
  </si>
  <si>
    <t>國揚</t>
  </si>
  <si>
    <t>太設</t>
  </si>
  <si>
    <t>全坤建</t>
  </si>
  <si>
    <t>太子</t>
  </si>
  <si>
    <t>龍邦</t>
  </si>
  <si>
    <t>中工</t>
  </si>
  <si>
    <t>新建</t>
  </si>
  <si>
    <t>冠德</t>
  </si>
  <si>
    <t>京城</t>
  </si>
  <si>
    <t>宏璟</t>
  </si>
  <si>
    <t>皇普</t>
  </si>
  <si>
    <t>華建</t>
  </si>
  <si>
    <t>宏盛</t>
  </si>
  <si>
    <t>達欣工</t>
  </si>
  <si>
    <t>宏普</t>
  </si>
  <si>
    <t>聯上發</t>
  </si>
  <si>
    <t>基泰</t>
  </si>
  <si>
    <t>櫻花建</t>
  </si>
  <si>
    <t>愛山林</t>
  </si>
  <si>
    <t>興富發</t>
  </si>
  <si>
    <t>皇昌</t>
  </si>
  <si>
    <t>皇翔</t>
  </si>
  <si>
    <t>根基</t>
  </si>
  <si>
    <t>日勝生</t>
  </si>
  <si>
    <t>華固</t>
  </si>
  <si>
    <t>綠意</t>
  </si>
  <si>
    <t>潤弘</t>
  </si>
  <si>
    <t>益航</t>
  </si>
  <si>
    <t>長榮</t>
  </si>
  <si>
    <t>新興</t>
  </si>
  <si>
    <t>裕民</t>
  </si>
  <si>
    <t>榮運</t>
  </si>
  <si>
    <t>嘉里大榮</t>
  </si>
  <si>
    <t>陽明</t>
  </si>
  <si>
    <t>華航</t>
  </si>
  <si>
    <t>志信</t>
  </si>
  <si>
    <t>中航</t>
  </si>
  <si>
    <t>中櫃</t>
  </si>
  <si>
    <t>東森</t>
  </si>
  <si>
    <t>萬海</t>
  </si>
  <si>
    <t>山隆</t>
  </si>
  <si>
    <t>台航</t>
  </si>
  <si>
    <t>長榮航</t>
  </si>
  <si>
    <t>亞航</t>
  </si>
  <si>
    <t>台灣高鐵</t>
  </si>
  <si>
    <t>漢翔</t>
  </si>
  <si>
    <t>慧洋-KY</t>
  </si>
  <si>
    <t>大車隊</t>
  </si>
  <si>
    <t>正德</t>
  </si>
  <si>
    <t>宅配通</t>
  </si>
  <si>
    <t>捷迅</t>
  </si>
  <si>
    <t>長榮航太</t>
  </si>
  <si>
    <t>星宇航空</t>
  </si>
  <si>
    <t>萬企</t>
  </si>
  <si>
    <t>華園</t>
  </si>
  <si>
    <t>國賓</t>
  </si>
  <si>
    <t>六福</t>
  </si>
  <si>
    <t>第一店</t>
  </si>
  <si>
    <t>晶華</t>
  </si>
  <si>
    <t>遠雄來</t>
  </si>
  <si>
    <t>燦星旅</t>
  </si>
  <si>
    <t>夏都</t>
  </si>
  <si>
    <t>美食-KY</t>
  </si>
  <si>
    <t>藝舍-KY</t>
  </si>
  <si>
    <t>雅茗-KY</t>
  </si>
  <si>
    <t>王品</t>
  </si>
  <si>
    <t>瓦城</t>
  </si>
  <si>
    <t>雄獅</t>
  </si>
  <si>
    <t>六角</t>
  </si>
  <si>
    <t>易飛網</t>
  </si>
  <si>
    <t>富野</t>
  </si>
  <si>
    <t>寒舍</t>
  </si>
  <si>
    <t>天蔥</t>
  </si>
  <si>
    <t>山富</t>
  </si>
  <si>
    <t>五福</t>
  </si>
  <si>
    <t>雲品</t>
  </si>
  <si>
    <t>豆府</t>
  </si>
  <si>
    <t>八方雲集</t>
  </si>
  <si>
    <t>亞洲藏壽司</t>
  </si>
  <si>
    <t>揚秦</t>
  </si>
  <si>
    <t>聯發國際</t>
  </si>
  <si>
    <t>世界健身-KY</t>
  </si>
  <si>
    <t>彰銀</t>
  </si>
  <si>
    <t>台中銀</t>
  </si>
  <si>
    <t>旺旺保</t>
  </si>
  <si>
    <t>華票</t>
  </si>
  <si>
    <t>台產</t>
  </si>
  <si>
    <t>臺企銀</t>
  </si>
  <si>
    <t>高雄銀</t>
  </si>
  <si>
    <t>聯邦銀</t>
  </si>
  <si>
    <t>遠東銀</t>
  </si>
  <si>
    <t>安泰銀</t>
  </si>
  <si>
    <t>新產</t>
  </si>
  <si>
    <t>中再保</t>
  </si>
  <si>
    <t>第一保</t>
  </si>
  <si>
    <t>統一證</t>
  </si>
  <si>
    <t>三商壽</t>
  </si>
  <si>
    <t>華南金</t>
  </si>
  <si>
    <t>富邦金</t>
  </si>
  <si>
    <t>國泰金</t>
  </si>
  <si>
    <t>玉山金</t>
  </si>
  <si>
    <t>元大金</t>
  </si>
  <si>
    <t>兆豐金</t>
  </si>
  <si>
    <t>國票金</t>
  </si>
  <si>
    <t>永豐金</t>
  </si>
  <si>
    <t>中信金</t>
  </si>
  <si>
    <t>第一金</t>
  </si>
  <si>
    <t>王道銀行</t>
  </si>
  <si>
    <t>欣欣</t>
  </si>
  <si>
    <t>遠百</t>
  </si>
  <si>
    <t>匯僑</t>
  </si>
  <si>
    <t>三商</t>
  </si>
  <si>
    <t>高林</t>
  </si>
  <si>
    <t>特力</t>
  </si>
  <si>
    <t>統領</t>
  </si>
  <si>
    <t>麗嬰房</t>
  </si>
  <si>
    <t>統一超</t>
  </si>
  <si>
    <t>農林</t>
  </si>
  <si>
    <t>潤泰全</t>
  </si>
  <si>
    <t>滿心</t>
  </si>
  <si>
    <t>鼎固-KY</t>
  </si>
  <si>
    <t>宏太-KY</t>
  </si>
  <si>
    <t>誠品生活</t>
  </si>
  <si>
    <t>淘帝-KY</t>
  </si>
  <si>
    <t>集雅社</t>
  </si>
  <si>
    <t>米斯特</t>
  </si>
  <si>
    <t>三商家購</t>
  </si>
  <si>
    <t>振宇五金</t>
  </si>
  <si>
    <t>寶陞</t>
  </si>
  <si>
    <t>欣新網</t>
  </si>
  <si>
    <t>歐格</t>
  </si>
  <si>
    <t>健和興</t>
  </si>
  <si>
    <t>豐達科</t>
  </si>
  <si>
    <t>神基</t>
  </si>
  <si>
    <t>晶豪科</t>
  </si>
  <si>
    <t>大立光</t>
  </si>
  <si>
    <t>華立</t>
  </si>
  <si>
    <t>今皓</t>
  </si>
  <si>
    <t>晟銘電</t>
  </si>
  <si>
    <t>聯陽</t>
  </si>
  <si>
    <t>全漢</t>
  </si>
  <si>
    <t>嘉晶</t>
  </si>
  <si>
    <t>奇鋐</t>
  </si>
  <si>
    <t>隆銘綠能</t>
  </si>
  <si>
    <t>亞光</t>
  </si>
  <si>
    <t>鴻名</t>
  </si>
  <si>
    <t>威強電</t>
  </si>
  <si>
    <t>信邦</t>
  </si>
  <si>
    <t>憶聲</t>
  </si>
  <si>
    <t>星通</t>
  </si>
  <si>
    <t>禾伸堂</t>
  </si>
  <si>
    <t>盛達</t>
  </si>
  <si>
    <t>增你強</t>
  </si>
  <si>
    <t>零壹</t>
  </si>
  <si>
    <t>德律</t>
  </si>
  <si>
    <t>佰鴻</t>
  </si>
  <si>
    <t>偉訓</t>
  </si>
  <si>
    <t>威健</t>
  </si>
  <si>
    <t>聯詠</t>
  </si>
  <si>
    <t>智原</t>
  </si>
  <si>
    <t>文曄</t>
  </si>
  <si>
    <t>欣興</t>
  </si>
  <si>
    <t>全台</t>
  </si>
  <si>
    <t>遠見</t>
  </si>
  <si>
    <t>揚智</t>
  </si>
  <si>
    <t>晶技</t>
  </si>
  <si>
    <t>科風</t>
  </si>
  <si>
    <t>健鼎</t>
  </si>
  <si>
    <t>台灣大</t>
  </si>
  <si>
    <t>建碁</t>
  </si>
  <si>
    <t>訊舟</t>
  </si>
  <si>
    <t>益登</t>
  </si>
  <si>
    <t>精金</t>
  </si>
  <si>
    <t>鈺德</t>
  </si>
  <si>
    <t>力特</t>
  </si>
  <si>
    <t>夆典</t>
  </si>
  <si>
    <t>立萬利</t>
  </si>
  <si>
    <t>蔚華科</t>
  </si>
  <si>
    <t>富華新</t>
  </si>
  <si>
    <t>喬鼎</t>
  </si>
  <si>
    <t>立德</t>
  </si>
  <si>
    <t>華晶科</t>
  </si>
  <si>
    <t>銘異</t>
  </si>
  <si>
    <t>建漢</t>
  </si>
  <si>
    <t>泰偉</t>
  </si>
  <si>
    <t>李洲</t>
  </si>
  <si>
    <t>全域</t>
  </si>
  <si>
    <t>協禧</t>
  </si>
  <si>
    <t>天方能源</t>
  </si>
  <si>
    <t>僑威</t>
  </si>
  <si>
    <t>聯亞</t>
  </si>
  <si>
    <t>網龍</t>
  </si>
  <si>
    <t>新零售</t>
  </si>
  <si>
    <t>華義</t>
  </si>
  <si>
    <t>艾訊</t>
  </si>
  <si>
    <t>日電貿</t>
  </si>
  <si>
    <t>鴻碩</t>
  </si>
  <si>
    <t>港建*</t>
  </si>
  <si>
    <t>聯傑</t>
  </si>
  <si>
    <t>及成</t>
  </si>
  <si>
    <t>穩懋</t>
  </si>
  <si>
    <t>好德</t>
  </si>
  <si>
    <t>富榮綱</t>
  </si>
  <si>
    <t>進階</t>
  </si>
  <si>
    <t>笙泉</t>
  </si>
  <si>
    <t>昇銳</t>
  </si>
  <si>
    <t>一零四</t>
  </si>
  <si>
    <t>弘塑</t>
  </si>
  <si>
    <t>凌航</t>
  </si>
  <si>
    <t>耀登</t>
  </si>
  <si>
    <t>晶宏</t>
  </si>
  <si>
    <t>大綜</t>
  </si>
  <si>
    <t>正達</t>
  </si>
  <si>
    <t>璟德</t>
  </si>
  <si>
    <t>嘉實</t>
  </si>
  <si>
    <t>精確</t>
  </si>
  <si>
    <t>波若威</t>
  </si>
  <si>
    <t>景岳</t>
  </si>
  <si>
    <t>大量</t>
  </si>
  <si>
    <t>眾福科</t>
  </si>
  <si>
    <t>亞信</t>
  </si>
  <si>
    <t>基亞</t>
  </si>
  <si>
    <t>公準</t>
  </si>
  <si>
    <t>鑫龍騰</t>
  </si>
  <si>
    <t>景碩</t>
  </si>
  <si>
    <t>雲嘉南</t>
  </si>
  <si>
    <t>佰研</t>
  </si>
  <si>
    <t>志豐</t>
  </si>
  <si>
    <t>耀勝</t>
  </si>
  <si>
    <t>全科</t>
  </si>
  <si>
    <t>順達</t>
  </si>
  <si>
    <t>茂訊</t>
  </si>
  <si>
    <t>優群</t>
  </si>
  <si>
    <t>大學光</t>
  </si>
  <si>
    <t>倚強科</t>
  </si>
  <si>
    <t>台嘉碩</t>
  </si>
  <si>
    <t>三顧</t>
  </si>
  <si>
    <t>原相</t>
  </si>
  <si>
    <t>金麗科</t>
  </si>
  <si>
    <t>晟鈦</t>
  </si>
  <si>
    <t>錦明</t>
  </si>
  <si>
    <t>緯創</t>
  </si>
  <si>
    <t>昱捷</t>
  </si>
  <si>
    <t>光環</t>
  </si>
  <si>
    <t>千如</t>
  </si>
  <si>
    <t>海灣</t>
  </si>
  <si>
    <t>虹冠電</t>
  </si>
  <si>
    <t>鑫創</t>
  </si>
  <si>
    <t>威剛</t>
  </si>
  <si>
    <t>欣銓</t>
  </si>
  <si>
    <t>台星科</t>
  </si>
  <si>
    <t>昇陽</t>
  </si>
  <si>
    <t>海德威</t>
  </si>
  <si>
    <t>東碩</t>
  </si>
  <si>
    <t>宇環</t>
  </si>
  <si>
    <t>太普高</t>
  </si>
  <si>
    <t>微端</t>
  </si>
  <si>
    <t>廣寰科</t>
  </si>
  <si>
    <t>點晶</t>
  </si>
  <si>
    <t>宜特</t>
  </si>
  <si>
    <t>東浦</t>
  </si>
  <si>
    <t>鈊象</t>
  </si>
  <si>
    <t>英濟</t>
  </si>
  <si>
    <t>勝德</t>
  </si>
  <si>
    <t>杭特</t>
  </si>
  <si>
    <t>岱稜</t>
  </si>
  <si>
    <t>昇貿</t>
  </si>
  <si>
    <t>鼎天</t>
  </si>
  <si>
    <t>聯德</t>
  </si>
  <si>
    <t>佳穎</t>
  </si>
  <si>
    <t>閎暉</t>
  </si>
  <si>
    <t>弘憶股</t>
  </si>
  <si>
    <t>斐成</t>
  </si>
  <si>
    <t>尼克森</t>
  </si>
  <si>
    <t>同泰</t>
  </si>
  <si>
    <t>建舜電</t>
  </si>
  <si>
    <t>加百裕</t>
  </si>
  <si>
    <t>雙鴻</t>
  </si>
  <si>
    <t>旭品</t>
  </si>
  <si>
    <t>幸康</t>
  </si>
  <si>
    <t>泰碩</t>
  </si>
  <si>
    <t>泰谷</t>
  </si>
  <si>
    <t>麗清</t>
  </si>
  <si>
    <t>寶德</t>
  </si>
  <si>
    <t>律勝</t>
  </si>
  <si>
    <t>奇偶</t>
  </si>
  <si>
    <t>臺慶科</t>
  </si>
  <si>
    <t>尚立</t>
  </si>
  <si>
    <t>先進光</t>
  </si>
  <si>
    <t>上詮</t>
  </si>
  <si>
    <t>典範</t>
  </si>
  <si>
    <t>熱映</t>
  </si>
  <si>
    <t>精材</t>
  </si>
  <si>
    <t>新日興</t>
  </si>
  <si>
    <t>彬台</t>
  </si>
  <si>
    <t>明泰</t>
  </si>
  <si>
    <t>崇越電</t>
  </si>
  <si>
    <t>旭軟</t>
  </si>
  <si>
    <t>漢科</t>
  </si>
  <si>
    <t>玉晶光</t>
  </si>
  <si>
    <t>京鼎</t>
  </si>
  <si>
    <t>融程電</t>
  </si>
  <si>
    <t>譁裕</t>
  </si>
  <si>
    <t>台興</t>
  </si>
  <si>
    <t>奇鈦科</t>
  </si>
  <si>
    <t>台端</t>
  </si>
  <si>
    <t>哲固</t>
  </si>
  <si>
    <t>榮創</t>
  </si>
  <si>
    <t>類比科</t>
  </si>
  <si>
    <t>聯一光</t>
  </si>
  <si>
    <t>創意</t>
  </si>
  <si>
    <t>利機</t>
  </si>
  <si>
    <t>展達</t>
  </si>
  <si>
    <t>聯鈞</t>
  </si>
  <si>
    <t>晶睿</t>
  </si>
  <si>
    <t>由田</t>
  </si>
  <si>
    <t>進泰電子</t>
  </si>
  <si>
    <t>德晉</t>
  </si>
  <si>
    <t>安勤</t>
  </si>
  <si>
    <t>群創</t>
  </si>
  <si>
    <t>力致</t>
  </si>
  <si>
    <t>崧騰</t>
  </si>
  <si>
    <t>森寶</t>
  </si>
  <si>
    <t>單井</t>
  </si>
  <si>
    <t>昇達科</t>
  </si>
  <si>
    <t>長盛</t>
  </si>
  <si>
    <t>誠研</t>
  </si>
  <si>
    <t>陽程</t>
  </si>
  <si>
    <t>環天科</t>
  </si>
  <si>
    <t>維熹</t>
  </si>
  <si>
    <t>揚明光</t>
  </si>
  <si>
    <t>位速</t>
  </si>
  <si>
    <t>矽瑪</t>
  </si>
  <si>
    <t>皇龍</t>
  </si>
  <si>
    <t>華擎</t>
  </si>
  <si>
    <t>亞帝歐</t>
  </si>
  <si>
    <t>柏騰</t>
  </si>
  <si>
    <t>華盈</t>
  </si>
  <si>
    <t>迎輝</t>
  </si>
  <si>
    <t>凡甲</t>
  </si>
  <si>
    <t>聚積</t>
  </si>
  <si>
    <t>安馳</t>
  </si>
  <si>
    <t>力旺</t>
  </si>
  <si>
    <t>晶相光</t>
  </si>
  <si>
    <t>先益</t>
  </si>
  <si>
    <t>台勝科</t>
  </si>
  <si>
    <t>嘉澤</t>
  </si>
  <si>
    <t>晶彩科</t>
  </si>
  <si>
    <t>堡達</t>
  </si>
  <si>
    <t>曜越</t>
  </si>
  <si>
    <t>西柏</t>
  </si>
  <si>
    <t>州巧</t>
  </si>
  <si>
    <t>敦泰</t>
  </si>
  <si>
    <t>宇峻</t>
  </si>
  <si>
    <t>兆利</t>
  </si>
  <si>
    <t>聯穎</t>
  </si>
  <si>
    <t>世禾</t>
  </si>
  <si>
    <t>同致</t>
  </si>
  <si>
    <t>博士旺</t>
  </si>
  <si>
    <t>禾瑞亞</t>
  </si>
  <si>
    <t>嘉威</t>
  </si>
  <si>
    <t>神準</t>
  </si>
  <si>
    <t>牧德</t>
  </si>
  <si>
    <t>其陽</t>
  </si>
  <si>
    <t>逸昌</t>
  </si>
  <si>
    <t>大塚</t>
  </si>
  <si>
    <t>聯合再生</t>
  </si>
  <si>
    <t>泓格</t>
  </si>
  <si>
    <t>友威科</t>
  </si>
  <si>
    <t>博磊</t>
  </si>
  <si>
    <t>辛耘</t>
  </si>
  <si>
    <t>閎康</t>
  </si>
  <si>
    <t>通嘉</t>
  </si>
  <si>
    <t>艾笛森</t>
  </si>
  <si>
    <t>瑞鼎</t>
  </si>
  <si>
    <t>力銘</t>
  </si>
  <si>
    <t>磐儀</t>
  </si>
  <si>
    <t>智易</t>
  </si>
  <si>
    <t>映興</t>
  </si>
  <si>
    <t>宏致</t>
  </si>
  <si>
    <t>谷崧</t>
  </si>
  <si>
    <t>三一東林</t>
  </si>
  <si>
    <t>鼎翰</t>
  </si>
  <si>
    <t>安可</t>
  </si>
  <si>
    <t>碩天</t>
  </si>
  <si>
    <t>洋華</t>
  </si>
  <si>
    <t>富晶通</t>
  </si>
  <si>
    <t>光頡</t>
  </si>
  <si>
    <t>西勝</t>
  </si>
  <si>
    <t>盈正</t>
  </si>
  <si>
    <t>地心引力</t>
  </si>
  <si>
    <t>新鉅科</t>
  </si>
  <si>
    <t>晟楠</t>
  </si>
  <si>
    <t>研勤</t>
  </si>
  <si>
    <t>達邁</t>
  </si>
  <si>
    <t>艾恩特</t>
  </si>
  <si>
    <t>精聯</t>
  </si>
  <si>
    <t>健策</t>
  </si>
  <si>
    <t>世芯-KY</t>
  </si>
  <si>
    <t>鑫科</t>
  </si>
  <si>
    <t>安瑞-KY</t>
  </si>
  <si>
    <t>貿聯-KY</t>
  </si>
  <si>
    <t>光耀</t>
  </si>
  <si>
    <t>圓展</t>
  </si>
  <si>
    <t>康聯訊</t>
  </si>
  <si>
    <t>TPK-KY</t>
  </si>
  <si>
    <t>德微</t>
  </si>
  <si>
    <t>新至陞</t>
  </si>
  <si>
    <t>榮昌</t>
  </si>
  <si>
    <t>元創精密</t>
  </si>
  <si>
    <t>達能</t>
  </si>
  <si>
    <t>歐買尬</t>
  </si>
  <si>
    <t>湧德</t>
  </si>
  <si>
    <t>碩禾</t>
  </si>
  <si>
    <t>營邦</t>
  </si>
  <si>
    <t>海華</t>
  </si>
  <si>
    <t>大眾控</t>
  </si>
  <si>
    <t>大聯大</t>
  </si>
  <si>
    <t>欣陸</t>
  </si>
  <si>
    <t>合勤控</t>
  </si>
  <si>
    <t>永信</t>
  </si>
  <si>
    <t>神達</t>
  </si>
  <si>
    <t>漢磊</t>
  </si>
  <si>
    <t>上緯投控</t>
  </si>
  <si>
    <t>鑫聯大投控</t>
  </si>
  <si>
    <t>連展投控</t>
  </si>
  <si>
    <t>日月光投控</t>
  </si>
  <si>
    <t>永崴投控</t>
  </si>
  <si>
    <t>新晶投控</t>
  </si>
  <si>
    <t>富采</t>
  </si>
  <si>
    <t>定穎投控</t>
  </si>
  <si>
    <t>聯嘉投控</t>
  </si>
  <si>
    <t>永日</t>
  </si>
  <si>
    <t>佳醫</t>
  </si>
  <si>
    <t>東洋</t>
  </si>
  <si>
    <t>雃博</t>
  </si>
  <si>
    <t>邦特</t>
  </si>
  <si>
    <t>懷特</t>
  </si>
  <si>
    <t>加捷生醫</t>
  </si>
  <si>
    <t>濟生</t>
  </si>
  <si>
    <t>聯上</t>
  </si>
  <si>
    <t>健喬</t>
  </si>
  <si>
    <t>明基醫</t>
  </si>
  <si>
    <t>旭富</t>
  </si>
  <si>
    <t>友華</t>
  </si>
  <si>
    <t>優盛</t>
  </si>
  <si>
    <t>晟德</t>
  </si>
  <si>
    <t>太醫</t>
  </si>
  <si>
    <t>天良</t>
  </si>
  <si>
    <t>中天</t>
  </si>
  <si>
    <t>聯合</t>
  </si>
  <si>
    <t>健亞</t>
  </si>
  <si>
    <t>浩泰</t>
  </si>
  <si>
    <t>亞諾法</t>
  </si>
  <si>
    <t>麗豐-KY</t>
  </si>
  <si>
    <t>曜亞</t>
  </si>
  <si>
    <t>馬光-KY</t>
  </si>
  <si>
    <t>國光生</t>
  </si>
  <si>
    <t>中裕</t>
  </si>
  <si>
    <t>全宇生技-KY</t>
  </si>
  <si>
    <t>鈺緯</t>
  </si>
  <si>
    <t>樂威科-KY</t>
  </si>
  <si>
    <t>訊映</t>
  </si>
  <si>
    <t>太景*-KY</t>
  </si>
  <si>
    <t>訊聯基因</t>
  </si>
  <si>
    <t>聿新科</t>
  </si>
  <si>
    <t>智擎</t>
  </si>
  <si>
    <t>鐿鈦</t>
  </si>
  <si>
    <t>承業醫</t>
  </si>
  <si>
    <t>友霖</t>
  </si>
  <si>
    <t>松瑞藥</t>
  </si>
  <si>
    <t>醣聯</t>
  </si>
  <si>
    <t>瑞基</t>
  </si>
  <si>
    <t>久裕</t>
  </si>
  <si>
    <t>浩鼎</t>
  </si>
  <si>
    <t>杏一</t>
  </si>
  <si>
    <t>福永生技</t>
  </si>
  <si>
    <t>安克</t>
  </si>
  <si>
    <t>佐登-KY</t>
  </si>
  <si>
    <t>杏國</t>
  </si>
  <si>
    <t>欣大健康</t>
  </si>
  <si>
    <t>中華食</t>
  </si>
  <si>
    <t>環泰</t>
  </si>
  <si>
    <t>信立</t>
  </si>
  <si>
    <t>勝昱</t>
  </si>
  <si>
    <t>世坤</t>
  </si>
  <si>
    <t>炎洲</t>
  </si>
  <si>
    <t>東隆興</t>
  </si>
  <si>
    <t>新昕纖</t>
  </si>
  <si>
    <t>飛寶企業</t>
  </si>
  <si>
    <t>如興</t>
  </si>
  <si>
    <t>三圓</t>
  </si>
  <si>
    <t>金洲</t>
  </si>
  <si>
    <t>皇家美食</t>
  </si>
  <si>
    <t>光明</t>
  </si>
  <si>
    <t>利勤</t>
  </si>
  <si>
    <t>耀億</t>
  </si>
  <si>
    <t>銘旺實</t>
  </si>
  <si>
    <t>興采</t>
  </si>
  <si>
    <t>廣越</t>
  </si>
  <si>
    <t>冠星-KY</t>
  </si>
  <si>
    <t>宜新實業</t>
  </si>
  <si>
    <t>振大環球</t>
  </si>
  <si>
    <t>竣邦-KY</t>
  </si>
  <si>
    <t>健信</t>
  </si>
  <si>
    <t>金雨</t>
  </si>
  <si>
    <t>崇友</t>
  </si>
  <si>
    <t>高鋒</t>
  </si>
  <si>
    <t>福裕</t>
  </si>
  <si>
    <t>永彰</t>
  </si>
  <si>
    <t>東台</t>
  </si>
  <si>
    <t>方土霖</t>
  </si>
  <si>
    <t>江興鍛</t>
  </si>
  <si>
    <t>淳紳</t>
  </si>
  <si>
    <t>宏易</t>
  </si>
  <si>
    <t>瑞智</t>
  </si>
  <si>
    <t>協易機</t>
  </si>
  <si>
    <t>慶騰</t>
  </si>
  <si>
    <t>至興</t>
  </si>
  <si>
    <t>拓凱</t>
  </si>
  <si>
    <t>大詠城</t>
  </si>
  <si>
    <t>全球傳動</t>
  </si>
  <si>
    <t>晟田</t>
  </si>
  <si>
    <t>科嶠</t>
  </si>
  <si>
    <t>萬在</t>
  </si>
  <si>
    <t>銘鈺</t>
  </si>
  <si>
    <t>桓達</t>
  </si>
  <si>
    <t>長佳</t>
  </si>
  <si>
    <t>智伸科</t>
  </si>
  <si>
    <t>力達-KY</t>
  </si>
  <si>
    <t>橙的</t>
  </si>
  <si>
    <t>氣立</t>
  </si>
  <si>
    <t>旭然</t>
  </si>
  <si>
    <t>永新-KY</t>
  </si>
  <si>
    <t>寶緯</t>
  </si>
  <si>
    <t>強信-KY</t>
  </si>
  <si>
    <t>健椿</t>
  </si>
  <si>
    <t>穎漢</t>
  </si>
  <si>
    <t>百德</t>
  </si>
  <si>
    <t>元翎</t>
  </si>
  <si>
    <t>時碩工業</t>
  </si>
  <si>
    <t>科際精密</t>
  </si>
  <si>
    <t>六方科-KY</t>
  </si>
  <si>
    <t>鈞興-KY</t>
  </si>
  <si>
    <t>駐龍</t>
  </si>
  <si>
    <t>大銀微系統</t>
  </si>
  <si>
    <t>達航科技</t>
  </si>
  <si>
    <t>捷流閥業</t>
  </si>
  <si>
    <t>光隆精密-KY</t>
  </si>
  <si>
    <t>台灣精銳</t>
  </si>
  <si>
    <t>君帆</t>
  </si>
  <si>
    <t>達明</t>
  </si>
  <si>
    <t>玖鼎電力</t>
  </si>
  <si>
    <t>唐鋒</t>
  </si>
  <si>
    <t>中美實</t>
  </si>
  <si>
    <t>大恭</t>
  </si>
  <si>
    <t>磐亞</t>
  </si>
  <si>
    <t>永純</t>
  </si>
  <si>
    <t>永捷</t>
  </si>
  <si>
    <t>大立</t>
  </si>
  <si>
    <t>德淵</t>
  </si>
  <si>
    <t>美琪瑪</t>
  </si>
  <si>
    <t>國精化</t>
  </si>
  <si>
    <t>永昕</t>
  </si>
  <si>
    <t>雙美</t>
  </si>
  <si>
    <t>熒茂</t>
  </si>
  <si>
    <t>豪展</t>
  </si>
  <si>
    <t>泰博</t>
  </si>
  <si>
    <t>華廣</t>
  </si>
  <si>
    <t>康普</t>
  </si>
  <si>
    <t>泓瀚</t>
  </si>
  <si>
    <t>合一</t>
  </si>
  <si>
    <t>皇將</t>
  </si>
  <si>
    <t>合富-KY</t>
  </si>
  <si>
    <t>台耀</t>
  </si>
  <si>
    <t>強生</t>
  </si>
  <si>
    <t>國碳科</t>
  </si>
  <si>
    <t>三福化</t>
  </si>
  <si>
    <t>勤凱</t>
  </si>
  <si>
    <t>雙鍵</t>
  </si>
  <si>
    <t>南寶</t>
  </si>
  <si>
    <t>誠泰科技</t>
  </si>
  <si>
    <t>晶呈科技</t>
  </si>
  <si>
    <t>上品</t>
  </si>
  <si>
    <t>望隼</t>
  </si>
  <si>
    <t>大略-KY</t>
  </si>
  <si>
    <t>桂田文創</t>
  </si>
  <si>
    <t>日成-KY</t>
  </si>
  <si>
    <t>聯光通</t>
  </si>
  <si>
    <t>遠傳</t>
  </si>
  <si>
    <t>台聯電</t>
  </si>
  <si>
    <t>正文</t>
  </si>
  <si>
    <t>富宇</t>
  </si>
  <si>
    <t>前鼎</t>
  </si>
  <si>
    <t>新復興</t>
  </si>
  <si>
    <t>德英</t>
  </si>
  <si>
    <t>聯德控股-KY</t>
  </si>
  <si>
    <t>致伸</t>
  </si>
  <si>
    <t>事欣科</t>
  </si>
  <si>
    <t>新唐</t>
  </si>
  <si>
    <t>力士</t>
  </si>
  <si>
    <t>欣厚-KY</t>
  </si>
  <si>
    <t>泰鼎-KY</t>
  </si>
  <si>
    <t>燦星網</t>
  </si>
  <si>
    <t>新盛力</t>
  </si>
  <si>
    <t>友輝</t>
  </si>
  <si>
    <t>太極</t>
  </si>
  <si>
    <t>茂林-KY</t>
  </si>
  <si>
    <t>和碩</t>
  </si>
  <si>
    <t>亞電</t>
  </si>
  <si>
    <t>嘉彰</t>
  </si>
  <si>
    <t>康控-KY</t>
  </si>
  <si>
    <t>辣椒</t>
  </si>
  <si>
    <t>有成精密</t>
  </si>
  <si>
    <t>精拓科</t>
  </si>
  <si>
    <t>凌通</t>
  </si>
  <si>
    <t>緯軟</t>
  </si>
  <si>
    <t>光鋐</t>
  </si>
  <si>
    <t>臻鼎-KY</t>
  </si>
  <si>
    <t>誠美材</t>
  </si>
  <si>
    <t>天鈺</t>
  </si>
  <si>
    <t>譜瑞-KY</t>
  </si>
  <si>
    <t>十銓</t>
  </si>
  <si>
    <t>立積</t>
  </si>
  <si>
    <t>IET-KY</t>
  </si>
  <si>
    <t>湯石照明</t>
  </si>
  <si>
    <t>廣穎</t>
  </si>
  <si>
    <t>亞泰</t>
  </si>
  <si>
    <t>佳凌</t>
  </si>
  <si>
    <t>眾達-KY</t>
  </si>
  <si>
    <t>華星光</t>
  </si>
  <si>
    <t>科誠</t>
  </si>
  <si>
    <t>榮科</t>
  </si>
  <si>
    <t>環宇-KY</t>
  </si>
  <si>
    <t>傳奇</t>
  </si>
  <si>
    <t>晶達</t>
  </si>
  <si>
    <t>鑫禾</t>
  </si>
  <si>
    <t>三星</t>
  </si>
  <si>
    <t>榮剛</t>
  </si>
  <si>
    <t>久陽</t>
  </si>
  <si>
    <t>強新</t>
  </si>
  <si>
    <t>建錩</t>
  </si>
  <si>
    <t>華祺</t>
  </si>
  <si>
    <t>松和</t>
  </si>
  <si>
    <t>凱衛</t>
  </si>
  <si>
    <t>力新</t>
  </si>
  <si>
    <t>訊連</t>
  </si>
  <si>
    <t>中茂</t>
  </si>
  <si>
    <t>坤悅</t>
  </si>
  <si>
    <t>新鼎</t>
  </si>
  <si>
    <t>寶碩</t>
  </si>
  <si>
    <t>蒙恬</t>
  </si>
  <si>
    <t>凌網</t>
  </si>
  <si>
    <t>亞昕</t>
  </si>
  <si>
    <t>科嘉-KY</t>
  </si>
  <si>
    <t>萬達光電</t>
  </si>
  <si>
    <t>全訊</t>
  </si>
  <si>
    <t>安力-KY</t>
  </si>
  <si>
    <t>東科-KY</t>
  </si>
  <si>
    <t>立凱-KY</t>
  </si>
  <si>
    <t>鈺鎧</t>
  </si>
  <si>
    <t>雷笛克光學</t>
  </si>
  <si>
    <t>達興材料</t>
  </si>
  <si>
    <t>凌陽創新</t>
  </si>
  <si>
    <t>乙盛-KY</t>
  </si>
  <si>
    <t>弘凱</t>
  </si>
  <si>
    <t>智晶</t>
  </si>
  <si>
    <t>天鉞電</t>
  </si>
  <si>
    <t>虹堡</t>
  </si>
  <si>
    <t>智崴</t>
  </si>
  <si>
    <t>祥碩</t>
  </si>
  <si>
    <t>笙科</t>
  </si>
  <si>
    <t>信驊</t>
  </si>
  <si>
    <t>達輝-KY</t>
  </si>
  <si>
    <t>禾聯碩</t>
  </si>
  <si>
    <t>jpp-KY</t>
  </si>
  <si>
    <t>界霖</t>
  </si>
  <si>
    <t>數字</t>
  </si>
  <si>
    <t>豐祥-KY</t>
  </si>
  <si>
    <t>宜鼎</t>
  </si>
  <si>
    <t>邑昇</t>
  </si>
  <si>
    <t>華懋</t>
  </si>
  <si>
    <t>杰力</t>
  </si>
  <si>
    <t>寶得利</t>
  </si>
  <si>
    <t>太欣</t>
  </si>
  <si>
    <t>桂盟</t>
  </si>
  <si>
    <t>系統電</t>
  </si>
  <si>
    <t>天剛</t>
  </si>
  <si>
    <t>寶島科</t>
  </si>
  <si>
    <t>光聯</t>
  </si>
  <si>
    <t>美而快</t>
  </si>
  <si>
    <t>士開</t>
  </si>
  <si>
    <t>華容</t>
  </si>
  <si>
    <t>建榮</t>
  </si>
  <si>
    <t>立衛</t>
  </si>
  <si>
    <t>世界</t>
  </si>
  <si>
    <t>正能量智能</t>
  </si>
  <si>
    <t>鈺創</t>
  </si>
  <si>
    <t>台林</t>
  </si>
  <si>
    <t>佳總</t>
  </si>
  <si>
    <t>協益</t>
  </si>
  <si>
    <t>力麗店</t>
  </si>
  <si>
    <t>中光電</t>
  </si>
  <si>
    <t>合正</t>
  </si>
  <si>
    <t>青雲</t>
  </si>
  <si>
    <t>中磊</t>
  </si>
  <si>
    <t>能率</t>
  </si>
  <si>
    <t>慕康生醫</t>
  </si>
  <si>
    <t>中菲</t>
  </si>
  <si>
    <t>國眾</t>
  </si>
  <si>
    <t>台半</t>
  </si>
  <si>
    <t>振發</t>
  </si>
  <si>
    <t>新門</t>
  </si>
  <si>
    <t>崇越</t>
  </si>
  <si>
    <t>東友</t>
  </si>
  <si>
    <t>高技</t>
  </si>
  <si>
    <t>均豪</t>
  </si>
  <si>
    <t>南良</t>
  </si>
  <si>
    <t>佶優</t>
  </si>
  <si>
    <t>昇益</t>
  </si>
  <si>
    <t>宣德</t>
  </si>
  <si>
    <t>同協</t>
  </si>
  <si>
    <t>霖宏</t>
  </si>
  <si>
    <t>富驊</t>
  </si>
  <si>
    <t>凱鈺</t>
  </si>
  <si>
    <t>瀚宇博</t>
  </si>
  <si>
    <t>松翰</t>
  </si>
  <si>
    <t>聰泰</t>
  </si>
  <si>
    <t>德宏</t>
  </si>
  <si>
    <t>智冠</t>
  </si>
  <si>
    <t>新華</t>
  </si>
  <si>
    <t>中美晶</t>
  </si>
  <si>
    <t>慧友</t>
  </si>
  <si>
    <t>通泰</t>
  </si>
  <si>
    <t>松普</t>
  </si>
  <si>
    <t>彩富</t>
  </si>
  <si>
    <t>同亨</t>
  </si>
  <si>
    <t>三聯</t>
  </si>
  <si>
    <t>凱崴</t>
  </si>
  <si>
    <t>永信建</t>
  </si>
  <si>
    <t>德昌</t>
  </si>
  <si>
    <t>力麒</t>
  </si>
  <si>
    <t>三豐</t>
  </si>
  <si>
    <t>建國</t>
  </si>
  <si>
    <t>雙喜</t>
  </si>
  <si>
    <t>隆大</t>
  </si>
  <si>
    <t>力泰</t>
  </si>
  <si>
    <t>工信</t>
  </si>
  <si>
    <t>遠雄</t>
  </si>
  <si>
    <t>豐謙</t>
  </si>
  <si>
    <t>順天</t>
  </si>
  <si>
    <t>鉅陞</t>
  </si>
  <si>
    <t>龍巖</t>
  </si>
  <si>
    <t>鄉林</t>
  </si>
  <si>
    <t>皇鼎</t>
  </si>
  <si>
    <t>長虹</t>
  </si>
  <si>
    <t>聖暉*</t>
  </si>
  <si>
    <t>東明-KY</t>
  </si>
  <si>
    <t>桓鼎-KY</t>
  </si>
  <si>
    <t>永固-KY</t>
  </si>
  <si>
    <t>安倉</t>
  </si>
  <si>
    <t>台聯櫃</t>
  </si>
  <si>
    <t>陸海</t>
  </si>
  <si>
    <t>中連</t>
  </si>
  <si>
    <t>遠雄港</t>
  </si>
  <si>
    <t>四維航</t>
  </si>
  <si>
    <t>中菲行</t>
  </si>
  <si>
    <t>劍湖山</t>
  </si>
  <si>
    <t>亞都</t>
  </si>
  <si>
    <t>老爺知</t>
  </si>
  <si>
    <t>鳳凰</t>
  </si>
  <si>
    <t>致和證</t>
  </si>
  <si>
    <t>中租-KY</t>
  </si>
  <si>
    <t>上海商銀</t>
  </si>
  <si>
    <t>台名</t>
  </si>
  <si>
    <t>合庫金</t>
  </si>
  <si>
    <t>德記</t>
  </si>
  <si>
    <t>全家</t>
  </si>
  <si>
    <t>寶雅</t>
  </si>
  <si>
    <t>南仁湖</t>
  </si>
  <si>
    <t>台南-KY</t>
  </si>
  <si>
    <t>大洋-KY</t>
  </si>
  <si>
    <t>群益證</t>
  </si>
  <si>
    <t>宏遠證</t>
  </si>
  <si>
    <t>康和證</t>
  </si>
  <si>
    <t>大展證</t>
  </si>
  <si>
    <t>美好證</t>
  </si>
  <si>
    <t>元大期</t>
  </si>
  <si>
    <t>群益期</t>
  </si>
  <si>
    <t>福邦證</t>
  </si>
  <si>
    <t>寬魚國際</t>
  </si>
  <si>
    <t>合邦</t>
  </si>
  <si>
    <t>創惟</t>
  </si>
  <si>
    <t>競國</t>
  </si>
  <si>
    <t>亞元</t>
  </si>
  <si>
    <t>大宇資</t>
  </si>
  <si>
    <t>邁達特</t>
  </si>
  <si>
    <t>亞矽</t>
  </si>
  <si>
    <t>久威</t>
  </si>
  <si>
    <t>鎰勝</t>
  </si>
  <si>
    <t>彩晶</t>
  </si>
  <si>
    <t>迎廣</t>
  </si>
  <si>
    <t>建達</t>
  </si>
  <si>
    <t>達運</t>
  </si>
  <si>
    <t>新普</t>
  </si>
  <si>
    <t>擎邦</t>
  </si>
  <si>
    <t>上奇</t>
  </si>
  <si>
    <t>業強</t>
  </si>
  <si>
    <t>廣運</t>
  </si>
  <si>
    <t>信音</t>
  </si>
  <si>
    <t>九豪</t>
  </si>
  <si>
    <t>上福</t>
  </si>
  <si>
    <t>普誠</t>
  </si>
  <si>
    <t>上亞科技</t>
  </si>
  <si>
    <t>金橋</t>
  </si>
  <si>
    <t>萬旭</t>
  </si>
  <si>
    <t>富爾特</t>
  </si>
  <si>
    <t>茂達</t>
  </si>
  <si>
    <t>亞翔</t>
  </si>
  <si>
    <t>訊達</t>
  </si>
  <si>
    <t>柏承</t>
  </si>
  <si>
    <t>友勁</t>
  </si>
  <si>
    <t>振曜</t>
  </si>
  <si>
    <t>得利影</t>
  </si>
  <si>
    <t>耕興</t>
  </si>
  <si>
    <t>頎邦</t>
  </si>
  <si>
    <t>驊宏資</t>
  </si>
  <si>
    <t>撼訊</t>
  </si>
  <si>
    <t>晉倫</t>
  </si>
  <si>
    <t>百一</t>
  </si>
  <si>
    <t>嘉聯益</t>
  </si>
  <si>
    <t>順發</t>
  </si>
  <si>
    <t>鈞寶</t>
  </si>
  <si>
    <t>松上</t>
  </si>
  <si>
    <t>禾昌</t>
  </si>
  <si>
    <t>欣技</t>
  </si>
  <si>
    <t>捷波</t>
  </si>
  <si>
    <t>華電網</t>
  </si>
  <si>
    <t>華興</t>
  </si>
  <si>
    <t>浪凡</t>
  </si>
  <si>
    <t>凌華</t>
  </si>
  <si>
    <t>久正</t>
  </si>
  <si>
    <t>宏齊</t>
  </si>
  <si>
    <t>昱泉</t>
  </si>
  <si>
    <t>統振</t>
  </si>
  <si>
    <t>大城地產</t>
  </si>
  <si>
    <t>信昌電</t>
  </si>
  <si>
    <t>安碁</t>
  </si>
  <si>
    <t>立敦</t>
  </si>
  <si>
    <t>瑞儀</t>
  </si>
  <si>
    <t>達麗</t>
  </si>
  <si>
    <t>亞通</t>
  </si>
  <si>
    <t>橘子</t>
  </si>
  <si>
    <t>合晶</t>
  </si>
  <si>
    <t>關貿</t>
  </si>
  <si>
    <t>大豐電</t>
  </si>
  <si>
    <t>幃翔</t>
  </si>
  <si>
    <t>新潤</t>
  </si>
  <si>
    <t>萬潤</t>
  </si>
  <si>
    <t>廣明</t>
  </si>
  <si>
    <t>豐藝</t>
  </si>
  <si>
    <t>萬泰科</t>
  </si>
  <si>
    <t>精成科</t>
  </si>
  <si>
    <t>巨路</t>
  </si>
  <si>
    <t>育富</t>
  </si>
  <si>
    <t>詩肯</t>
  </si>
  <si>
    <t>帆宣</t>
  </si>
  <si>
    <t>佳必琪</t>
  </si>
  <si>
    <t>瑞築</t>
  </si>
  <si>
    <t>天品</t>
  </si>
  <si>
    <t>亞弘電</t>
  </si>
  <si>
    <t>盛群</t>
  </si>
  <si>
    <t>海韻電</t>
  </si>
  <si>
    <t>艾華</t>
  </si>
  <si>
    <t>詮欣</t>
  </si>
  <si>
    <t>飛捷</t>
  </si>
  <si>
    <t>雷科</t>
  </si>
  <si>
    <t>日揚</t>
  </si>
  <si>
    <t>今國光</t>
  </si>
  <si>
    <t>慶生</t>
  </si>
  <si>
    <t>理銘</t>
  </si>
  <si>
    <t>聯茂</t>
  </si>
  <si>
    <t>精誠</t>
  </si>
  <si>
    <t>和椿</t>
  </si>
  <si>
    <t>居易</t>
  </si>
  <si>
    <t>中探針</t>
  </si>
  <si>
    <t>豪勉</t>
  </si>
  <si>
    <t>富旺</t>
  </si>
  <si>
    <t>岳豐</t>
  </si>
  <si>
    <t>晉泰</t>
  </si>
  <si>
    <t>旺矽</t>
  </si>
  <si>
    <t>聚鼎</t>
  </si>
  <si>
    <t>天瀚</t>
  </si>
  <si>
    <t>光鼎</t>
  </si>
  <si>
    <t>茂綸</t>
  </si>
  <si>
    <t>全譜</t>
  </si>
  <si>
    <t>研通</t>
  </si>
  <si>
    <t>尼得科超眾</t>
  </si>
  <si>
    <t>系微</t>
  </si>
  <si>
    <t>旺玖</t>
  </si>
  <si>
    <t>高僑</t>
  </si>
  <si>
    <t>華孚</t>
  </si>
  <si>
    <t>中湛</t>
  </si>
  <si>
    <t>驊訊</t>
  </si>
  <si>
    <t>力成</t>
  </si>
  <si>
    <t>松崗</t>
  </si>
  <si>
    <t>易通展</t>
  </si>
  <si>
    <t>立康</t>
  </si>
  <si>
    <t>迅杰</t>
  </si>
  <si>
    <t>茂迪</t>
  </si>
  <si>
    <t>立端</t>
  </si>
  <si>
    <t>臺龍</t>
  </si>
  <si>
    <t>沛波</t>
  </si>
  <si>
    <t>矽格</t>
  </si>
  <si>
    <t>百徽</t>
  </si>
  <si>
    <t>久元</t>
  </si>
  <si>
    <t>普萊德</t>
  </si>
  <si>
    <t>富裔</t>
  </si>
  <si>
    <t>方土昶</t>
  </si>
  <si>
    <t>泰詠</t>
  </si>
  <si>
    <t>台郡</t>
  </si>
  <si>
    <t>倍微</t>
  </si>
  <si>
    <t>同欣電</t>
  </si>
  <si>
    <t>驊陞</t>
  </si>
  <si>
    <t>台燿</t>
  </si>
  <si>
    <t>元山</t>
  </si>
  <si>
    <t>安鈦克</t>
  </si>
  <si>
    <t>宏正</t>
  </si>
  <si>
    <t>台表科</t>
  </si>
  <si>
    <t>胡連</t>
  </si>
  <si>
    <t>全國電</t>
  </si>
  <si>
    <t>康舒</t>
  </si>
  <si>
    <t>淳安</t>
  </si>
  <si>
    <t>佳邦</t>
  </si>
  <si>
    <t>啟碁</t>
  </si>
  <si>
    <t>良維</t>
  </si>
  <si>
    <t>沛亨</t>
  </si>
  <si>
    <t>迅德</t>
  </si>
  <si>
    <t>智基</t>
  </si>
  <si>
    <t>悅城</t>
  </si>
  <si>
    <t>旭隼</t>
  </si>
  <si>
    <t>晶焱</t>
  </si>
  <si>
    <t>群電</t>
  </si>
  <si>
    <t>樺漢</t>
  </si>
  <si>
    <t>矽力*-KY</t>
  </si>
  <si>
    <t>瑞祺電通</t>
  </si>
  <si>
    <t>韋僑</t>
  </si>
  <si>
    <t>詠昇</t>
  </si>
  <si>
    <t>京晨科</t>
  </si>
  <si>
    <t>億而得</t>
  </si>
  <si>
    <t>易發</t>
  </si>
  <si>
    <t>統新</t>
  </si>
  <si>
    <t>光麗-KY</t>
  </si>
  <si>
    <t>今展科</t>
  </si>
  <si>
    <t>大中</t>
  </si>
  <si>
    <t>迅得</t>
  </si>
  <si>
    <t>廣錠</t>
  </si>
  <si>
    <t>光聖</t>
  </si>
  <si>
    <t>元晶</t>
  </si>
  <si>
    <t>藥華藥</t>
  </si>
  <si>
    <t>鈺邦</t>
  </si>
  <si>
    <t>訊芯-KY</t>
  </si>
  <si>
    <t>GIS-KY</t>
  </si>
  <si>
    <t>益得</t>
  </si>
  <si>
    <t>神盾</t>
  </si>
  <si>
    <t>台數科</t>
  </si>
  <si>
    <t>威潤</t>
  </si>
  <si>
    <t>大樹</t>
  </si>
  <si>
    <t>宇智</t>
  </si>
  <si>
    <t>保瑞</t>
  </si>
  <si>
    <t>華豫寧</t>
  </si>
  <si>
    <t>安集</t>
  </si>
  <si>
    <t>弘煜科</t>
  </si>
  <si>
    <t>點序</t>
  </si>
  <si>
    <t>互動</t>
  </si>
  <si>
    <t>環球晶</t>
  </si>
  <si>
    <t>晶碩</t>
  </si>
  <si>
    <t>生華科</t>
  </si>
  <si>
    <t>九齊</t>
  </si>
  <si>
    <t>科懋</t>
  </si>
  <si>
    <t>益安</t>
  </si>
  <si>
    <t>南六</t>
  </si>
  <si>
    <t>台塑化</t>
  </si>
  <si>
    <t>雙邦</t>
  </si>
  <si>
    <t>惠光</t>
  </si>
  <si>
    <t>聚和</t>
  </si>
  <si>
    <t>精測</t>
  </si>
  <si>
    <t>啟發電</t>
  </si>
  <si>
    <t>穎崴</t>
  </si>
  <si>
    <t>勤崴國際</t>
  </si>
  <si>
    <t>保勝光學</t>
  </si>
  <si>
    <t>達爾膚</t>
  </si>
  <si>
    <t>捷敏-KY</t>
  </si>
  <si>
    <t>達發</t>
  </si>
  <si>
    <t>明達醫</t>
  </si>
  <si>
    <t>創威</t>
  </si>
  <si>
    <t>愛普*</t>
  </si>
  <si>
    <t>瑞耘</t>
  </si>
  <si>
    <t>晶心科</t>
  </si>
  <si>
    <t>順藥</t>
  </si>
  <si>
    <t>倉和</t>
  </si>
  <si>
    <t>泰福-KY</t>
  </si>
  <si>
    <t>隆中</t>
  </si>
  <si>
    <t>正基</t>
  </si>
  <si>
    <t>高端疫苗</t>
  </si>
  <si>
    <t>長科*</t>
  </si>
  <si>
    <t>北極星藥業-KY</t>
  </si>
  <si>
    <t>易華電</t>
  </si>
  <si>
    <t>勝品</t>
  </si>
  <si>
    <t>興能高</t>
  </si>
  <si>
    <t>欣普羅</t>
  </si>
  <si>
    <t>是方</t>
  </si>
  <si>
    <t>宏觀</t>
  </si>
  <si>
    <t>醫揚</t>
  </si>
  <si>
    <t>維田</t>
  </si>
  <si>
    <t>虹揚-KY</t>
  </si>
  <si>
    <t>霈方</t>
  </si>
  <si>
    <t>逸達</t>
  </si>
  <si>
    <t>勁豐</t>
  </si>
  <si>
    <t>達邦蛋白</t>
  </si>
  <si>
    <t>研揚</t>
  </si>
  <si>
    <t>鋼聯</t>
  </si>
  <si>
    <t>申豐</t>
  </si>
  <si>
    <t>南俊國際</t>
  </si>
  <si>
    <t>鼎基</t>
  </si>
  <si>
    <t>東典光電</t>
  </si>
  <si>
    <t>台康生技</t>
  </si>
  <si>
    <t>普鴻</t>
  </si>
  <si>
    <t>動力-KY</t>
  </si>
  <si>
    <t>和潤企業</t>
  </si>
  <si>
    <t>台灣銘板</t>
  </si>
  <si>
    <t>寬宏藝術</t>
  </si>
  <si>
    <t>ABC-KY</t>
  </si>
  <si>
    <t>富強鑫</t>
  </si>
  <si>
    <t>帝寶</t>
  </si>
  <si>
    <t>建德工業</t>
  </si>
  <si>
    <t>瀧澤科</t>
  </si>
  <si>
    <t>奈米醫材</t>
  </si>
  <si>
    <t>朋億*</t>
  </si>
  <si>
    <t>資拓宏宇</t>
  </si>
  <si>
    <t>慧智</t>
  </si>
  <si>
    <t>特昇-KY</t>
  </si>
  <si>
    <t>共信-KY</t>
  </si>
  <si>
    <t>漢達</t>
  </si>
  <si>
    <t>萬年清</t>
  </si>
  <si>
    <t>必應</t>
  </si>
  <si>
    <t>泰金-KY</t>
  </si>
  <si>
    <t>醫影</t>
  </si>
  <si>
    <t>均華</t>
  </si>
  <si>
    <t>基士德-KY</t>
  </si>
  <si>
    <t>富致</t>
  </si>
  <si>
    <t>M31</t>
  </si>
  <si>
    <t>台生材</t>
  </si>
  <si>
    <t>全宇昕</t>
  </si>
  <si>
    <t>天正國際</t>
  </si>
  <si>
    <t>科定</t>
  </si>
  <si>
    <t>華安</t>
  </si>
  <si>
    <t>聯策</t>
  </si>
  <si>
    <t>威健生技</t>
  </si>
  <si>
    <t>樂斯科</t>
  </si>
  <si>
    <t>群翊</t>
  </si>
  <si>
    <t>羅麗芬-KY</t>
  </si>
  <si>
    <t>信紘科</t>
  </si>
  <si>
    <t>中揚光</t>
  </si>
  <si>
    <t>緯穎</t>
  </si>
  <si>
    <t>復盛應用</t>
  </si>
  <si>
    <t>三能-KY</t>
  </si>
  <si>
    <t>騰輝電子-KY</t>
  </si>
  <si>
    <t>鋐寶科技</t>
  </si>
  <si>
    <t>鈺太</t>
  </si>
  <si>
    <t>鑫創電子</t>
  </si>
  <si>
    <t>雍智科技</t>
  </si>
  <si>
    <t>安格</t>
  </si>
  <si>
    <t>伊雲谷</t>
  </si>
  <si>
    <t>安碁資訊</t>
  </si>
  <si>
    <t>洋基工程</t>
  </si>
  <si>
    <t>進能服</t>
  </si>
  <si>
    <t>廣閎科</t>
  </si>
  <si>
    <t>芯鼎</t>
  </si>
  <si>
    <t>東捷資訊</t>
  </si>
  <si>
    <t>旭暉應材</t>
  </si>
  <si>
    <t>軒郁</t>
  </si>
  <si>
    <t>惠特</t>
  </si>
  <si>
    <t>天擎</t>
  </si>
  <si>
    <t>長聖</t>
  </si>
  <si>
    <t>嘉基</t>
  </si>
  <si>
    <t>應廣</t>
  </si>
  <si>
    <t>力智</t>
  </si>
  <si>
    <t>信實</t>
  </si>
  <si>
    <t>輝創</t>
  </si>
  <si>
    <t>矽科宏晟</t>
  </si>
  <si>
    <t>亞泰金屬</t>
  </si>
  <si>
    <t>上洋</t>
  </si>
  <si>
    <t>常廣</t>
  </si>
  <si>
    <t>昇佳電子</t>
  </si>
  <si>
    <t>博晟生醫</t>
  </si>
  <si>
    <t>美達科技</t>
  </si>
  <si>
    <t>91APP*-KY</t>
  </si>
  <si>
    <t>澤米</t>
  </si>
  <si>
    <t>安普新</t>
  </si>
  <si>
    <t>智聯服務</t>
  </si>
  <si>
    <t>叡揚</t>
  </si>
  <si>
    <t>龍德造船</t>
  </si>
  <si>
    <t>匯僑設計</t>
  </si>
  <si>
    <t>威鋒電子</t>
  </si>
  <si>
    <t>穩得</t>
  </si>
  <si>
    <t>達亞</t>
  </si>
  <si>
    <t>台微醫</t>
  </si>
  <si>
    <t>志強-KY</t>
  </si>
  <si>
    <t>力積電</t>
  </si>
  <si>
    <t>展碁國際</t>
  </si>
  <si>
    <t>AES-KY</t>
  </si>
  <si>
    <t>視陽</t>
  </si>
  <si>
    <t>昱展新藥</t>
  </si>
  <si>
    <t>華景電</t>
  </si>
  <si>
    <t>采鈺</t>
  </si>
  <si>
    <t>永豐實</t>
  </si>
  <si>
    <t>虎門科技</t>
  </si>
  <si>
    <t>詠業</t>
  </si>
  <si>
    <t>向榮生技</t>
  </si>
  <si>
    <t>晉弘</t>
  </si>
  <si>
    <t>來頡</t>
  </si>
  <si>
    <t>崑鼎</t>
  </si>
  <si>
    <t>明係</t>
  </si>
  <si>
    <t>富世達</t>
  </si>
  <si>
    <t>森崴能源</t>
  </si>
  <si>
    <t>峰源-KY</t>
  </si>
  <si>
    <t>宏碁資訊</t>
  </si>
  <si>
    <t>聯寶</t>
  </si>
  <si>
    <t>濾能</t>
  </si>
  <si>
    <t>千附精密</t>
  </si>
  <si>
    <t>汎銓</t>
  </si>
  <si>
    <t>邁科</t>
  </si>
  <si>
    <t>天二科技</t>
  </si>
  <si>
    <t>圓裕</t>
  </si>
  <si>
    <t>東研信超</t>
  </si>
  <si>
    <t>長佳智能</t>
  </si>
  <si>
    <t>進典</t>
  </si>
  <si>
    <t>諾貝兒</t>
  </si>
  <si>
    <t>綠茵</t>
  </si>
  <si>
    <t>數泓科</t>
  </si>
  <si>
    <t>鑫傳</t>
  </si>
  <si>
    <t>伯特光</t>
  </si>
  <si>
    <t>睿生光電</t>
  </si>
  <si>
    <t>三集瑞-KY</t>
  </si>
  <si>
    <t>永道-KY</t>
  </si>
  <si>
    <t>偉康科技</t>
  </si>
  <si>
    <t>雲豹能源</t>
  </si>
  <si>
    <t>騰雲</t>
  </si>
  <si>
    <t>倍力</t>
  </si>
  <si>
    <t>國邑*</t>
  </si>
  <si>
    <t>鏵友益</t>
  </si>
  <si>
    <t>潤德</t>
  </si>
  <si>
    <t>海柏特</t>
  </si>
  <si>
    <t>來億-KY</t>
  </si>
  <si>
    <t>衛司特</t>
  </si>
  <si>
    <t>宏碩系統</t>
  </si>
  <si>
    <t>創為精密</t>
  </si>
  <si>
    <t>鑽石投資</t>
  </si>
  <si>
    <t>巨漢</t>
  </si>
  <si>
    <t>伯鑫</t>
  </si>
  <si>
    <t>現觀科</t>
  </si>
  <si>
    <t>德鴻</t>
  </si>
  <si>
    <t>阜爾運通</t>
  </si>
  <si>
    <t>華凌</t>
  </si>
  <si>
    <t>宸曜</t>
  </si>
  <si>
    <t>攸泰科技</t>
  </si>
  <si>
    <t>佑全</t>
  </si>
  <si>
    <t>AMAX-KY</t>
  </si>
  <si>
    <t>天虹</t>
  </si>
  <si>
    <t>大武山</t>
  </si>
  <si>
    <t>家碩</t>
  </si>
  <si>
    <t>裕慶-KY</t>
  </si>
  <si>
    <t>旅天下</t>
  </si>
  <si>
    <t>惠民實業</t>
  </si>
  <si>
    <t>邑錡</t>
  </si>
  <si>
    <t>意德士</t>
  </si>
  <si>
    <t>銳澤</t>
  </si>
  <si>
    <t>三商餐飲</t>
  </si>
  <si>
    <t>全家餐飲</t>
  </si>
  <si>
    <t>永擎</t>
  </si>
  <si>
    <t>昱臺國際</t>
  </si>
  <si>
    <t>萊德光電-KY</t>
  </si>
  <si>
    <t>東聯互動</t>
  </si>
  <si>
    <t>崴寶</t>
  </si>
  <si>
    <t>新代</t>
  </si>
  <si>
    <t>竑騰</t>
  </si>
  <si>
    <t>星亞</t>
  </si>
  <si>
    <t>金色三麥</t>
  </si>
  <si>
    <t>中華資安</t>
  </si>
  <si>
    <t>仁大資訊</t>
  </si>
  <si>
    <t>鴻勁</t>
  </si>
  <si>
    <t>君曜</t>
  </si>
  <si>
    <t>能率亞洲</t>
  </si>
  <si>
    <t>光速火箭</t>
  </si>
  <si>
    <t>東方風能</t>
  </si>
  <si>
    <t>松川精密</t>
  </si>
  <si>
    <t>皇家可口</t>
  </si>
  <si>
    <t>長廣</t>
  </si>
  <si>
    <t>禾榮科</t>
  </si>
  <si>
    <t>威聯通</t>
  </si>
  <si>
    <t>捷創科技</t>
  </si>
  <si>
    <t>台通</t>
  </si>
  <si>
    <t>矽創</t>
  </si>
  <si>
    <t>尖點</t>
  </si>
  <si>
    <t>佑華</t>
  </si>
  <si>
    <t>鈦昇</t>
  </si>
  <si>
    <t>昇陽半導體</t>
  </si>
  <si>
    <t>光菱</t>
  </si>
  <si>
    <t>雷虎</t>
  </si>
  <si>
    <t>榮群</t>
  </si>
  <si>
    <t>長園科</t>
  </si>
  <si>
    <t>台虹</t>
  </si>
  <si>
    <t>九暘</t>
  </si>
  <si>
    <t>金山電</t>
  </si>
  <si>
    <t>蜜望實</t>
  </si>
  <si>
    <t>網家</t>
  </si>
  <si>
    <t>南電</t>
  </si>
  <si>
    <t>星雲</t>
  </si>
  <si>
    <t>德勝</t>
  </si>
  <si>
    <t>晶采</t>
  </si>
  <si>
    <t>廣積</t>
  </si>
  <si>
    <t>安國</t>
  </si>
  <si>
    <t>凱碩</t>
  </si>
  <si>
    <t>東捷</t>
  </si>
  <si>
    <t>來思達</t>
  </si>
  <si>
    <t>志旭</t>
  </si>
  <si>
    <t>全達</t>
  </si>
  <si>
    <t>元太</t>
  </si>
  <si>
    <t>長華*</t>
  </si>
  <si>
    <t>能率網通</t>
  </si>
  <si>
    <t>陞泰</t>
  </si>
  <si>
    <t>鉅橡</t>
  </si>
  <si>
    <t>伍豐</t>
  </si>
  <si>
    <t>洛碁</t>
  </si>
  <si>
    <t>致新</t>
  </si>
  <si>
    <t>瑞穎</t>
  </si>
  <si>
    <t>巨虹</t>
  </si>
  <si>
    <t>福華</t>
  </si>
  <si>
    <t>宏捷科</t>
  </si>
  <si>
    <t>品安</t>
  </si>
  <si>
    <t>康全電訊</t>
  </si>
  <si>
    <t>翔名</t>
  </si>
  <si>
    <t>建暐</t>
  </si>
  <si>
    <t>保銳</t>
  </si>
  <si>
    <t>擎亞</t>
  </si>
  <si>
    <t>常珵</t>
  </si>
  <si>
    <t>大世科</t>
  </si>
  <si>
    <t>華冠</t>
  </si>
  <si>
    <t>傑霖科技</t>
  </si>
  <si>
    <t>瀚荃</t>
  </si>
  <si>
    <t>錸寶</t>
  </si>
  <si>
    <t>凌巨</t>
  </si>
  <si>
    <t>大億金茂</t>
  </si>
  <si>
    <t>博大</t>
  </si>
  <si>
    <t>華東</t>
  </si>
  <si>
    <t>立碁</t>
  </si>
  <si>
    <t>至上</t>
  </si>
  <si>
    <t>振樺電</t>
  </si>
  <si>
    <t>越峰</t>
  </si>
  <si>
    <t>福懋科</t>
  </si>
  <si>
    <t>正淩</t>
  </si>
  <si>
    <t>南茂</t>
  </si>
  <si>
    <t>博智</t>
  </si>
  <si>
    <t>達方</t>
  </si>
  <si>
    <t>天宇</t>
  </si>
  <si>
    <t>智捷</t>
  </si>
  <si>
    <t>加高</t>
  </si>
  <si>
    <t>精星</t>
  </si>
  <si>
    <t>無敵</t>
  </si>
  <si>
    <t>勤誠</t>
  </si>
  <si>
    <t>志超</t>
  </si>
  <si>
    <t>明基材</t>
  </si>
  <si>
    <t>寶一</t>
  </si>
  <si>
    <t>巨有科技</t>
  </si>
  <si>
    <t>新漢</t>
  </si>
  <si>
    <t>華宏</t>
  </si>
  <si>
    <t>菱光</t>
  </si>
  <si>
    <t>朋程</t>
  </si>
  <si>
    <t>富鼎</t>
  </si>
  <si>
    <t>宇瞻</t>
  </si>
  <si>
    <t>全景軟體</t>
  </si>
  <si>
    <t>商丞</t>
  </si>
  <si>
    <t>生展</t>
  </si>
  <si>
    <t>三竹</t>
  </si>
  <si>
    <t>泰藝</t>
  </si>
  <si>
    <t>尚茂</t>
  </si>
  <si>
    <t>群聯</t>
  </si>
  <si>
    <t>日友</t>
  </si>
  <si>
    <t>益張</t>
  </si>
  <si>
    <t>恒耀</t>
  </si>
  <si>
    <t>冠好</t>
  </si>
  <si>
    <t>金居</t>
  </si>
  <si>
    <t>建新國際</t>
  </si>
  <si>
    <t>羅昇</t>
  </si>
  <si>
    <t>千附</t>
  </si>
  <si>
    <t>金益鼎</t>
  </si>
  <si>
    <t>白紗科</t>
  </si>
  <si>
    <t>盛弘</t>
  </si>
  <si>
    <t>百和興業-KY</t>
  </si>
  <si>
    <t>商之器</t>
  </si>
  <si>
    <t>森田</t>
  </si>
  <si>
    <t>福貞-KY</t>
  </si>
  <si>
    <t>大國鋼</t>
  </si>
  <si>
    <t>實威</t>
  </si>
  <si>
    <t>旭源</t>
  </si>
  <si>
    <t>保綠-KY</t>
  </si>
  <si>
    <t>惠普</t>
  </si>
  <si>
    <t>紅木-KY</t>
  </si>
  <si>
    <t>金麗-KY</t>
  </si>
  <si>
    <t>匯鑽科</t>
  </si>
  <si>
    <t>東生華</t>
  </si>
  <si>
    <t>弘帆</t>
  </si>
  <si>
    <t>鉅邁</t>
  </si>
  <si>
    <t>大江</t>
  </si>
  <si>
    <t>大地-KY</t>
  </si>
  <si>
    <t>昶昕</t>
  </si>
  <si>
    <t>綠電</t>
  </si>
  <si>
    <t>威宏-KY</t>
  </si>
  <si>
    <t>阿瘦</t>
  </si>
  <si>
    <t>綠河-KY</t>
  </si>
  <si>
    <t>華研</t>
  </si>
  <si>
    <t>霹靂</t>
  </si>
  <si>
    <t>富邦媒</t>
  </si>
  <si>
    <t>大拓-KY</t>
  </si>
  <si>
    <t>柏文</t>
  </si>
  <si>
    <t>潤泰材</t>
  </si>
  <si>
    <t>億豐</t>
  </si>
  <si>
    <t>美吉吉-KY</t>
  </si>
  <si>
    <t>波力-KY</t>
  </si>
  <si>
    <t>夠麻吉</t>
  </si>
  <si>
    <t>山林水</t>
  </si>
  <si>
    <t>創業家</t>
  </si>
  <si>
    <t>東哥遊艇</t>
  </si>
  <si>
    <t>政伸</t>
  </si>
  <si>
    <t>商億-KY</t>
  </si>
  <si>
    <t>吉源-KY</t>
  </si>
  <si>
    <t>三貝德</t>
  </si>
  <si>
    <t>鼎炫-KY</t>
  </si>
  <si>
    <t>裕國</t>
  </si>
  <si>
    <t>花王</t>
  </si>
  <si>
    <t>欣雄</t>
  </si>
  <si>
    <t>光隆</t>
  </si>
  <si>
    <t>欣泰</t>
  </si>
  <si>
    <t>沈氏</t>
  </si>
  <si>
    <t>時報</t>
  </si>
  <si>
    <t>大田</t>
  </si>
  <si>
    <t>台汽電</t>
  </si>
  <si>
    <t>北基</t>
  </si>
  <si>
    <t>鉅明</t>
  </si>
  <si>
    <t>富堡</t>
  </si>
  <si>
    <t>青鋼</t>
  </si>
  <si>
    <t>大汽電</t>
  </si>
  <si>
    <t>愛地雅</t>
  </si>
  <si>
    <t>邦泰</t>
  </si>
  <si>
    <t>國統</t>
  </si>
  <si>
    <t>合騏</t>
  </si>
  <si>
    <t>明安</t>
  </si>
  <si>
    <t>新天地</t>
  </si>
  <si>
    <t>關中</t>
  </si>
  <si>
    <t>森鉅</t>
  </si>
  <si>
    <t>高力</t>
  </si>
  <si>
    <t>美德醫療-DR</t>
  </si>
  <si>
    <t>康師傅-DR</t>
  </si>
  <si>
    <t>泰金寶-DR</t>
  </si>
  <si>
    <t>神州-DR</t>
  </si>
  <si>
    <t>越南控-DR</t>
  </si>
  <si>
    <t>明輝-DR</t>
  </si>
  <si>
    <t>泰聚亨-DR</t>
  </si>
  <si>
    <t>同方友友-DR</t>
  </si>
  <si>
    <t>晨訊科-DR</t>
  </si>
  <si>
    <t>巨騰-DR</t>
  </si>
  <si>
    <t>鈺齊-KY</t>
  </si>
  <si>
    <t>台火</t>
  </si>
  <si>
    <t>寶成</t>
  </si>
  <si>
    <t>大華</t>
  </si>
  <si>
    <t>欣巴巴</t>
  </si>
  <si>
    <t>統一實</t>
  </si>
  <si>
    <t>大台北</t>
  </si>
  <si>
    <t>豐泰</t>
  </si>
  <si>
    <t>櫻花</t>
  </si>
  <si>
    <t>偉聯</t>
  </si>
  <si>
    <t>美利達</t>
  </si>
  <si>
    <t>中保科</t>
  </si>
  <si>
    <t>欣天然</t>
  </si>
  <si>
    <t>康那香</t>
  </si>
  <si>
    <t>巨大</t>
  </si>
  <si>
    <t>福興</t>
  </si>
  <si>
    <t>新保</t>
  </si>
  <si>
    <t>新海</t>
  </si>
  <si>
    <t>泰銘</t>
  </si>
  <si>
    <t>中視</t>
  </si>
  <si>
    <t>秋雨</t>
  </si>
  <si>
    <t>中聯資源</t>
  </si>
  <si>
    <t>欣高</t>
  </si>
  <si>
    <t>中鼎</t>
  </si>
  <si>
    <t>成霖</t>
  </si>
  <si>
    <t>慶豐富</t>
  </si>
  <si>
    <t>全國</t>
  </si>
  <si>
    <t>百和</t>
  </si>
  <si>
    <t>宏全</t>
  </si>
  <si>
    <t>信義</t>
  </si>
  <si>
    <t>裕融</t>
  </si>
  <si>
    <t>茂順</t>
  </si>
  <si>
    <t>好樂迪</t>
  </si>
  <si>
    <t>新麗</t>
  </si>
  <si>
    <t>潤泰新</t>
  </si>
  <si>
    <t>三發地產</t>
  </si>
  <si>
    <t>琉園</t>
  </si>
  <si>
    <t>萬國通</t>
  </si>
  <si>
    <t>皇田</t>
  </si>
  <si>
    <t>佳龍</t>
  </si>
  <si>
    <t>世紀鋼</t>
  </si>
  <si>
    <t>邁達康</t>
  </si>
  <si>
    <t>有益</t>
  </si>
  <si>
    <t>台泥</t>
    <phoneticPr fontId="2" type="noConversion"/>
  </si>
  <si>
    <t>亞泥</t>
    <phoneticPr fontId="2" type="noConversion"/>
  </si>
  <si>
    <t>嘉泥</t>
    <phoneticPr fontId="2" type="noConversion"/>
  </si>
  <si>
    <t>環泥</t>
    <phoneticPr fontId="2" type="noConversion"/>
  </si>
  <si>
    <t>幸福</t>
    <phoneticPr fontId="2" type="noConversion"/>
  </si>
  <si>
    <t>信大</t>
    <phoneticPr fontId="2" type="noConversion"/>
  </si>
  <si>
    <t>東泥</t>
    <phoneticPr fontId="2" type="noConversion"/>
  </si>
  <si>
    <t>味全</t>
    <phoneticPr fontId="2" type="noConversion"/>
  </si>
  <si>
    <t>味王</t>
    <phoneticPr fontId="2" type="noConversion"/>
  </si>
  <si>
    <t>大成</t>
    <phoneticPr fontId="2" type="noConversion"/>
  </si>
  <si>
    <t>大飲</t>
    <phoneticPr fontId="2" type="noConversion"/>
  </si>
  <si>
    <t>卜蜂</t>
    <phoneticPr fontId="2" type="noConversion"/>
  </si>
  <si>
    <t>統一</t>
    <phoneticPr fontId="2" type="noConversion"/>
  </si>
  <si>
    <t>愛之味</t>
    <phoneticPr fontId="2" type="noConversion"/>
  </si>
  <si>
    <t>泰山</t>
    <phoneticPr fontId="2" type="noConversion"/>
  </si>
  <si>
    <t>福壽</t>
    <phoneticPr fontId="2" type="noConversion"/>
  </si>
  <si>
    <t>台榮</t>
    <phoneticPr fontId="2" type="noConversion"/>
  </si>
  <si>
    <t>福懋油</t>
    <phoneticPr fontId="2" type="noConversion"/>
  </si>
  <si>
    <t>佳格</t>
    <phoneticPr fontId="2" type="noConversion"/>
  </si>
  <si>
    <t>聯華</t>
    <phoneticPr fontId="2" type="noConversion"/>
  </si>
  <si>
    <t>聯華食</t>
    <phoneticPr fontId="2" type="noConversion"/>
  </si>
  <si>
    <t>大統益</t>
    <phoneticPr fontId="2" type="noConversion"/>
  </si>
  <si>
    <t>天仁</t>
    <phoneticPr fontId="2" type="noConversion"/>
  </si>
  <si>
    <t>黑松</t>
    <phoneticPr fontId="2" type="noConversion"/>
  </si>
  <si>
    <t>興泰</t>
    <phoneticPr fontId="2" type="noConversion"/>
  </si>
  <si>
    <t>宏亞</t>
    <phoneticPr fontId="2" type="noConversion"/>
  </si>
  <si>
    <t>茂生農經</t>
    <phoneticPr fontId="2" type="noConversion"/>
  </si>
  <si>
    <t>鮮活果汁-KY</t>
    <phoneticPr fontId="2" type="noConversion"/>
  </si>
  <si>
    <t>安心</t>
    <phoneticPr fontId="2" type="noConversion"/>
  </si>
  <si>
    <t>德麥</t>
    <phoneticPr fontId="2" type="noConversion"/>
  </si>
  <si>
    <t>漢來美食</t>
    <phoneticPr fontId="2" type="noConversion"/>
  </si>
  <si>
    <t>漢田生技</t>
    <phoneticPr fontId="2" type="noConversion"/>
  </si>
  <si>
    <t>生合</t>
    <phoneticPr fontId="2" type="noConversion"/>
  </si>
  <si>
    <t>台塑</t>
    <phoneticPr fontId="2" type="noConversion"/>
  </si>
  <si>
    <t>南亞</t>
    <phoneticPr fontId="2" type="noConversion"/>
  </si>
  <si>
    <t>台聚</t>
    <phoneticPr fontId="2" type="noConversion"/>
  </si>
  <si>
    <t>華夏</t>
    <phoneticPr fontId="2" type="noConversion"/>
  </si>
  <si>
    <t>三芳</t>
    <phoneticPr fontId="2" type="noConversion"/>
  </si>
  <si>
    <t>亞聚</t>
    <phoneticPr fontId="2" type="noConversion"/>
  </si>
  <si>
    <t>台達化</t>
    <phoneticPr fontId="2" type="noConversion"/>
  </si>
  <si>
    <t>台苯</t>
    <phoneticPr fontId="2" type="noConversion"/>
  </si>
  <si>
    <t>國喬</t>
    <phoneticPr fontId="2" type="noConversion"/>
  </si>
  <si>
    <t>聯成</t>
    <phoneticPr fontId="2" type="noConversion"/>
  </si>
  <si>
    <t>中石化</t>
    <phoneticPr fontId="2" type="noConversion"/>
  </si>
  <si>
    <t>達新</t>
    <phoneticPr fontId="2" type="noConversion"/>
  </si>
  <si>
    <t>上曜</t>
    <phoneticPr fontId="2" type="noConversion"/>
  </si>
  <si>
    <t>東陽</t>
    <phoneticPr fontId="2" type="noConversion"/>
  </si>
  <si>
    <t>大洋</t>
    <phoneticPr fontId="2" type="noConversion"/>
  </si>
  <si>
    <t>永裕</t>
    <phoneticPr fontId="2" type="noConversion"/>
  </si>
  <si>
    <t>地球</t>
    <phoneticPr fontId="2" type="noConversion"/>
  </si>
  <si>
    <t>恆大</t>
    <phoneticPr fontId="2" type="noConversion"/>
  </si>
  <si>
    <t>台化</t>
    <phoneticPr fontId="2" type="noConversion"/>
  </si>
  <si>
    <t>台翰</t>
    <phoneticPr fontId="2" type="noConversion"/>
  </si>
  <si>
    <t>再生-KY</t>
    <phoneticPr fontId="2" type="noConversion"/>
  </si>
  <si>
    <t>廣華-KY</t>
    <phoneticPr fontId="2" type="noConversion"/>
  </si>
  <si>
    <t>昭輝</t>
    <phoneticPr fontId="2" type="noConversion"/>
  </si>
  <si>
    <t>勝悅-KY</t>
    <phoneticPr fontId="2" type="noConversion"/>
  </si>
  <si>
    <t>富林-KY</t>
    <phoneticPr fontId="2" type="noConversion"/>
  </si>
  <si>
    <t>八貫</t>
    <phoneticPr fontId="2" type="noConversion"/>
  </si>
  <si>
    <t>遠東新</t>
    <phoneticPr fontId="2" type="noConversion"/>
  </si>
  <si>
    <t>新纖</t>
    <phoneticPr fontId="2" type="noConversion"/>
  </si>
  <si>
    <t>南染</t>
    <phoneticPr fontId="2" type="noConversion"/>
  </si>
  <si>
    <t>宏洲</t>
    <phoneticPr fontId="2" type="noConversion"/>
  </si>
  <si>
    <t>東和</t>
    <phoneticPr fontId="2" type="noConversion"/>
  </si>
  <si>
    <t>廣豐</t>
    <phoneticPr fontId="2" type="noConversion"/>
  </si>
  <si>
    <t>嘉裕</t>
    <phoneticPr fontId="2" type="noConversion"/>
  </si>
  <si>
    <t>東華</t>
    <phoneticPr fontId="2" type="noConversion"/>
  </si>
  <si>
    <t>新紡</t>
    <phoneticPr fontId="2" type="noConversion"/>
  </si>
  <si>
    <t>利華</t>
    <phoneticPr fontId="2" type="noConversion"/>
  </si>
  <si>
    <t>大魯閣</t>
    <phoneticPr fontId="2" type="noConversion"/>
  </si>
  <si>
    <t>福懋</t>
    <phoneticPr fontId="2" type="noConversion"/>
  </si>
  <si>
    <t>中福</t>
    <phoneticPr fontId="2" type="noConversion"/>
  </si>
  <si>
    <t>華友聯</t>
    <phoneticPr fontId="2" type="noConversion"/>
  </si>
  <si>
    <t>勤益控</t>
    <phoneticPr fontId="2" type="noConversion"/>
  </si>
  <si>
    <t>三地開發</t>
    <phoneticPr fontId="2" type="noConversion"/>
  </si>
  <si>
    <t>雋揚</t>
    <phoneticPr fontId="2" type="noConversion"/>
  </si>
  <si>
    <t>南紡</t>
    <phoneticPr fontId="2" type="noConversion"/>
  </si>
  <si>
    <t>大東</t>
    <phoneticPr fontId="2" type="noConversion"/>
  </si>
  <si>
    <t>名軒</t>
    <phoneticPr fontId="2" type="noConversion"/>
  </si>
  <si>
    <t>立益物流</t>
    <phoneticPr fontId="2" type="noConversion"/>
  </si>
  <si>
    <t>力麗</t>
    <phoneticPr fontId="2" type="noConversion"/>
  </si>
  <si>
    <t>大宇</t>
    <phoneticPr fontId="2" type="noConversion"/>
  </si>
  <si>
    <t>宏和</t>
    <phoneticPr fontId="2" type="noConversion"/>
  </si>
  <si>
    <t>力鵬</t>
    <phoneticPr fontId="2" type="noConversion"/>
  </si>
  <si>
    <t>佳和</t>
    <phoneticPr fontId="2" type="noConversion"/>
  </si>
  <si>
    <t>年興</t>
    <phoneticPr fontId="2" type="noConversion"/>
  </si>
  <si>
    <t>宏益</t>
    <phoneticPr fontId="2" type="noConversion"/>
  </si>
  <si>
    <t>大將</t>
    <phoneticPr fontId="2" type="noConversion"/>
  </si>
  <si>
    <t>台富</t>
    <phoneticPr fontId="2" type="noConversion"/>
  </si>
  <si>
    <t>集盛</t>
    <phoneticPr fontId="2" type="noConversion"/>
  </si>
  <si>
    <t>怡華</t>
    <phoneticPr fontId="2" type="noConversion"/>
  </si>
  <si>
    <t>宜進</t>
    <phoneticPr fontId="2" type="noConversion"/>
  </si>
  <si>
    <t>聯發</t>
    <phoneticPr fontId="2" type="noConversion"/>
  </si>
  <si>
    <t>宏遠</t>
    <phoneticPr fontId="2" type="noConversion"/>
  </si>
  <si>
    <t>強盛新</t>
    <phoneticPr fontId="2" type="noConversion"/>
  </si>
  <si>
    <t>得力</t>
    <phoneticPr fontId="2" type="noConversion"/>
  </si>
  <si>
    <t>偉全</t>
    <phoneticPr fontId="2" type="noConversion"/>
  </si>
  <si>
    <t>聚隆</t>
    <phoneticPr fontId="2" type="noConversion"/>
  </si>
  <si>
    <t>南緯</t>
    <phoneticPr fontId="2" type="noConversion"/>
  </si>
  <si>
    <t>昶和</t>
    <phoneticPr fontId="2" type="noConversion"/>
  </si>
  <si>
    <t>大統新創</t>
    <phoneticPr fontId="2" type="noConversion"/>
  </si>
  <si>
    <t>首利</t>
    <phoneticPr fontId="2" type="noConversion"/>
  </si>
  <si>
    <t>三洋實業</t>
    <phoneticPr fontId="2" type="noConversion"/>
  </si>
  <si>
    <t>台南</t>
    <phoneticPr fontId="2" type="noConversion"/>
  </si>
  <si>
    <t>弘裕</t>
    <phoneticPr fontId="2" type="noConversion"/>
  </si>
  <si>
    <t>業旺</t>
    <phoneticPr fontId="2" type="noConversion"/>
  </si>
  <si>
    <t>儒鴻</t>
    <phoneticPr fontId="2" type="noConversion"/>
  </si>
  <si>
    <t>聚陽</t>
    <phoneticPr fontId="2" type="noConversion"/>
  </si>
  <si>
    <t>士電</t>
    <phoneticPr fontId="2" type="noConversion"/>
  </si>
  <si>
    <t>東元</t>
    <phoneticPr fontId="2" type="noConversion"/>
  </si>
  <si>
    <t>正道</t>
    <phoneticPr fontId="2" type="noConversion"/>
  </si>
  <si>
    <t>瑞利</t>
    <phoneticPr fontId="2" type="noConversion"/>
  </si>
  <si>
    <t>中興電</t>
    <phoneticPr fontId="2" type="noConversion"/>
  </si>
  <si>
    <t>亞力</t>
    <phoneticPr fontId="2" type="noConversion"/>
  </si>
  <si>
    <t>力山</t>
    <phoneticPr fontId="2" type="noConversion"/>
  </si>
  <si>
    <t>川飛</t>
    <phoneticPr fontId="2" type="noConversion"/>
  </si>
  <si>
    <t>利奇</t>
    <phoneticPr fontId="2" type="noConversion"/>
  </si>
  <si>
    <t>華城</t>
    <phoneticPr fontId="2" type="noConversion"/>
  </si>
  <si>
    <t>大億</t>
    <phoneticPr fontId="2" type="noConversion"/>
  </si>
  <si>
    <t>堤維西</t>
    <phoneticPr fontId="2" type="noConversion"/>
  </si>
  <si>
    <t>耿鼎</t>
    <phoneticPr fontId="2" type="noConversion"/>
  </si>
  <si>
    <t>江申</t>
    <phoneticPr fontId="2" type="noConversion"/>
  </si>
  <si>
    <t>日馳</t>
    <phoneticPr fontId="2" type="noConversion"/>
  </si>
  <si>
    <t>鑽全</t>
    <phoneticPr fontId="2" type="noConversion"/>
  </si>
  <si>
    <t>恩德</t>
    <phoneticPr fontId="2" type="noConversion"/>
  </si>
  <si>
    <t>樂事綠能</t>
    <phoneticPr fontId="2" type="noConversion"/>
  </si>
  <si>
    <t>亞崴</t>
    <phoneticPr fontId="2" type="noConversion"/>
  </si>
  <si>
    <t>高林股</t>
    <phoneticPr fontId="2" type="noConversion"/>
  </si>
  <si>
    <t>勤美</t>
    <phoneticPr fontId="2" type="noConversion"/>
  </si>
  <si>
    <t>車王電</t>
    <phoneticPr fontId="2" type="noConversion"/>
  </si>
  <si>
    <t>中宇</t>
    <phoneticPr fontId="2" type="noConversion"/>
  </si>
  <si>
    <t>和大</t>
    <phoneticPr fontId="2" type="noConversion"/>
  </si>
  <si>
    <t>廣隆</t>
    <phoneticPr fontId="2" type="noConversion"/>
  </si>
  <si>
    <t>正峰</t>
    <phoneticPr fontId="2" type="noConversion"/>
  </si>
  <si>
    <t>巨庭</t>
    <phoneticPr fontId="2" type="noConversion"/>
  </si>
  <si>
    <t>喬福</t>
    <phoneticPr fontId="2" type="noConversion"/>
  </si>
  <si>
    <t>錩泰</t>
    <phoneticPr fontId="2" type="noConversion"/>
  </si>
  <si>
    <t>伸興</t>
    <phoneticPr fontId="2" type="noConversion"/>
  </si>
  <si>
    <t>中砂</t>
    <phoneticPr fontId="2" type="noConversion"/>
  </si>
  <si>
    <t>巧新</t>
    <phoneticPr fontId="2" type="noConversion"/>
  </si>
  <si>
    <t>精華</t>
    <phoneticPr fontId="2" type="noConversion"/>
  </si>
  <si>
    <t>倉佑</t>
    <phoneticPr fontId="2" type="noConversion"/>
  </si>
  <si>
    <t>濱川</t>
    <phoneticPr fontId="2" type="noConversion"/>
  </si>
  <si>
    <t>力肯</t>
    <phoneticPr fontId="2" type="noConversion"/>
  </si>
  <si>
    <t>新麥</t>
    <phoneticPr fontId="2" type="noConversion"/>
  </si>
  <si>
    <t>信錦</t>
    <phoneticPr fontId="2" type="noConversion"/>
  </si>
  <si>
    <t>程泰</t>
    <phoneticPr fontId="2" type="noConversion"/>
  </si>
  <si>
    <t>精剛</t>
    <phoneticPr fontId="2" type="noConversion"/>
  </si>
  <si>
    <t>和勤</t>
    <phoneticPr fontId="2" type="noConversion"/>
  </si>
  <si>
    <t>吉茂</t>
    <phoneticPr fontId="2" type="noConversion"/>
  </si>
  <si>
    <t>永冠-KY</t>
    <phoneticPr fontId="2" type="noConversion"/>
  </si>
  <si>
    <t>亞德客-KY</t>
    <phoneticPr fontId="2" type="noConversion"/>
  </si>
  <si>
    <t>駿吉-KY</t>
    <phoneticPr fontId="2" type="noConversion"/>
  </si>
  <si>
    <t>祺驊</t>
    <phoneticPr fontId="2" type="noConversion"/>
  </si>
  <si>
    <t>川寶</t>
    <phoneticPr fontId="2" type="noConversion"/>
  </si>
  <si>
    <t>直得</t>
    <phoneticPr fontId="2" type="noConversion"/>
  </si>
  <si>
    <t>岱宇</t>
    <phoneticPr fontId="2" type="noConversion"/>
  </si>
  <si>
    <t>宏佳騰</t>
    <phoneticPr fontId="2" type="noConversion"/>
  </si>
  <si>
    <t>華電</t>
    <phoneticPr fontId="2" type="noConversion"/>
  </si>
  <si>
    <t>聲寶</t>
    <phoneticPr fontId="2" type="noConversion"/>
  </si>
  <si>
    <t>華新</t>
    <phoneticPr fontId="2" type="noConversion"/>
  </si>
  <si>
    <t>華榮</t>
    <phoneticPr fontId="2" type="noConversion"/>
  </si>
  <si>
    <t>大亞</t>
    <phoneticPr fontId="2" type="noConversion"/>
  </si>
  <si>
    <t>中電</t>
    <phoneticPr fontId="2" type="noConversion"/>
  </si>
  <si>
    <t>宏泰</t>
    <phoneticPr fontId="2" type="noConversion"/>
  </si>
  <si>
    <t>三洋電</t>
    <phoneticPr fontId="2" type="noConversion"/>
  </si>
  <si>
    <t>大山</t>
    <phoneticPr fontId="2" type="noConversion"/>
  </si>
  <si>
    <t>億泰</t>
    <phoneticPr fontId="2" type="noConversion"/>
  </si>
  <si>
    <t>榮星</t>
    <phoneticPr fontId="2" type="noConversion"/>
  </si>
  <si>
    <t>合機</t>
    <phoneticPr fontId="2" type="noConversion"/>
  </si>
  <si>
    <t>大東電</t>
    <phoneticPr fontId="2" type="noConversion"/>
  </si>
  <si>
    <t>艾美特-KY</t>
    <phoneticPr fontId="2" type="noConversion"/>
  </si>
  <si>
    <t>南僑</t>
    <phoneticPr fontId="2" type="noConversion"/>
  </si>
  <si>
    <t>葡萄王</t>
    <phoneticPr fontId="2" type="noConversion"/>
  </si>
  <si>
    <t>東鹼</t>
    <phoneticPr fontId="2" type="noConversion"/>
  </si>
  <si>
    <t>和益</t>
    <phoneticPr fontId="2" type="noConversion"/>
  </si>
  <si>
    <t>東聯</t>
    <phoneticPr fontId="2" type="noConversion"/>
  </si>
  <si>
    <t>興農</t>
    <phoneticPr fontId="2" type="noConversion"/>
  </si>
  <si>
    <t>國化</t>
    <phoneticPr fontId="2" type="noConversion"/>
  </si>
  <si>
    <t>和桐</t>
    <phoneticPr fontId="2" type="noConversion"/>
  </si>
  <si>
    <t>中纖</t>
    <phoneticPr fontId="2" type="noConversion"/>
  </si>
  <si>
    <t>生達</t>
    <phoneticPr fontId="2" type="noConversion"/>
  </si>
  <si>
    <t>三晃</t>
    <phoneticPr fontId="2" type="noConversion"/>
  </si>
  <si>
    <t>台肥</t>
    <phoneticPr fontId="2" type="noConversion"/>
  </si>
  <si>
    <t>中碳</t>
    <phoneticPr fontId="2" type="noConversion"/>
  </si>
  <si>
    <t>元禎</t>
    <phoneticPr fontId="2" type="noConversion"/>
  </si>
  <si>
    <t>永記</t>
    <phoneticPr fontId="2" type="noConversion"/>
  </si>
  <si>
    <t>花仙子</t>
    <phoneticPr fontId="2" type="noConversion"/>
  </si>
  <si>
    <t>美吾華</t>
    <phoneticPr fontId="2" type="noConversion"/>
  </si>
  <si>
    <t>毛寶</t>
    <phoneticPr fontId="2" type="noConversion"/>
  </si>
  <si>
    <t>五鼎</t>
    <phoneticPr fontId="2" type="noConversion"/>
  </si>
  <si>
    <t>杏輝</t>
    <phoneticPr fontId="2" type="noConversion"/>
  </si>
  <si>
    <t>日勝化</t>
    <phoneticPr fontId="2" type="noConversion"/>
  </si>
  <si>
    <t>喬山</t>
    <phoneticPr fontId="2" type="noConversion"/>
  </si>
  <si>
    <t>臺鹽</t>
    <phoneticPr fontId="2" type="noConversion"/>
  </si>
  <si>
    <t>台蠟</t>
    <phoneticPr fontId="2" type="noConversion"/>
  </si>
  <si>
    <t>南光</t>
    <phoneticPr fontId="2" type="noConversion"/>
  </si>
  <si>
    <t>寶齡富錦</t>
    <phoneticPr fontId="2" type="noConversion"/>
  </si>
  <si>
    <t>中化生</t>
    <phoneticPr fontId="2" type="noConversion"/>
  </si>
  <si>
    <t>勝一</t>
    <phoneticPr fontId="2" type="noConversion"/>
  </si>
  <si>
    <t>展宇</t>
    <phoneticPr fontId="2" type="noConversion"/>
  </si>
  <si>
    <t>生泰</t>
    <phoneticPr fontId="2" type="noConversion"/>
  </si>
  <si>
    <t>合世</t>
    <phoneticPr fontId="2" type="noConversion"/>
  </si>
  <si>
    <t>和康生</t>
    <phoneticPr fontId="2" type="noConversion"/>
  </si>
  <si>
    <t>訊聯</t>
    <phoneticPr fontId="2" type="noConversion"/>
  </si>
  <si>
    <t>光洋科</t>
    <phoneticPr fontId="2" type="noConversion"/>
  </si>
  <si>
    <t>科妍</t>
    <phoneticPr fontId="2" type="noConversion"/>
  </si>
  <si>
    <t>杏昌</t>
    <phoneticPr fontId="2" type="noConversion"/>
  </si>
  <si>
    <t>神隆</t>
    <phoneticPr fontId="2" type="noConversion"/>
  </si>
  <si>
    <t>美時</t>
    <phoneticPr fontId="2" type="noConversion"/>
  </si>
  <si>
    <t>金穎生技</t>
    <phoneticPr fontId="2" type="noConversion"/>
  </si>
  <si>
    <t>易威</t>
    <phoneticPr fontId="2" type="noConversion"/>
  </si>
  <si>
    <t>台玻</t>
    <phoneticPr fontId="2" type="noConversion"/>
  </si>
  <si>
    <t>寶徠</t>
    <phoneticPr fontId="2" type="noConversion"/>
  </si>
  <si>
    <t>冠軍</t>
    <phoneticPr fontId="2" type="noConversion"/>
  </si>
  <si>
    <t>潤隆</t>
    <phoneticPr fontId="2" type="noConversion"/>
  </si>
  <si>
    <t>中釉</t>
    <phoneticPr fontId="2" type="noConversion"/>
  </si>
  <si>
    <t>和成</t>
    <phoneticPr fontId="2" type="noConversion"/>
  </si>
  <si>
    <t>寶利徠</t>
    <phoneticPr fontId="2" type="noConversion"/>
  </si>
  <si>
    <t>富喬</t>
    <phoneticPr fontId="2" type="noConversion"/>
  </si>
  <si>
    <t>凱撒衛</t>
    <phoneticPr fontId="2" type="noConversion"/>
  </si>
  <si>
    <t>士紙</t>
    <phoneticPr fontId="2" type="noConversion"/>
  </si>
  <si>
    <t>正隆</t>
    <phoneticPr fontId="2" type="noConversion"/>
  </si>
  <si>
    <t>華紙</t>
    <phoneticPr fontId="2" type="noConversion"/>
  </si>
  <si>
    <t>寶隆</t>
    <phoneticPr fontId="2" type="noConversion"/>
  </si>
  <si>
    <t>永豐餘</t>
    <phoneticPr fontId="2" type="noConversion"/>
  </si>
  <si>
    <t>榮成</t>
    <phoneticPr fontId="2" type="noConversion"/>
  </si>
  <si>
    <t>中鋼</t>
    <phoneticPr fontId="2" type="noConversion"/>
  </si>
  <si>
    <t>東和鋼鐵</t>
    <phoneticPr fontId="2" type="noConversion"/>
  </si>
  <si>
    <t>燁興</t>
    <phoneticPr fontId="2" type="noConversion"/>
  </si>
  <si>
    <t>高興昌</t>
    <phoneticPr fontId="2" type="noConversion"/>
  </si>
  <si>
    <t>第一銅</t>
    <phoneticPr fontId="2" type="noConversion"/>
  </si>
  <si>
    <t>春源</t>
    <phoneticPr fontId="2" type="noConversion"/>
  </si>
  <si>
    <t>春雨</t>
    <phoneticPr fontId="2" type="noConversion"/>
  </si>
  <si>
    <t>中鋼構</t>
    <phoneticPr fontId="2" type="noConversion"/>
  </si>
  <si>
    <t>中鴻</t>
    <phoneticPr fontId="2" type="noConversion"/>
  </si>
  <si>
    <t>豐興</t>
    <phoneticPr fontId="2" type="noConversion"/>
  </si>
  <si>
    <t>官田鋼</t>
    <phoneticPr fontId="2" type="noConversion"/>
  </si>
  <si>
    <t>美亞</t>
    <phoneticPr fontId="2" type="noConversion"/>
  </si>
  <si>
    <t>聚亨</t>
    <phoneticPr fontId="2" type="noConversion"/>
  </si>
  <si>
    <t>燁輝</t>
    <phoneticPr fontId="2" type="noConversion"/>
  </si>
  <si>
    <t>志聯</t>
    <phoneticPr fontId="2" type="noConversion"/>
  </si>
  <si>
    <t>千興</t>
    <phoneticPr fontId="2" type="noConversion"/>
  </si>
  <si>
    <t>大成鋼</t>
    <phoneticPr fontId="2" type="noConversion"/>
  </si>
  <si>
    <t>威致</t>
    <phoneticPr fontId="2" type="noConversion"/>
  </si>
  <si>
    <t>盛餘</t>
    <phoneticPr fontId="2" type="noConversion"/>
  </si>
  <si>
    <t>彰源</t>
    <phoneticPr fontId="2" type="noConversion"/>
  </si>
  <si>
    <t>新光鋼</t>
    <phoneticPr fontId="2" type="noConversion"/>
  </si>
  <si>
    <t>新鋼</t>
    <phoneticPr fontId="2" type="noConversion"/>
  </si>
  <si>
    <t>佳大</t>
    <phoneticPr fontId="2" type="noConversion"/>
  </si>
  <si>
    <t>允強</t>
    <phoneticPr fontId="2" type="noConversion"/>
  </si>
  <si>
    <t>唐榮</t>
    <phoneticPr fontId="2" type="noConversion"/>
  </si>
  <si>
    <t>海光</t>
    <phoneticPr fontId="2" type="noConversion"/>
  </si>
  <si>
    <t>上銀</t>
    <phoneticPr fontId="2" type="noConversion"/>
  </si>
  <si>
    <t>川湖</t>
    <phoneticPr fontId="2" type="noConversion"/>
  </si>
  <si>
    <t>風青</t>
    <phoneticPr fontId="2" type="noConversion"/>
  </si>
  <si>
    <t>橋椿</t>
    <phoneticPr fontId="2" type="noConversion"/>
  </si>
  <si>
    <t>世鎧</t>
    <phoneticPr fontId="2" type="noConversion"/>
  </si>
  <si>
    <t>晉椿</t>
    <phoneticPr fontId="2" type="noConversion"/>
  </si>
  <si>
    <t>世豐</t>
    <phoneticPr fontId="2" type="noConversion"/>
  </si>
  <si>
    <t>世德</t>
    <phoneticPr fontId="2" type="noConversion"/>
  </si>
  <si>
    <t>嘉鋼</t>
    <phoneticPr fontId="2" type="noConversion"/>
  </si>
  <si>
    <t>運錩</t>
    <phoneticPr fontId="2" type="noConversion"/>
  </si>
  <si>
    <t>精湛</t>
    <phoneticPr fontId="2" type="noConversion"/>
  </si>
  <si>
    <t>雄順</t>
    <phoneticPr fontId="2" type="noConversion"/>
  </si>
  <si>
    <t>南港</t>
    <phoneticPr fontId="2" type="noConversion"/>
  </si>
  <si>
    <t>泰豐</t>
    <phoneticPr fontId="2" type="noConversion"/>
  </si>
  <si>
    <t>台橡</t>
    <phoneticPr fontId="2" type="noConversion"/>
  </si>
  <si>
    <t>國際中橡</t>
    <phoneticPr fontId="2" type="noConversion"/>
  </si>
  <si>
    <t>正新</t>
    <phoneticPr fontId="2" type="noConversion"/>
  </si>
  <si>
    <t>建大</t>
    <phoneticPr fontId="2" type="noConversion"/>
  </si>
  <si>
    <t>厚生</t>
    <phoneticPr fontId="2" type="noConversion"/>
  </si>
  <si>
    <t>南帝</t>
    <phoneticPr fontId="2" type="noConversion"/>
  </si>
  <si>
    <t>華豐</t>
    <phoneticPr fontId="2" type="noConversion"/>
  </si>
  <si>
    <t>鑫永銓</t>
    <phoneticPr fontId="2" type="noConversion"/>
  </si>
  <si>
    <t>六暉-KY</t>
    <phoneticPr fontId="2" type="noConversion"/>
  </si>
  <si>
    <t>裕隆</t>
    <phoneticPr fontId="2" type="noConversion"/>
  </si>
  <si>
    <t>中華</t>
    <phoneticPr fontId="2" type="noConversion"/>
  </si>
  <si>
    <t>三陽工業</t>
    <phoneticPr fontId="2" type="noConversion"/>
  </si>
  <si>
    <t>和泰車</t>
    <phoneticPr fontId="2" type="noConversion"/>
  </si>
  <si>
    <t>台船</t>
    <phoneticPr fontId="2" type="noConversion"/>
  </si>
  <si>
    <t>長榮鋼</t>
    <phoneticPr fontId="2" type="noConversion"/>
  </si>
  <si>
    <t>大甲</t>
    <phoneticPr fontId="2" type="noConversion"/>
  </si>
  <si>
    <t>裕日車</t>
    <phoneticPr fontId="2" type="noConversion"/>
  </si>
  <si>
    <t>劍麟</t>
    <phoneticPr fontId="2" type="noConversion"/>
  </si>
  <si>
    <t>泰茂</t>
    <phoneticPr fontId="2" type="noConversion"/>
  </si>
  <si>
    <t>為升</t>
    <phoneticPr fontId="2" type="noConversion"/>
  </si>
  <si>
    <t>宇隆</t>
    <phoneticPr fontId="2" type="noConversion"/>
  </si>
  <si>
    <t>謚源</t>
    <phoneticPr fontId="2" type="noConversion"/>
  </si>
  <si>
    <t>百達-KY</t>
    <phoneticPr fontId="2" type="noConversion"/>
  </si>
  <si>
    <t>英利-KY</t>
    <phoneticPr fontId="2" type="noConversion"/>
  </si>
  <si>
    <t>艾姆勒</t>
    <phoneticPr fontId="2" type="noConversion"/>
  </si>
  <si>
    <t>宏旭-KY</t>
    <phoneticPr fontId="2" type="noConversion"/>
  </si>
  <si>
    <t>汎德永業</t>
    <phoneticPr fontId="2" type="noConversion"/>
  </si>
  <si>
    <t>華勝-KY</t>
    <phoneticPr fontId="2" type="noConversion"/>
  </si>
  <si>
    <t>IKKA-KY</t>
    <phoneticPr fontId="2" type="noConversion"/>
  </si>
  <si>
    <t>巨鎧精密-創</t>
    <phoneticPr fontId="2" type="noConversion"/>
  </si>
  <si>
    <t>鴻華先進-創</t>
    <phoneticPr fontId="2" type="noConversion"/>
  </si>
  <si>
    <t>光寶科</t>
    <phoneticPr fontId="2" type="noConversion"/>
  </si>
  <si>
    <t>麗正</t>
    <phoneticPr fontId="2" type="noConversion"/>
  </si>
  <si>
    <t>聯電</t>
    <phoneticPr fontId="2" type="noConversion"/>
  </si>
  <si>
    <t>全友</t>
    <phoneticPr fontId="2" type="noConversion"/>
  </si>
  <si>
    <t>台達電</t>
    <phoneticPr fontId="2" type="noConversion"/>
  </si>
  <si>
    <t>金寶</t>
    <phoneticPr fontId="2" type="noConversion"/>
  </si>
  <si>
    <t>華通</t>
    <phoneticPr fontId="2" type="noConversion"/>
  </si>
  <si>
    <t>台揚</t>
    <phoneticPr fontId="2" type="noConversion"/>
  </si>
  <si>
    <t>楠梓電</t>
    <phoneticPr fontId="2" type="noConversion"/>
  </si>
  <si>
    <t>鴻海</t>
    <phoneticPr fontId="2" type="noConversion"/>
  </si>
  <si>
    <t>東訊</t>
    <phoneticPr fontId="2" type="noConversion"/>
  </si>
  <si>
    <t>中環</t>
    <phoneticPr fontId="2" type="noConversion"/>
  </si>
  <si>
    <t>仁寶</t>
    <phoneticPr fontId="2" type="noConversion"/>
  </si>
  <si>
    <t>國巨*</t>
    <phoneticPr fontId="2" type="noConversion"/>
  </si>
  <si>
    <t>廣宇</t>
    <phoneticPr fontId="2" type="noConversion"/>
  </si>
  <si>
    <t>華泰</t>
    <phoneticPr fontId="2" type="noConversion"/>
  </si>
  <si>
    <t>台積電</t>
    <phoneticPr fontId="2" type="noConversion"/>
  </si>
  <si>
    <t>精英</t>
    <phoneticPr fontId="2" type="noConversion"/>
  </si>
  <si>
    <t>友訊</t>
    <phoneticPr fontId="2" type="noConversion"/>
  </si>
  <si>
    <t>旺宏</t>
    <phoneticPr fontId="2" type="noConversion"/>
  </si>
  <si>
    <t>光罩</t>
    <phoneticPr fontId="2" type="noConversion"/>
  </si>
  <si>
    <t>台亞</t>
    <phoneticPr fontId="2" type="noConversion"/>
  </si>
  <si>
    <t>茂矽</t>
    <phoneticPr fontId="2" type="noConversion"/>
  </si>
  <si>
    <t>華邦電</t>
    <phoneticPr fontId="2" type="noConversion"/>
  </si>
  <si>
    <t>智邦</t>
    <phoneticPr fontId="2" type="noConversion"/>
  </si>
  <si>
    <t>聯強</t>
    <phoneticPr fontId="2" type="noConversion"/>
  </si>
  <si>
    <t>海悅</t>
    <phoneticPr fontId="2" type="noConversion"/>
  </si>
  <si>
    <t>錸德</t>
    <phoneticPr fontId="2" type="noConversion"/>
  </si>
  <si>
    <t>順德</t>
    <phoneticPr fontId="2" type="noConversion"/>
  </si>
  <si>
    <t>佳世達</t>
    <phoneticPr fontId="2" type="noConversion"/>
  </si>
  <si>
    <t>宏碁</t>
    <phoneticPr fontId="2" type="noConversion"/>
  </si>
  <si>
    <t>鴻準</t>
    <phoneticPr fontId="2" type="noConversion"/>
  </si>
  <si>
    <t>敬鵬</t>
    <phoneticPr fontId="2" type="noConversion"/>
  </si>
  <si>
    <t>英業達</t>
    <phoneticPr fontId="2" type="noConversion"/>
  </si>
  <si>
    <t>華碩</t>
    <phoneticPr fontId="2" type="noConversion"/>
  </si>
  <si>
    <t>所羅門</t>
    <phoneticPr fontId="2" type="noConversion"/>
  </si>
  <si>
    <t>致茂</t>
    <phoneticPr fontId="2" type="noConversion"/>
  </si>
  <si>
    <t>藍天</t>
    <phoneticPr fontId="2" type="noConversion"/>
  </si>
  <si>
    <t>矽統</t>
    <phoneticPr fontId="2" type="noConversion"/>
  </si>
  <si>
    <t>倫飛</t>
    <phoneticPr fontId="2" type="noConversion"/>
  </si>
  <si>
    <t>昆盈</t>
    <phoneticPr fontId="2" type="noConversion"/>
  </si>
  <si>
    <t>燿華</t>
    <phoneticPr fontId="2" type="noConversion"/>
  </si>
  <si>
    <t>金像電</t>
    <phoneticPr fontId="2" type="noConversion"/>
  </si>
  <si>
    <t>菱生</t>
    <phoneticPr fontId="2" type="noConversion"/>
  </si>
  <si>
    <t>大同</t>
    <phoneticPr fontId="2" type="noConversion"/>
  </si>
  <si>
    <t>震旦行</t>
    <phoneticPr fontId="2" type="noConversion"/>
  </si>
  <si>
    <t>佳能</t>
    <phoneticPr fontId="2" type="noConversion"/>
  </si>
  <si>
    <t>凱美</t>
    <phoneticPr fontId="2" type="noConversion"/>
  </si>
  <si>
    <t>技嘉</t>
    <phoneticPr fontId="2" type="noConversion"/>
  </si>
  <si>
    <t>微星</t>
    <phoneticPr fontId="2" type="noConversion"/>
  </si>
  <si>
    <t>瑞昱</t>
    <phoneticPr fontId="2" type="noConversion"/>
  </si>
  <si>
    <t>虹光</t>
    <phoneticPr fontId="2" type="noConversion"/>
  </si>
  <si>
    <t>廣達</t>
    <phoneticPr fontId="2" type="noConversion"/>
  </si>
  <si>
    <t>台光電</t>
    <phoneticPr fontId="2" type="noConversion"/>
  </si>
  <si>
    <t>群光</t>
    <phoneticPr fontId="2" type="noConversion"/>
  </si>
  <si>
    <t>精元</t>
    <phoneticPr fontId="2" type="noConversion"/>
  </si>
  <si>
    <t>威盛</t>
    <phoneticPr fontId="2" type="noConversion"/>
  </si>
  <si>
    <t>云辰</t>
    <phoneticPr fontId="2" type="noConversion"/>
  </si>
  <si>
    <t>正崴</t>
    <phoneticPr fontId="2" type="noConversion"/>
  </si>
  <si>
    <t>億光</t>
    <phoneticPr fontId="2" type="noConversion"/>
  </si>
  <si>
    <t>研華</t>
    <phoneticPr fontId="2" type="noConversion"/>
  </si>
  <si>
    <t>友通</t>
    <phoneticPr fontId="2" type="noConversion"/>
  </si>
  <si>
    <t>映泰</t>
    <phoneticPr fontId="2" type="noConversion"/>
  </si>
  <si>
    <t>凌陽</t>
    <phoneticPr fontId="2" type="noConversion"/>
  </si>
  <si>
    <t>毅嘉</t>
    <phoneticPr fontId="2" type="noConversion"/>
  </si>
  <si>
    <t>漢唐</t>
    <phoneticPr fontId="2" type="noConversion"/>
  </si>
  <si>
    <t>輔信</t>
    <phoneticPr fontId="2" type="noConversion"/>
  </si>
  <si>
    <t>國碩</t>
    <phoneticPr fontId="2" type="noConversion"/>
  </si>
  <si>
    <t>南亞科</t>
    <phoneticPr fontId="2" type="noConversion"/>
  </si>
  <si>
    <t>友達</t>
    <phoneticPr fontId="2" type="noConversion"/>
  </si>
  <si>
    <t>中華電</t>
    <phoneticPr fontId="2" type="noConversion"/>
  </si>
  <si>
    <t>環科</t>
    <phoneticPr fontId="2" type="noConversion"/>
  </si>
  <si>
    <t>精技</t>
    <phoneticPr fontId="2" type="noConversion"/>
  </si>
  <si>
    <t>錩新</t>
    <phoneticPr fontId="2" type="noConversion"/>
  </si>
  <si>
    <t>圓剛</t>
    <phoneticPr fontId="2" type="noConversion"/>
  </si>
  <si>
    <t>仲琦</t>
    <phoneticPr fontId="2" type="noConversion"/>
  </si>
  <si>
    <t>新巨</t>
    <phoneticPr fontId="2" type="noConversion"/>
  </si>
  <si>
    <t>建準</t>
    <phoneticPr fontId="2" type="noConversion"/>
  </si>
  <si>
    <t>固緯</t>
    <phoneticPr fontId="2" type="noConversion"/>
  </si>
  <si>
    <t>隴華</t>
    <phoneticPr fontId="2" type="noConversion"/>
  </si>
  <si>
    <t>承啟</t>
    <phoneticPr fontId="2" type="noConversion"/>
  </si>
  <si>
    <t>鼎元</t>
    <phoneticPr fontId="2" type="noConversion"/>
  </si>
  <si>
    <t>三商電</t>
    <phoneticPr fontId="2" type="noConversion"/>
  </si>
  <si>
    <t>興勤</t>
    <phoneticPr fontId="2" type="noConversion"/>
  </si>
  <si>
    <t>銘旺科</t>
    <phoneticPr fontId="2" type="noConversion"/>
  </si>
  <si>
    <t>燦坤</t>
    <phoneticPr fontId="2" type="noConversion"/>
  </si>
  <si>
    <t>聯昌</t>
    <phoneticPr fontId="2" type="noConversion"/>
  </si>
  <si>
    <t>倚天酷碁-創</t>
    <phoneticPr fontId="2" type="noConversion"/>
  </si>
  <si>
    <t>互盛電</t>
    <phoneticPr fontId="2" type="noConversion"/>
  </si>
  <si>
    <t>統懋</t>
    <phoneticPr fontId="2" type="noConversion"/>
  </si>
  <si>
    <t>偉詮電</t>
    <phoneticPr fontId="2" type="noConversion"/>
  </si>
  <si>
    <t>翔耀</t>
    <phoneticPr fontId="2" type="noConversion"/>
  </si>
  <si>
    <t>美律</t>
    <phoneticPr fontId="2" type="noConversion"/>
  </si>
  <si>
    <t>太空梭</t>
    <phoneticPr fontId="2" type="noConversion"/>
  </si>
  <si>
    <t>超豐</t>
    <phoneticPr fontId="2" type="noConversion"/>
  </si>
  <si>
    <t>新美齊</t>
    <phoneticPr fontId="2" type="noConversion"/>
  </si>
  <si>
    <t>兆勁</t>
    <phoneticPr fontId="2" type="noConversion"/>
  </si>
  <si>
    <t>京元電子</t>
    <phoneticPr fontId="2" type="noConversion"/>
  </si>
  <si>
    <t>神腦</t>
    <phoneticPr fontId="2" type="noConversion"/>
  </si>
  <si>
    <t>創見</t>
    <phoneticPr fontId="2" type="noConversion"/>
  </si>
  <si>
    <t>凌群</t>
    <phoneticPr fontId="2" type="noConversion"/>
  </si>
  <si>
    <t>聯發科</t>
    <phoneticPr fontId="2" type="noConversion"/>
  </si>
  <si>
    <t>全新</t>
    <phoneticPr fontId="2" type="noConversion"/>
  </si>
  <si>
    <t>飛宏</t>
    <phoneticPr fontId="2" type="noConversion"/>
  </si>
  <si>
    <t>義隆</t>
    <phoneticPr fontId="2" type="noConversion"/>
  </si>
  <si>
    <t>敦吉</t>
    <phoneticPr fontId="2" type="noConversion"/>
  </si>
  <si>
    <t>建通</t>
    <phoneticPr fontId="2" type="noConversion"/>
  </si>
  <si>
    <t>光群雷</t>
    <phoneticPr fontId="2" type="noConversion"/>
  </si>
  <si>
    <t>良得電</t>
    <phoneticPr fontId="2" type="noConversion"/>
  </si>
  <si>
    <t>盟立</t>
    <phoneticPr fontId="2" type="noConversion"/>
  </si>
  <si>
    <t>麗臺</t>
    <phoneticPr fontId="2" type="noConversion"/>
  </si>
  <si>
    <t>冠西電</t>
    <phoneticPr fontId="2" type="noConversion"/>
  </si>
  <si>
    <t>志聖</t>
    <phoneticPr fontId="2" type="noConversion"/>
  </si>
  <si>
    <t>華經</t>
    <phoneticPr fontId="2" type="noConversion"/>
  </si>
  <si>
    <t>資通</t>
    <phoneticPr fontId="2" type="noConversion"/>
  </si>
  <si>
    <t>立隆電</t>
    <phoneticPr fontId="2" type="noConversion"/>
  </si>
  <si>
    <t>可成</t>
    <phoneticPr fontId="2" type="noConversion"/>
  </si>
  <si>
    <t>鉅祥</t>
    <phoneticPr fontId="2" type="noConversion"/>
  </si>
  <si>
    <t>美隆電</t>
    <phoneticPr fontId="2" type="noConversion"/>
  </si>
  <si>
    <t>大毅</t>
    <phoneticPr fontId="2" type="noConversion"/>
  </si>
  <si>
    <t>敦陽科</t>
    <phoneticPr fontId="2" type="noConversion"/>
  </si>
  <si>
    <t>強茂</t>
    <phoneticPr fontId="2" type="noConversion"/>
  </si>
  <si>
    <t>連宇</t>
    <phoneticPr fontId="2" type="noConversion"/>
  </si>
  <si>
    <t>百容</t>
    <phoneticPr fontId="2" type="noConversion"/>
  </si>
  <si>
    <t>希華</t>
    <phoneticPr fontId="2" type="noConversion"/>
  </si>
  <si>
    <t>兆赫</t>
    <phoneticPr fontId="2" type="noConversion"/>
  </si>
  <si>
    <t>一詮</t>
    <phoneticPr fontId="2" type="noConversion"/>
  </si>
  <si>
    <t>漢平</t>
    <phoneticPr fontId="2" type="noConversion"/>
  </si>
  <si>
    <t>瑞軒</t>
    <phoneticPr fontId="2" type="noConversion"/>
  </si>
  <si>
    <t>吉祥全</t>
    <phoneticPr fontId="2" type="noConversion"/>
  </si>
  <si>
    <t>華新科</t>
    <phoneticPr fontId="2" type="noConversion"/>
  </si>
  <si>
    <t>揚博</t>
    <phoneticPr fontId="2" type="noConversion"/>
  </si>
  <si>
    <t>普安</t>
    <phoneticPr fontId="2" type="noConversion"/>
  </si>
  <si>
    <t>卓越</t>
    <phoneticPr fontId="2" type="noConversion"/>
  </si>
  <si>
    <t>怡利電</t>
    <phoneticPr fontId="2" type="noConversion"/>
  </si>
  <si>
    <t>宏達電</t>
    <phoneticPr fontId="2" type="noConversion"/>
  </si>
  <si>
    <t>國建</t>
    <phoneticPr fontId="2" type="noConversion"/>
  </si>
  <si>
    <t>國產</t>
    <phoneticPr fontId="2" type="noConversion"/>
  </si>
  <si>
    <t>國揚</t>
    <phoneticPr fontId="2" type="noConversion"/>
  </si>
  <si>
    <t>太設</t>
    <phoneticPr fontId="2" type="noConversion"/>
  </si>
  <si>
    <t>全坤建</t>
    <phoneticPr fontId="2" type="noConversion"/>
  </si>
  <si>
    <t>太子</t>
    <phoneticPr fontId="2" type="noConversion"/>
  </si>
  <si>
    <t>龍邦</t>
    <phoneticPr fontId="2" type="noConversion"/>
  </si>
  <si>
    <t>中工</t>
    <phoneticPr fontId="2" type="noConversion"/>
  </si>
  <si>
    <t>新建</t>
    <phoneticPr fontId="2" type="noConversion"/>
  </si>
  <si>
    <t>冠德</t>
    <phoneticPr fontId="2" type="noConversion"/>
  </si>
  <si>
    <t>京城</t>
    <phoneticPr fontId="2" type="noConversion"/>
  </si>
  <si>
    <t>宏璟</t>
    <phoneticPr fontId="2" type="noConversion"/>
  </si>
  <si>
    <t>皇普</t>
    <phoneticPr fontId="2" type="noConversion"/>
  </si>
  <si>
    <t>華建</t>
    <phoneticPr fontId="2" type="noConversion"/>
  </si>
  <si>
    <t>宏盛</t>
    <phoneticPr fontId="2" type="noConversion"/>
  </si>
  <si>
    <t>達欣工</t>
    <phoneticPr fontId="2" type="noConversion"/>
  </si>
  <si>
    <t>宏普</t>
    <phoneticPr fontId="2" type="noConversion"/>
  </si>
  <si>
    <t>聯上發</t>
    <phoneticPr fontId="2" type="noConversion"/>
  </si>
  <si>
    <t>基泰</t>
    <phoneticPr fontId="2" type="noConversion"/>
  </si>
  <si>
    <t>櫻花建</t>
    <phoneticPr fontId="2" type="noConversion"/>
  </si>
  <si>
    <t>愛山林</t>
    <phoneticPr fontId="2" type="noConversion"/>
  </si>
  <si>
    <t>興富發</t>
    <phoneticPr fontId="2" type="noConversion"/>
  </si>
  <si>
    <t>皇昌</t>
    <phoneticPr fontId="2" type="noConversion"/>
  </si>
  <si>
    <t>皇翔</t>
    <phoneticPr fontId="2" type="noConversion"/>
  </si>
  <si>
    <t>根基</t>
    <phoneticPr fontId="2" type="noConversion"/>
  </si>
  <si>
    <t>日勝生</t>
    <phoneticPr fontId="2" type="noConversion"/>
  </si>
  <si>
    <t>華固</t>
    <phoneticPr fontId="2" type="noConversion"/>
  </si>
  <si>
    <t>綠意</t>
    <phoneticPr fontId="2" type="noConversion"/>
  </si>
  <si>
    <t>潤弘</t>
    <phoneticPr fontId="2" type="noConversion"/>
  </si>
  <si>
    <t>益航</t>
    <phoneticPr fontId="2" type="noConversion"/>
  </si>
  <si>
    <t>長榮</t>
    <phoneticPr fontId="2" type="noConversion"/>
  </si>
  <si>
    <t>新興</t>
    <phoneticPr fontId="2" type="noConversion"/>
  </si>
  <si>
    <t>裕民</t>
    <phoneticPr fontId="2" type="noConversion"/>
  </si>
  <si>
    <t>榮運</t>
    <phoneticPr fontId="2" type="noConversion"/>
  </si>
  <si>
    <t>嘉里大榮</t>
    <phoneticPr fontId="2" type="noConversion"/>
  </si>
  <si>
    <t>陽明</t>
    <phoneticPr fontId="2" type="noConversion"/>
  </si>
  <si>
    <t>華航</t>
    <phoneticPr fontId="2" type="noConversion"/>
  </si>
  <si>
    <t>志信</t>
    <phoneticPr fontId="2" type="noConversion"/>
  </si>
  <si>
    <t>中航</t>
    <phoneticPr fontId="2" type="noConversion"/>
  </si>
  <si>
    <t>中櫃</t>
    <phoneticPr fontId="2" type="noConversion"/>
  </si>
  <si>
    <t>東森</t>
    <phoneticPr fontId="2" type="noConversion"/>
  </si>
  <si>
    <t>萬海</t>
    <phoneticPr fontId="2" type="noConversion"/>
  </si>
  <si>
    <t>山隆</t>
    <phoneticPr fontId="2" type="noConversion"/>
  </si>
  <si>
    <t>台航</t>
    <phoneticPr fontId="2" type="noConversion"/>
  </si>
  <si>
    <t>長榮航</t>
    <phoneticPr fontId="2" type="noConversion"/>
  </si>
  <si>
    <t>亞航</t>
    <phoneticPr fontId="2" type="noConversion"/>
  </si>
  <si>
    <t>台灣高鐵</t>
    <phoneticPr fontId="2" type="noConversion"/>
  </si>
  <si>
    <t>漢翔</t>
    <phoneticPr fontId="2" type="noConversion"/>
  </si>
  <si>
    <t>台驊控股</t>
    <phoneticPr fontId="2" type="noConversion"/>
  </si>
  <si>
    <t>慧洋-KY</t>
    <phoneticPr fontId="2" type="noConversion"/>
  </si>
  <si>
    <t>大車隊</t>
    <phoneticPr fontId="2" type="noConversion"/>
  </si>
  <si>
    <t>正德</t>
    <phoneticPr fontId="2" type="noConversion"/>
  </si>
  <si>
    <t>宅配通</t>
    <phoneticPr fontId="2" type="noConversion"/>
  </si>
  <si>
    <t>捷迅</t>
    <phoneticPr fontId="2" type="noConversion"/>
  </si>
  <si>
    <t>長榮航太</t>
    <phoneticPr fontId="2" type="noConversion"/>
  </si>
  <si>
    <t>星宇航空</t>
    <phoneticPr fontId="2" type="noConversion"/>
  </si>
  <si>
    <t>萬企</t>
    <phoneticPr fontId="2" type="noConversion"/>
  </si>
  <si>
    <t>華園</t>
    <phoneticPr fontId="2" type="noConversion"/>
  </si>
  <si>
    <t>國賓</t>
    <phoneticPr fontId="2" type="noConversion"/>
  </si>
  <si>
    <t>六福</t>
    <phoneticPr fontId="2" type="noConversion"/>
  </si>
  <si>
    <t>第一店</t>
    <phoneticPr fontId="2" type="noConversion"/>
  </si>
  <si>
    <t>晶華</t>
    <phoneticPr fontId="2" type="noConversion"/>
  </si>
  <si>
    <t>遠雄來</t>
    <phoneticPr fontId="2" type="noConversion"/>
  </si>
  <si>
    <t>全心投控</t>
    <phoneticPr fontId="2" type="noConversion"/>
  </si>
  <si>
    <t>燦星旅</t>
    <phoneticPr fontId="2" type="noConversion"/>
  </si>
  <si>
    <t>夏都</t>
    <phoneticPr fontId="2" type="noConversion"/>
  </si>
  <si>
    <t>美食-KY</t>
    <phoneticPr fontId="2" type="noConversion"/>
  </si>
  <si>
    <t>藝舍-KY</t>
    <phoneticPr fontId="2" type="noConversion"/>
  </si>
  <si>
    <t>雅茗-KY</t>
    <phoneticPr fontId="2" type="noConversion"/>
  </si>
  <si>
    <t>王品</t>
    <phoneticPr fontId="2" type="noConversion"/>
  </si>
  <si>
    <t>瓦城</t>
    <phoneticPr fontId="2" type="noConversion"/>
  </si>
  <si>
    <t>雄獅</t>
    <phoneticPr fontId="2" type="noConversion"/>
  </si>
  <si>
    <t>六角</t>
    <phoneticPr fontId="2" type="noConversion"/>
  </si>
  <si>
    <t>易飛網</t>
    <phoneticPr fontId="2" type="noConversion"/>
  </si>
  <si>
    <t>富野</t>
    <phoneticPr fontId="2" type="noConversion"/>
  </si>
  <si>
    <t>寒舍</t>
    <phoneticPr fontId="2" type="noConversion"/>
  </si>
  <si>
    <t>天蔥</t>
    <phoneticPr fontId="2" type="noConversion"/>
  </si>
  <si>
    <t>山富</t>
    <phoneticPr fontId="2" type="noConversion"/>
  </si>
  <si>
    <t>五福</t>
    <phoneticPr fontId="2" type="noConversion"/>
  </si>
  <si>
    <t>雲品</t>
    <phoneticPr fontId="2" type="noConversion"/>
  </si>
  <si>
    <t>王座</t>
    <phoneticPr fontId="2" type="noConversion"/>
  </si>
  <si>
    <t>豆府</t>
    <phoneticPr fontId="2" type="noConversion"/>
  </si>
  <si>
    <t>八方雲集</t>
    <phoneticPr fontId="2" type="noConversion"/>
  </si>
  <si>
    <t>亞洲藏壽司</t>
    <phoneticPr fontId="2" type="noConversion"/>
  </si>
  <si>
    <t>揚秦</t>
    <phoneticPr fontId="2" type="noConversion"/>
  </si>
  <si>
    <t>聯發國際</t>
    <phoneticPr fontId="2" type="noConversion"/>
  </si>
  <si>
    <t>世界健身-KY</t>
    <phoneticPr fontId="2" type="noConversion"/>
  </si>
  <si>
    <t>彰銀</t>
    <phoneticPr fontId="2" type="noConversion"/>
  </si>
  <si>
    <t>台中銀</t>
    <phoneticPr fontId="2" type="noConversion"/>
  </si>
  <si>
    <t>旺旺保</t>
    <phoneticPr fontId="2" type="noConversion"/>
  </si>
  <si>
    <t>華票</t>
    <phoneticPr fontId="2" type="noConversion"/>
  </si>
  <si>
    <t>台產</t>
    <phoneticPr fontId="2" type="noConversion"/>
  </si>
  <si>
    <t>臺企銀</t>
    <phoneticPr fontId="2" type="noConversion"/>
  </si>
  <si>
    <t>高雄銀</t>
    <phoneticPr fontId="2" type="noConversion"/>
  </si>
  <si>
    <t>聯邦銀</t>
    <phoneticPr fontId="2" type="noConversion"/>
  </si>
  <si>
    <t>遠東銀</t>
    <phoneticPr fontId="2" type="noConversion"/>
  </si>
  <si>
    <t>安泰銀</t>
    <phoneticPr fontId="2" type="noConversion"/>
  </si>
  <si>
    <t>新產</t>
    <phoneticPr fontId="2" type="noConversion"/>
  </si>
  <si>
    <t>中再保</t>
    <phoneticPr fontId="2" type="noConversion"/>
  </si>
  <si>
    <t>第一保</t>
    <phoneticPr fontId="2" type="noConversion"/>
  </si>
  <si>
    <t>統一證</t>
    <phoneticPr fontId="2" type="noConversion"/>
  </si>
  <si>
    <t>三商壽</t>
    <phoneticPr fontId="2" type="noConversion"/>
  </si>
  <si>
    <t>華南金</t>
    <phoneticPr fontId="2" type="noConversion"/>
  </si>
  <si>
    <t>富邦金</t>
    <phoneticPr fontId="2" type="noConversion"/>
  </si>
  <si>
    <t>國泰金</t>
    <phoneticPr fontId="2" type="noConversion"/>
  </si>
  <si>
    <t>凱基金</t>
    <phoneticPr fontId="2" type="noConversion"/>
  </si>
  <si>
    <t>玉山金</t>
    <phoneticPr fontId="2" type="noConversion"/>
  </si>
  <si>
    <t>元大金</t>
    <phoneticPr fontId="2" type="noConversion"/>
  </si>
  <si>
    <t>兆豐金</t>
    <phoneticPr fontId="2" type="noConversion"/>
  </si>
  <si>
    <t>台新新光金</t>
    <phoneticPr fontId="2" type="noConversion"/>
  </si>
  <si>
    <t>國票金</t>
    <phoneticPr fontId="2" type="noConversion"/>
  </si>
  <si>
    <t>永豐金</t>
    <phoneticPr fontId="2" type="noConversion"/>
  </si>
  <si>
    <t>中信金</t>
    <phoneticPr fontId="2" type="noConversion"/>
  </si>
  <si>
    <t>第一金</t>
    <phoneticPr fontId="2" type="noConversion"/>
  </si>
  <si>
    <t>王道銀行</t>
    <phoneticPr fontId="2" type="noConversion"/>
  </si>
  <si>
    <t>欣欣</t>
    <phoneticPr fontId="2" type="noConversion"/>
  </si>
  <si>
    <t>遠百</t>
    <phoneticPr fontId="2" type="noConversion"/>
  </si>
  <si>
    <t>匯僑</t>
    <phoneticPr fontId="2" type="noConversion"/>
  </si>
  <si>
    <t>三商</t>
    <phoneticPr fontId="2" type="noConversion"/>
  </si>
  <si>
    <t>高林</t>
    <phoneticPr fontId="2" type="noConversion"/>
  </si>
  <si>
    <t>特力</t>
    <phoneticPr fontId="2" type="noConversion"/>
  </si>
  <si>
    <t>統領</t>
    <phoneticPr fontId="2" type="noConversion"/>
  </si>
  <si>
    <t>麗嬰房</t>
    <phoneticPr fontId="2" type="noConversion"/>
  </si>
  <si>
    <t>統一超</t>
    <phoneticPr fontId="2" type="noConversion"/>
  </si>
  <si>
    <t>農林</t>
    <phoneticPr fontId="2" type="noConversion"/>
  </si>
  <si>
    <t>潤泰全</t>
    <phoneticPr fontId="2" type="noConversion"/>
  </si>
  <si>
    <t>滿心</t>
    <phoneticPr fontId="2" type="noConversion"/>
  </si>
  <si>
    <t>鼎固-KY</t>
    <phoneticPr fontId="2" type="noConversion"/>
  </si>
  <si>
    <t>宏太-KY</t>
    <phoneticPr fontId="2" type="noConversion"/>
  </si>
  <si>
    <t>誠品生活</t>
    <phoneticPr fontId="2" type="noConversion"/>
  </si>
  <si>
    <t>淘帝-KY</t>
    <phoneticPr fontId="2" type="noConversion"/>
  </si>
  <si>
    <t>集雅社</t>
    <phoneticPr fontId="2" type="noConversion"/>
  </si>
  <si>
    <t>永邑-KY</t>
    <phoneticPr fontId="2" type="noConversion"/>
  </si>
  <si>
    <t>米斯特</t>
    <phoneticPr fontId="2" type="noConversion"/>
  </si>
  <si>
    <t>三商家購</t>
    <phoneticPr fontId="2" type="noConversion"/>
  </si>
  <si>
    <t>振宇五金</t>
    <phoneticPr fontId="2" type="noConversion"/>
  </si>
  <si>
    <t>寶陞</t>
    <phoneticPr fontId="2" type="noConversion"/>
  </si>
  <si>
    <t>欣新網</t>
    <phoneticPr fontId="2" type="noConversion"/>
  </si>
  <si>
    <t>歐格</t>
    <phoneticPr fontId="2" type="noConversion"/>
  </si>
  <si>
    <t>健和興</t>
    <phoneticPr fontId="2" type="noConversion"/>
  </si>
  <si>
    <t>豐達科</t>
    <phoneticPr fontId="2" type="noConversion"/>
  </si>
  <si>
    <t>神基</t>
    <phoneticPr fontId="2" type="noConversion"/>
  </si>
  <si>
    <t>晶豪科</t>
    <phoneticPr fontId="2" type="noConversion"/>
  </si>
  <si>
    <t>大立光</t>
    <phoneticPr fontId="2" type="noConversion"/>
  </si>
  <si>
    <t>華立</t>
    <phoneticPr fontId="2" type="noConversion"/>
  </si>
  <si>
    <t>今皓</t>
    <phoneticPr fontId="2" type="noConversion"/>
  </si>
  <si>
    <t>晟銘電</t>
    <phoneticPr fontId="2" type="noConversion"/>
  </si>
  <si>
    <t>聯陽</t>
    <phoneticPr fontId="2" type="noConversion"/>
  </si>
  <si>
    <t>全漢</t>
    <phoneticPr fontId="2" type="noConversion"/>
  </si>
  <si>
    <t>嘉晶</t>
    <phoneticPr fontId="2" type="noConversion"/>
  </si>
  <si>
    <t>奇鋐</t>
    <phoneticPr fontId="2" type="noConversion"/>
  </si>
  <si>
    <t>隆銘綠能</t>
    <phoneticPr fontId="2" type="noConversion"/>
  </si>
  <si>
    <t>亞光</t>
    <phoneticPr fontId="2" type="noConversion"/>
  </si>
  <si>
    <t>鴻名</t>
    <phoneticPr fontId="2" type="noConversion"/>
  </si>
  <si>
    <t>威強電</t>
    <phoneticPr fontId="2" type="noConversion"/>
  </si>
  <si>
    <t>信邦</t>
    <phoneticPr fontId="2" type="noConversion"/>
  </si>
  <si>
    <t>憶聲</t>
    <phoneticPr fontId="2" type="noConversion"/>
  </si>
  <si>
    <t>星通</t>
    <phoneticPr fontId="2" type="noConversion"/>
  </si>
  <si>
    <t>禾伸堂</t>
    <phoneticPr fontId="2" type="noConversion"/>
  </si>
  <si>
    <t>盛達</t>
    <phoneticPr fontId="2" type="noConversion"/>
  </si>
  <si>
    <t>增你強</t>
    <phoneticPr fontId="2" type="noConversion"/>
  </si>
  <si>
    <t>零壹</t>
    <phoneticPr fontId="2" type="noConversion"/>
  </si>
  <si>
    <t>德律</t>
    <phoneticPr fontId="2" type="noConversion"/>
  </si>
  <si>
    <t>佰鴻</t>
    <phoneticPr fontId="2" type="noConversion"/>
  </si>
  <si>
    <t>偉訓</t>
    <phoneticPr fontId="2" type="noConversion"/>
  </si>
  <si>
    <t>威健</t>
    <phoneticPr fontId="2" type="noConversion"/>
  </si>
  <si>
    <t>聯詠</t>
    <phoneticPr fontId="2" type="noConversion"/>
  </si>
  <si>
    <t>智原</t>
    <phoneticPr fontId="2" type="noConversion"/>
  </si>
  <si>
    <t>文曄</t>
    <phoneticPr fontId="2" type="noConversion"/>
  </si>
  <si>
    <t>欣興</t>
    <phoneticPr fontId="2" type="noConversion"/>
  </si>
  <si>
    <t>全台</t>
    <phoneticPr fontId="2" type="noConversion"/>
  </si>
  <si>
    <t>遠見</t>
    <phoneticPr fontId="2" type="noConversion"/>
  </si>
  <si>
    <t>揚智</t>
    <phoneticPr fontId="2" type="noConversion"/>
  </si>
  <si>
    <t>晶技</t>
    <phoneticPr fontId="2" type="noConversion"/>
  </si>
  <si>
    <t>科風</t>
    <phoneticPr fontId="2" type="noConversion"/>
  </si>
  <si>
    <t>健鼎</t>
    <phoneticPr fontId="2" type="noConversion"/>
  </si>
  <si>
    <t>台灣大</t>
    <phoneticPr fontId="2" type="noConversion"/>
  </si>
  <si>
    <t>建碁</t>
    <phoneticPr fontId="2" type="noConversion"/>
  </si>
  <si>
    <t>訊舟</t>
    <phoneticPr fontId="2" type="noConversion"/>
  </si>
  <si>
    <t>益登</t>
    <phoneticPr fontId="2" type="noConversion"/>
  </si>
  <si>
    <t>精金</t>
    <phoneticPr fontId="2" type="noConversion"/>
  </si>
  <si>
    <t>鈺德</t>
    <phoneticPr fontId="2" type="noConversion"/>
  </si>
  <si>
    <t>力特</t>
    <phoneticPr fontId="2" type="noConversion"/>
  </si>
  <si>
    <t>夆典</t>
    <phoneticPr fontId="2" type="noConversion"/>
  </si>
  <si>
    <t>立萬利</t>
    <phoneticPr fontId="2" type="noConversion"/>
  </si>
  <si>
    <t>蔚華科</t>
    <phoneticPr fontId="2" type="noConversion"/>
  </si>
  <si>
    <t>富華新</t>
    <phoneticPr fontId="2" type="noConversion"/>
  </si>
  <si>
    <t>喬鼎</t>
    <phoneticPr fontId="2" type="noConversion"/>
  </si>
  <si>
    <t>立德</t>
    <phoneticPr fontId="2" type="noConversion"/>
  </si>
  <si>
    <t>華晶科</t>
    <phoneticPr fontId="2" type="noConversion"/>
  </si>
  <si>
    <t>銘異</t>
    <phoneticPr fontId="2" type="noConversion"/>
  </si>
  <si>
    <t>建漢</t>
    <phoneticPr fontId="2" type="noConversion"/>
  </si>
  <si>
    <t>泰偉</t>
    <phoneticPr fontId="2" type="noConversion"/>
  </si>
  <si>
    <t>李洲</t>
    <phoneticPr fontId="2" type="noConversion"/>
  </si>
  <si>
    <t>全域</t>
    <phoneticPr fontId="2" type="noConversion"/>
  </si>
  <si>
    <t>協禧</t>
    <phoneticPr fontId="2" type="noConversion"/>
  </si>
  <si>
    <t>天方能源</t>
    <phoneticPr fontId="2" type="noConversion"/>
  </si>
  <si>
    <t>僑威</t>
    <phoneticPr fontId="2" type="noConversion"/>
  </si>
  <si>
    <t>聯亞</t>
    <phoneticPr fontId="2" type="noConversion"/>
  </si>
  <si>
    <t>網龍</t>
    <phoneticPr fontId="2" type="noConversion"/>
  </si>
  <si>
    <t>新零售</t>
    <phoneticPr fontId="2" type="noConversion"/>
  </si>
  <si>
    <t>華義</t>
    <phoneticPr fontId="2" type="noConversion"/>
  </si>
  <si>
    <t>艾訊</t>
    <phoneticPr fontId="2" type="noConversion"/>
  </si>
  <si>
    <t>日電貿</t>
    <phoneticPr fontId="2" type="noConversion"/>
  </si>
  <si>
    <t>鴻碩</t>
    <phoneticPr fontId="2" type="noConversion"/>
  </si>
  <si>
    <t>港建*</t>
    <phoneticPr fontId="2" type="noConversion"/>
  </si>
  <si>
    <t>聯傑</t>
    <phoneticPr fontId="2" type="noConversion"/>
  </si>
  <si>
    <t>及成</t>
    <phoneticPr fontId="2" type="noConversion"/>
  </si>
  <si>
    <t>穩懋</t>
    <phoneticPr fontId="2" type="noConversion"/>
  </si>
  <si>
    <t>好德</t>
    <phoneticPr fontId="2" type="noConversion"/>
  </si>
  <si>
    <t>富榮綱</t>
    <phoneticPr fontId="2" type="noConversion"/>
  </si>
  <si>
    <t>進階</t>
    <phoneticPr fontId="2" type="noConversion"/>
  </si>
  <si>
    <t>笙泉</t>
    <phoneticPr fontId="2" type="noConversion"/>
  </si>
  <si>
    <t>昇銳</t>
    <phoneticPr fontId="2" type="noConversion"/>
  </si>
  <si>
    <t>一零四</t>
    <phoneticPr fontId="2" type="noConversion"/>
  </si>
  <si>
    <t>弘塑</t>
    <phoneticPr fontId="2" type="noConversion"/>
  </si>
  <si>
    <t>凌航</t>
    <phoneticPr fontId="2" type="noConversion"/>
  </si>
  <si>
    <t>耀登</t>
    <phoneticPr fontId="2" type="noConversion"/>
  </si>
  <si>
    <t>晶宏</t>
    <phoneticPr fontId="2" type="noConversion"/>
  </si>
  <si>
    <t>大綜</t>
    <phoneticPr fontId="2" type="noConversion"/>
  </si>
  <si>
    <t>正達</t>
    <phoneticPr fontId="2" type="noConversion"/>
  </si>
  <si>
    <t>鈺寶-創</t>
    <phoneticPr fontId="2" type="noConversion"/>
  </si>
  <si>
    <t>璟德</t>
    <phoneticPr fontId="2" type="noConversion"/>
  </si>
  <si>
    <t>嘉實</t>
    <phoneticPr fontId="2" type="noConversion"/>
  </si>
  <si>
    <t>精確</t>
    <phoneticPr fontId="2" type="noConversion"/>
  </si>
  <si>
    <t>波若威</t>
    <phoneticPr fontId="2" type="noConversion"/>
  </si>
  <si>
    <t>景岳</t>
    <phoneticPr fontId="2" type="noConversion"/>
  </si>
  <si>
    <t>大量</t>
    <phoneticPr fontId="2" type="noConversion"/>
  </si>
  <si>
    <t>眾福科</t>
    <phoneticPr fontId="2" type="noConversion"/>
  </si>
  <si>
    <t>亞信</t>
    <phoneticPr fontId="2" type="noConversion"/>
  </si>
  <si>
    <t>炎洲流通</t>
    <phoneticPr fontId="2" type="noConversion"/>
  </si>
  <si>
    <t>基亞</t>
    <phoneticPr fontId="2" type="noConversion"/>
  </si>
  <si>
    <t>公準</t>
    <phoneticPr fontId="2" type="noConversion"/>
  </si>
  <si>
    <t>鑫龍騰</t>
    <phoneticPr fontId="2" type="noConversion"/>
  </si>
  <si>
    <t>景碩</t>
    <phoneticPr fontId="2" type="noConversion"/>
  </si>
  <si>
    <t>雲嘉南</t>
    <phoneticPr fontId="2" type="noConversion"/>
  </si>
  <si>
    <t>佰研</t>
    <phoneticPr fontId="2" type="noConversion"/>
  </si>
  <si>
    <t>志豐</t>
    <phoneticPr fontId="2" type="noConversion"/>
  </si>
  <si>
    <t>耀勝</t>
    <phoneticPr fontId="2" type="noConversion"/>
  </si>
  <si>
    <t>全科</t>
    <phoneticPr fontId="2" type="noConversion"/>
  </si>
  <si>
    <t>順達</t>
    <phoneticPr fontId="2" type="noConversion"/>
  </si>
  <si>
    <t>茂訊</t>
    <phoneticPr fontId="2" type="noConversion"/>
  </si>
  <si>
    <t>優群</t>
    <phoneticPr fontId="2" type="noConversion"/>
  </si>
  <si>
    <t>大學光</t>
    <phoneticPr fontId="2" type="noConversion"/>
  </si>
  <si>
    <t>倚強科</t>
    <phoneticPr fontId="2" type="noConversion"/>
  </si>
  <si>
    <t>台嘉碩</t>
    <phoneticPr fontId="2" type="noConversion"/>
  </si>
  <si>
    <t>三顧</t>
    <phoneticPr fontId="2" type="noConversion"/>
  </si>
  <si>
    <t>龍鋒</t>
    <phoneticPr fontId="2" type="noConversion"/>
  </si>
  <si>
    <t>原相</t>
    <phoneticPr fontId="2" type="noConversion"/>
  </si>
  <si>
    <t>金麗科</t>
    <phoneticPr fontId="2" type="noConversion"/>
  </si>
  <si>
    <t>晟鈦</t>
    <phoneticPr fontId="2" type="noConversion"/>
  </si>
  <si>
    <t>錦明</t>
    <phoneticPr fontId="2" type="noConversion"/>
  </si>
  <si>
    <t>緯創</t>
    <phoneticPr fontId="2" type="noConversion"/>
  </si>
  <si>
    <t>昱捷</t>
    <phoneticPr fontId="2" type="noConversion"/>
  </si>
  <si>
    <t>光環</t>
    <phoneticPr fontId="2" type="noConversion"/>
  </si>
  <si>
    <t>千如</t>
    <phoneticPr fontId="2" type="noConversion"/>
  </si>
  <si>
    <t>海灣</t>
    <phoneticPr fontId="2" type="noConversion"/>
  </si>
  <si>
    <t>虹冠電</t>
    <phoneticPr fontId="2" type="noConversion"/>
  </si>
  <si>
    <t>鑫創</t>
    <phoneticPr fontId="2" type="noConversion"/>
  </si>
  <si>
    <t>威剛</t>
    <phoneticPr fontId="2" type="noConversion"/>
  </si>
  <si>
    <t>欣銓</t>
    <phoneticPr fontId="2" type="noConversion"/>
  </si>
  <si>
    <t>台星科</t>
    <phoneticPr fontId="2" type="noConversion"/>
  </si>
  <si>
    <t>昇陽</t>
    <phoneticPr fontId="2" type="noConversion"/>
  </si>
  <si>
    <t>海德威</t>
    <phoneticPr fontId="2" type="noConversion"/>
  </si>
  <si>
    <t>東碩</t>
    <phoneticPr fontId="2" type="noConversion"/>
  </si>
  <si>
    <t>宇環</t>
    <phoneticPr fontId="2" type="noConversion"/>
  </si>
  <si>
    <t>太普高</t>
    <phoneticPr fontId="2" type="noConversion"/>
  </si>
  <si>
    <t>微端</t>
    <phoneticPr fontId="2" type="noConversion"/>
  </si>
  <si>
    <t>廣寰科</t>
    <phoneticPr fontId="2" type="noConversion"/>
  </si>
  <si>
    <t>點晶</t>
    <phoneticPr fontId="2" type="noConversion"/>
  </si>
  <si>
    <t>宜特</t>
    <phoneticPr fontId="2" type="noConversion"/>
  </si>
  <si>
    <t>東浦</t>
    <phoneticPr fontId="2" type="noConversion"/>
  </si>
  <si>
    <t>鈊象</t>
    <phoneticPr fontId="2" type="noConversion"/>
  </si>
  <si>
    <t>英濟</t>
    <phoneticPr fontId="2" type="noConversion"/>
  </si>
  <si>
    <t>勝德</t>
    <phoneticPr fontId="2" type="noConversion"/>
  </si>
  <si>
    <t>杭特</t>
    <phoneticPr fontId="2" type="noConversion"/>
  </si>
  <si>
    <t>岱稜</t>
    <phoneticPr fontId="2" type="noConversion"/>
  </si>
  <si>
    <t>昇貿</t>
    <phoneticPr fontId="2" type="noConversion"/>
  </si>
  <si>
    <t>鼎天</t>
    <phoneticPr fontId="2" type="noConversion"/>
  </si>
  <si>
    <t>聯德</t>
    <phoneticPr fontId="2" type="noConversion"/>
  </si>
  <si>
    <t>佳穎</t>
    <phoneticPr fontId="2" type="noConversion"/>
  </si>
  <si>
    <t>閎暉</t>
    <phoneticPr fontId="2" type="noConversion"/>
  </si>
  <si>
    <t>弘憶股</t>
    <phoneticPr fontId="2" type="noConversion"/>
  </si>
  <si>
    <t>斐成</t>
    <phoneticPr fontId="2" type="noConversion"/>
  </si>
  <si>
    <t>尼克森</t>
    <phoneticPr fontId="2" type="noConversion"/>
  </si>
  <si>
    <t>同泰</t>
    <phoneticPr fontId="2" type="noConversion"/>
  </si>
  <si>
    <t>建舜電</t>
    <phoneticPr fontId="2" type="noConversion"/>
  </si>
  <si>
    <t>加百裕</t>
    <phoneticPr fontId="2" type="noConversion"/>
  </si>
  <si>
    <t>雙鴻</t>
    <phoneticPr fontId="2" type="noConversion"/>
  </si>
  <si>
    <t>旭品</t>
    <phoneticPr fontId="2" type="noConversion"/>
  </si>
  <si>
    <t>幸康</t>
    <phoneticPr fontId="2" type="noConversion"/>
  </si>
  <si>
    <t>泰碩</t>
    <phoneticPr fontId="2" type="noConversion"/>
  </si>
  <si>
    <t>泰谷</t>
    <phoneticPr fontId="2" type="noConversion"/>
  </si>
  <si>
    <t>麗清</t>
    <phoneticPr fontId="2" type="noConversion"/>
  </si>
  <si>
    <t>寶德</t>
    <phoneticPr fontId="2" type="noConversion"/>
  </si>
  <si>
    <t>律勝</t>
    <phoneticPr fontId="2" type="noConversion"/>
  </si>
  <si>
    <t>奇偶</t>
    <phoneticPr fontId="2" type="noConversion"/>
  </si>
  <si>
    <t>臺慶科</t>
    <phoneticPr fontId="2" type="noConversion"/>
  </si>
  <si>
    <t>尚立</t>
    <phoneticPr fontId="2" type="noConversion"/>
  </si>
  <si>
    <t>先進光</t>
    <phoneticPr fontId="2" type="noConversion"/>
  </si>
  <si>
    <t>上詮</t>
    <phoneticPr fontId="2" type="noConversion"/>
  </si>
  <si>
    <t>典範</t>
    <phoneticPr fontId="2" type="noConversion"/>
  </si>
  <si>
    <t>熱映</t>
    <phoneticPr fontId="2" type="noConversion"/>
  </si>
  <si>
    <t>精材</t>
    <phoneticPr fontId="2" type="noConversion"/>
  </si>
  <si>
    <t>新日興</t>
    <phoneticPr fontId="2" type="noConversion"/>
  </si>
  <si>
    <t>彬台</t>
    <phoneticPr fontId="2" type="noConversion"/>
  </si>
  <si>
    <t>明泰</t>
    <phoneticPr fontId="2" type="noConversion"/>
  </si>
  <si>
    <t>崇越電</t>
    <phoneticPr fontId="2" type="noConversion"/>
  </si>
  <si>
    <t>旭軟</t>
    <phoneticPr fontId="2" type="noConversion"/>
  </si>
  <si>
    <t>漢科</t>
    <phoneticPr fontId="2" type="noConversion"/>
  </si>
  <si>
    <t>玉晶光</t>
    <phoneticPr fontId="2" type="noConversion"/>
  </si>
  <si>
    <t>京鼎</t>
    <phoneticPr fontId="2" type="noConversion"/>
  </si>
  <si>
    <t>融程電</t>
    <phoneticPr fontId="2" type="noConversion"/>
  </si>
  <si>
    <t>譁裕</t>
    <phoneticPr fontId="2" type="noConversion"/>
  </si>
  <si>
    <t>台興</t>
    <phoneticPr fontId="2" type="noConversion"/>
  </si>
  <si>
    <t>奇鈦科</t>
    <phoneticPr fontId="2" type="noConversion"/>
  </si>
  <si>
    <t>台端</t>
    <phoneticPr fontId="2" type="noConversion"/>
  </si>
  <si>
    <t>哲固</t>
    <phoneticPr fontId="2" type="noConversion"/>
  </si>
  <si>
    <t>榮創</t>
    <phoneticPr fontId="2" type="noConversion"/>
  </si>
  <si>
    <t>類比科</t>
    <phoneticPr fontId="2" type="noConversion"/>
  </si>
  <si>
    <t>聯一光</t>
    <phoneticPr fontId="2" type="noConversion"/>
  </si>
  <si>
    <t>創意</t>
    <phoneticPr fontId="2" type="noConversion"/>
  </si>
  <si>
    <t>利機</t>
    <phoneticPr fontId="2" type="noConversion"/>
  </si>
  <si>
    <t>展達</t>
    <phoneticPr fontId="2" type="noConversion"/>
  </si>
  <si>
    <t>聯鈞</t>
    <phoneticPr fontId="2" type="noConversion"/>
  </si>
  <si>
    <t>晶睿</t>
    <phoneticPr fontId="2" type="noConversion"/>
  </si>
  <si>
    <t>由田</t>
    <phoneticPr fontId="2" type="noConversion"/>
  </si>
  <si>
    <t>進泰電子</t>
    <phoneticPr fontId="2" type="noConversion"/>
  </si>
  <si>
    <t>德晉</t>
    <phoneticPr fontId="2" type="noConversion"/>
  </si>
  <si>
    <t>台灣精材</t>
    <phoneticPr fontId="2" type="noConversion"/>
  </si>
  <si>
    <t>安勤</t>
    <phoneticPr fontId="2" type="noConversion"/>
  </si>
  <si>
    <t>群創</t>
    <phoneticPr fontId="2" type="noConversion"/>
  </si>
  <si>
    <t>力致</t>
    <phoneticPr fontId="2" type="noConversion"/>
  </si>
  <si>
    <t>崧騰</t>
    <phoneticPr fontId="2" type="noConversion"/>
  </si>
  <si>
    <t>森寶</t>
    <phoneticPr fontId="2" type="noConversion"/>
  </si>
  <si>
    <t>單井</t>
    <phoneticPr fontId="2" type="noConversion"/>
  </si>
  <si>
    <t>昇達科</t>
    <phoneticPr fontId="2" type="noConversion"/>
  </si>
  <si>
    <t>長盛</t>
    <phoneticPr fontId="2" type="noConversion"/>
  </si>
  <si>
    <t>誠研</t>
    <phoneticPr fontId="2" type="noConversion"/>
  </si>
  <si>
    <t>陽程</t>
    <phoneticPr fontId="2" type="noConversion"/>
  </si>
  <si>
    <t>環天科</t>
    <phoneticPr fontId="2" type="noConversion"/>
  </si>
  <si>
    <t>維熹</t>
    <phoneticPr fontId="2" type="noConversion"/>
  </si>
  <si>
    <t>揚明光</t>
    <phoneticPr fontId="2" type="noConversion"/>
  </si>
  <si>
    <t>位速</t>
    <phoneticPr fontId="2" type="noConversion"/>
  </si>
  <si>
    <t>矽瑪</t>
    <phoneticPr fontId="2" type="noConversion"/>
  </si>
  <si>
    <t>皇龍</t>
    <phoneticPr fontId="2" type="noConversion"/>
  </si>
  <si>
    <t>華擎</t>
    <phoneticPr fontId="2" type="noConversion"/>
  </si>
  <si>
    <t>亞帝歐</t>
    <phoneticPr fontId="2" type="noConversion"/>
  </si>
  <si>
    <t>柏騰</t>
    <phoneticPr fontId="2" type="noConversion"/>
  </si>
  <si>
    <t>華盈</t>
    <phoneticPr fontId="2" type="noConversion"/>
  </si>
  <si>
    <t>台鋼建設</t>
    <phoneticPr fontId="2" type="noConversion"/>
  </si>
  <si>
    <t>御嵿</t>
    <phoneticPr fontId="2" type="noConversion"/>
  </si>
  <si>
    <t>迎輝</t>
    <phoneticPr fontId="2" type="noConversion"/>
  </si>
  <si>
    <t>凡甲</t>
    <phoneticPr fontId="2" type="noConversion"/>
  </si>
  <si>
    <t>聚積</t>
    <phoneticPr fontId="2" type="noConversion"/>
  </si>
  <si>
    <t>安馳</t>
    <phoneticPr fontId="2" type="noConversion"/>
  </si>
  <si>
    <t>力旺</t>
    <phoneticPr fontId="2" type="noConversion"/>
  </si>
  <si>
    <t>晶相光</t>
    <phoneticPr fontId="2" type="noConversion"/>
  </si>
  <si>
    <t>先益</t>
    <phoneticPr fontId="2" type="noConversion"/>
  </si>
  <si>
    <t>台勝科</t>
    <phoneticPr fontId="2" type="noConversion"/>
  </si>
  <si>
    <t>嘉澤</t>
    <phoneticPr fontId="2" type="noConversion"/>
  </si>
  <si>
    <t>晶彩科</t>
    <phoneticPr fontId="2" type="noConversion"/>
  </si>
  <si>
    <t>堡達</t>
    <phoneticPr fontId="2" type="noConversion"/>
  </si>
  <si>
    <t>曜越</t>
    <phoneticPr fontId="2" type="noConversion"/>
  </si>
  <si>
    <t>西柏</t>
    <phoneticPr fontId="2" type="noConversion"/>
  </si>
  <si>
    <t>州巧</t>
    <phoneticPr fontId="2" type="noConversion"/>
  </si>
  <si>
    <t>敦泰</t>
    <phoneticPr fontId="2" type="noConversion"/>
  </si>
  <si>
    <t>宇峻</t>
    <phoneticPr fontId="2" type="noConversion"/>
  </si>
  <si>
    <t>兆利</t>
    <phoneticPr fontId="2" type="noConversion"/>
  </si>
  <si>
    <t>聯穎</t>
    <phoneticPr fontId="2" type="noConversion"/>
  </si>
  <si>
    <t>世禾</t>
    <phoneticPr fontId="2" type="noConversion"/>
  </si>
  <si>
    <t>同致</t>
    <phoneticPr fontId="2" type="noConversion"/>
  </si>
  <si>
    <t>博士旺</t>
    <phoneticPr fontId="2" type="noConversion"/>
  </si>
  <si>
    <t>禾瑞亞</t>
    <phoneticPr fontId="2" type="noConversion"/>
  </si>
  <si>
    <t>嘉威</t>
    <phoneticPr fontId="2" type="noConversion"/>
  </si>
  <si>
    <t>神準</t>
    <phoneticPr fontId="2" type="noConversion"/>
  </si>
  <si>
    <t>牧德</t>
    <phoneticPr fontId="2" type="noConversion"/>
  </si>
  <si>
    <t>其陽</t>
    <phoneticPr fontId="2" type="noConversion"/>
  </si>
  <si>
    <t>逸昌</t>
    <phoneticPr fontId="2" type="noConversion"/>
  </si>
  <si>
    <t>大塚</t>
    <phoneticPr fontId="2" type="noConversion"/>
  </si>
  <si>
    <t>聯合再生</t>
    <phoneticPr fontId="2" type="noConversion"/>
  </si>
  <si>
    <t>泓格</t>
    <phoneticPr fontId="2" type="noConversion"/>
  </si>
  <si>
    <t>友威科</t>
    <phoneticPr fontId="2" type="noConversion"/>
  </si>
  <si>
    <t>博磊</t>
    <phoneticPr fontId="2" type="noConversion"/>
  </si>
  <si>
    <t>辛耘</t>
    <phoneticPr fontId="2" type="noConversion"/>
  </si>
  <si>
    <t>閎康</t>
    <phoneticPr fontId="2" type="noConversion"/>
  </si>
  <si>
    <t>通嘉</t>
    <phoneticPr fontId="2" type="noConversion"/>
  </si>
  <si>
    <t>艾笛森</t>
    <phoneticPr fontId="2" type="noConversion"/>
  </si>
  <si>
    <t>瑞鼎</t>
    <phoneticPr fontId="2" type="noConversion"/>
  </si>
  <si>
    <t>力銘</t>
    <phoneticPr fontId="2" type="noConversion"/>
  </si>
  <si>
    <t>磐儀</t>
    <phoneticPr fontId="2" type="noConversion"/>
  </si>
  <si>
    <t>智易</t>
    <phoneticPr fontId="2" type="noConversion"/>
  </si>
  <si>
    <t>映興</t>
    <phoneticPr fontId="2" type="noConversion"/>
  </si>
  <si>
    <t>宏致</t>
    <phoneticPr fontId="2" type="noConversion"/>
  </si>
  <si>
    <t>谷崧</t>
    <phoneticPr fontId="2" type="noConversion"/>
  </si>
  <si>
    <t>三一東林</t>
    <phoneticPr fontId="2" type="noConversion"/>
  </si>
  <si>
    <t>鼎翰</t>
    <phoneticPr fontId="2" type="noConversion"/>
  </si>
  <si>
    <t>安可</t>
    <phoneticPr fontId="2" type="noConversion"/>
  </si>
  <si>
    <t>碩天</t>
    <phoneticPr fontId="2" type="noConversion"/>
  </si>
  <si>
    <t>洋華</t>
    <phoneticPr fontId="2" type="noConversion"/>
  </si>
  <si>
    <t>富晶通</t>
    <phoneticPr fontId="2" type="noConversion"/>
  </si>
  <si>
    <t>光頡</t>
    <phoneticPr fontId="2" type="noConversion"/>
  </si>
  <si>
    <t>西勝</t>
    <phoneticPr fontId="2" type="noConversion"/>
  </si>
  <si>
    <t>盈正</t>
    <phoneticPr fontId="2" type="noConversion"/>
  </si>
  <si>
    <t>地心引力</t>
    <phoneticPr fontId="2" type="noConversion"/>
  </si>
  <si>
    <t>新鉅科</t>
    <phoneticPr fontId="2" type="noConversion"/>
  </si>
  <si>
    <t>晟楠</t>
    <phoneticPr fontId="2" type="noConversion"/>
  </si>
  <si>
    <t>研勤</t>
    <phoneticPr fontId="2" type="noConversion"/>
  </si>
  <si>
    <t>達邁</t>
    <phoneticPr fontId="2" type="noConversion"/>
  </si>
  <si>
    <t>艾恩特</t>
    <phoneticPr fontId="2" type="noConversion"/>
  </si>
  <si>
    <t>精聯</t>
    <phoneticPr fontId="2" type="noConversion"/>
  </si>
  <si>
    <t>健策</t>
    <phoneticPr fontId="2" type="noConversion"/>
  </si>
  <si>
    <t>世芯-KY</t>
    <phoneticPr fontId="2" type="noConversion"/>
  </si>
  <si>
    <t>鑫科</t>
    <phoneticPr fontId="2" type="noConversion"/>
  </si>
  <si>
    <t>安瑞-KY</t>
    <phoneticPr fontId="2" type="noConversion"/>
  </si>
  <si>
    <t>貿聯-KY</t>
    <phoneticPr fontId="2" type="noConversion"/>
  </si>
  <si>
    <t>光耀</t>
    <phoneticPr fontId="2" type="noConversion"/>
  </si>
  <si>
    <t>圓展</t>
    <phoneticPr fontId="2" type="noConversion"/>
  </si>
  <si>
    <t>康聯訊</t>
    <phoneticPr fontId="2" type="noConversion"/>
  </si>
  <si>
    <t>TPK-KY</t>
    <phoneticPr fontId="2" type="noConversion"/>
  </si>
  <si>
    <t>德微</t>
    <phoneticPr fontId="2" type="noConversion"/>
  </si>
  <si>
    <t>新至陞</t>
    <phoneticPr fontId="2" type="noConversion"/>
  </si>
  <si>
    <t>家登</t>
    <phoneticPr fontId="2" type="noConversion"/>
  </si>
  <si>
    <t>榮昌</t>
    <phoneticPr fontId="2" type="noConversion"/>
  </si>
  <si>
    <t>元創精密</t>
    <phoneticPr fontId="2" type="noConversion"/>
  </si>
  <si>
    <t>達能</t>
    <phoneticPr fontId="2" type="noConversion"/>
  </si>
  <si>
    <t>歐買尬</t>
    <phoneticPr fontId="2" type="noConversion"/>
  </si>
  <si>
    <t>湧德</t>
    <phoneticPr fontId="2" type="noConversion"/>
  </si>
  <si>
    <t>碩禾</t>
    <phoneticPr fontId="2" type="noConversion"/>
  </si>
  <si>
    <t>營邦</t>
    <phoneticPr fontId="2" type="noConversion"/>
  </si>
  <si>
    <t>海華</t>
    <phoneticPr fontId="2" type="noConversion"/>
  </si>
  <si>
    <t>大眾控</t>
    <phoneticPr fontId="2" type="noConversion"/>
  </si>
  <si>
    <t>大聯大</t>
    <phoneticPr fontId="2" type="noConversion"/>
  </si>
  <si>
    <t>欣陸</t>
    <phoneticPr fontId="2" type="noConversion"/>
  </si>
  <si>
    <t>合勤控</t>
    <phoneticPr fontId="2" type="noConversion"/>
  </si>
  <si>
    <t>永信</t>
    <phoneticPr fontId="2" type="noConversion"/>
  </si>
  <si>
    <t>神達</t>
    <phoneticPr fontId="2" type="noConversion"/>
  </si>
  <si>
    <t>漢磊</t>
    <phoneticPr fontId="2" type="noConversion"/>
  </si>
  <si>
    <t>上緯投控</t>
    <phoneticPr fontId="2" type="noConversion"/>
  </si>
  <si>
    <t>鑫聯大投控</t>
    <phoneticPr fontId="2" type="noConversion"/>
  </si>
  <si>
    <t>連展投控</t>
    <phoneticPr fontId="2" type="noConversion"/>
  </si>
  <si>
    <t>永崴投控</t>
    <phoneticPr fontId="2" type="noConversion"/>
  </si>
  <si>
    <t>新晶投控</t>
    <phoneticPr fontId="2" type="noConversion"/>
  </si>
  <si>
    <t>富采</t>
    <phoneticPr fontId="2" type="noConversion"/>
  </si>
  <si>
    <t>定穎投控</t>
    <phoneticPr fontId="2" type="noConversion"/>
  </si>
  <si>
    <t>中化控股</t>
    <phoneticPr fontId="2" type="noConversion"/>
  </si>
  <si>
    <t>聯嘉投控</t>
    <phoneticPr fontId="2" type="noConversion"/>
  </si>
  <si>
    <t>永日</t>
    <phoneticPr fontId="2" type="noConversion"/>
  </si>
  <si>
    <t>佳醫</t>
    <phoneticPr fontId="2" type="noConversion"/>
  </si>
  <si>
    <t>東洋</t>
    <phoneticPr fontId="2" type="noConversion"/>
  </si>
  <si>
    <t>雃博</t>
    <phoneticPr fontId="2" type="noConversion"/>
  </si>
  <si>
    <t>邦特</t>
    <phoneticPr fontId="2" type="noConversion"/>
  </si>
  <si>
    <t>懷特</t>
    <phoneticPr fontId="2" type="noConversion"/>
  </si>
  <si>
    <t>加捷生醫</t>
    <phoneticPr fontId="2" type="noConversion"/>
  </si>
  <si>
    <t>濟生</t>
    <phoneticPr fontId="2" type="noConversion"/>
  </si>
  <si>
    <t>聯上</t>
    <phoneticPr fontId="2" type="noConversion"/>
  </si>
  <si>
    <t>健喬</t>
    <phoneticPr fontId="2" type="noConversion"/>
  </si>
  <si>
    <t>明基醫</t>
    <phoneticPr fontId="2" type="noConversion"/>
  </si>
  <si>
    <t>旭富</t>
    <phoneticPr fontId="2" type="noConversion"/>
  </si>
  <si>
    <t>友華</t>
    <phoneticPr fontId="2" type="noConversion"/>
  </si>
  <si>
    <t>優盛</t>
    <phoneticPr fontId="2" type="noConversion"/>
  </si>
  <si>
    <t>晟德</t>
    <phoneticPr fontId="2" type="noConversion"/>
  </si>
  <si>
    <t>太醫</t>
    <phoneticPr fontId="2" type="noConversion"/>
  </si>
  <si>
    <t>天良</t>
    <phoneticPr fontId="2" type="noConversion"/>
  </si>
  <si>
    <t>中天</t>
    <phoneticPr fontId="2" type="noConversion"/>
  </si>
  <si>
    <t>聯合</t>
    <phoneticPr fontId="2" type="noConversion"/>
  </si>
  <si>
    <t>健亞</t>
    <phoneticPr fontId="2" type="noConversion"/>
  </si>
  <si>
    <t>浩泰</t>
    <phoneticPr fontId="2" type="noConversion"/>
  </si>
  <si>
    <t>亞諾法</t>
    <phoneticPr fontId="2" type="noConversion"/>
  </si>
  <si>
    <t>麗豐-KY</t>
    <phoneticPr fontId="2" type="noConversion"/>
  </si>
  <si>
    <t>曜亞</t>
    <phoneticPr fontId="2" type="noConversion"/>
  </si>
  <si>
    <t>馬光-KY</t>
    <phoneticPr fontId="2" type="noConversion"/>
  </si>
  <si>
    <t>國光生</t>
    <phoneticPr fontId="2" type="noConversion"/>
  </si>
  <si>
    <t>中裕</t>
    <phoneticPr fontId="2" type="noConversion"/>
  </si>
  <si>
    <t>全宇生技-KY</t>
    <phoneticPr fontId="2" type="noConversion"/>
  </si>
  <si>
    <t>鈺緯</t>
    <phoneticPr fontId="2" type="noConversion"/>
  </si>
  <si>
    <t>樂威科-KY</t>
    <phoneticPr fontId="2" type="noConversion"/>
  </si>
  <si>
    <t>訊映</t>
    <phoneticPr fontId="2" type="noConversion"/>
  </si>
  <si>
    <t>太景*-KY</t>
    <phoneticPr fontId="2" type="noConversion"/>
  </si>
  <si>
    <t>訊聯基因</t>
    <phoneticPr fontId="2" type="noConversion"/>
  </si>
  <si>
    <t>聿新科</t>
    <phoneticPr fontId="2" type="noConversion"/>
  </si>
  <si>
    <t>智擎</t>
    <phoneticPr fontId="2" type="noConversion"/>
  </si>
  <si>
    <t>鐿鈦</t>
    <phoneticPr fontId="2" type="noConversion"/>
  </si>
  <si>
    <t>承業醫</t>
    <phoneticPr fontId="2" type="noConversion"/>
  </si>
  <si>
    <t>友霖</t>
    <phoneticPr fontId="2" type="noConversion"/>
  </si>
  <si>
    <t>松瑞藥</t>
    <phoneticPr fontId="2" type="noConversion"/>
  </si>
  <si>
    <t>醣聯</t>
    <phoneticPr fontId="2" type="noConversion"/>
  </si>
  <si>
    <t>瑞基</t>
    <phoneticPr fontId="2" type="noConversion"/>
  </si>
  <si>
    <t>久裕</t>
    <phoneticPr fontId="2" type="noConversion"/>
  </si>
  <si>
    <t>浩鼎</t>
    <phoneticPr fontId="2" type="noConversion"/>
  </si>
  <si>
    <t>杏一</t>
    <phoneticPr fontId="2" type="noConversion"/>
  </si>
  <si>
    <t>福永生技</t>
    <phoneticPr fontId="2" type="noConversion"/>
  </si>
  <si>
    <t>安克</t>
    <phoneticPr fontId="2" type="noConversion"/>
  </si>
  <si>
    <t>佐登-KY</t>
    <phoneticPr fontId="2" type="noConversion"/>
  </si>
  <si>
    <t>杏國</t>
    <phoneticPr fontId="2" type="noConversion"/>
  </si>
  <si>
    <t>欣大健康</t>
    <phoneticPr fontId="2" type="noConversion"/>
  </si>
  <si>
    <t>中華食</t>
    <phoneticPr fontId="2" type="noConversion"/>
  </si>
  <si>
    <t>環泰</t>
    <phoneticPr fontId="2" type="noConversion"/>
  </si>
  <si>
    <t>信立</t>
    <phoneticPr fontId="2" type="noConversion"/>
  </si>
  <si>
    <t>勝昱</t>
    <phoneticPr fontId="2" type="noConversion"/>
  </si>
  <si>
    <t>世坤</t>
    <phoneticPr fontId="2" type="noConversion"/>
  </si>
  <si>
    <t>炎洲</t>
    <phoneticPr fontId="2" type="noConversion"/>
  </si>
  <si>
    <t>東隆興</t>
    <phoneticPr fontId="2" type="noConversion"/>
  </si>
  <si>
    <t>郡都開發</t>
    <phoneticPr fontId="2" type="noConversion"/>
  </si>
  <si>
    <t>新昕纖</t>
    <phoneticPr fontId="2" type="noConversion"/>
  </si>
  <si>
    <t>飛寶企業</t>
    <phoneticPr fontId="2" type="noConversion"/>
  </si>
  <si>
    <t>如興</t>
    <phoneticPr fontId="2" type="noConversion"/>
  </si>
  <si>
    <t>三圓</t>
    <phoneticPr fontId="2" type="noConversion"/>
  </si>
  <si>
    <t>金洲</t>
    <phoneticPr fontId="2" type="noConversion"/>
  </si>
  <si>
    <t>皇家美食</t>
    <phoneticPr fontId="2" type="noConversion"/>
  </si>
  <si>
    <t>光明</t>
    <phoneticPr fontId="2" type="noConversion"/>
  </si>
  <si>
    <t>利勤</t>
    <phoneticPr fontId="2" type="noConversion"/>
  </si>
  <si>
    <t>耀億</t>
    <phoneticPr fontId="2" type="noConversion"/>
  </si>
  <si>
    <t>銘旺實</t>
    <phoneticPr fontId="2" type="noConversion"/>
  </si>
  <si>
    <t>興采</t>
    <phoneticPr fontId="2" type="noConversion"/>
  </si>
  <si>
    <t>廣越</t>
    <phoneticPr fontId="2" type="noConversion"/>
  </si>
  <si>
    <t>冠星-KY</t>
    <phoneticPr fontId="2" type="noConversion"/>
  </si>
  <si>
    <t>宜新實業</t>
    <phoneticPr fontId="2" type="noConversion"/>
  </si>
  <si>
    <t>振大環球</t>
    <phoneticPr fontId="2" type="noConversion"/>
  </si>
  <si>
    <t>竣邦-KY</t>
    <phoneticPr fontId="2" type="noConversion"/>
  </si>
  <si>
    <t>健信</t>
    <phoneticPr fontId="2" type="noConversion"/>
  </si>
  <si>
    <t>金雨</t>
    <phoneticPr fontId="2" type="noConversion"/>
  </si>
  <si>
    <t>崇友</t>
    <phoneticPr fontId="2" type="noConversion"/>
  </si>
  <si>
    <t>高鋒</t>
    <phoneticPr fontId="2" type="noConversion"/>
  </si>
  <si>
    <t>福裕</t>
    <phoneticPr fontId="2" type="noConversion"/>
  </si>
  <si>
    <t>永彰</t>
    <phoneticPr fontId="2" type="noConversion"/>
  </si>
  <si>
    <t>東台</t>
    <phoneticPr fontId="2" type="noConversion"/>
  </si>
  <si>
    <t>方土霖</t>
    <phoneticPr fontId="2" type="noConversion"/>
  </si>
  <si>
    <t>江興鍛</t>
    <phoneticPr fontId="2" type="noConversion"/>
  </si>
  <si>
    <t>淳紳</t>
    <phoneticPr fontId="2" type="noConversion"/>
  </si>
  <si>
    <t>宏易</t>
    <phoneticPr fontId="2" type="noConversion"/>
  </si>
  <si>
    <t>瑞智</t>
    <phoneticPr fontId="2" type="noConversion"/>
  </si>
  <si>
    <t>協易機</t>
    <phoneticPr fontId="2" type="noConversion"/>
  </si>
  <si>
    <t>慶騰</t>
    <phoneticPr fontId="2" type="noConversion"/>
  </si>
  <si>
    <t>至興</t>
    <phoneticPr fontId="2" type="noConversion"/>
  </si>
  <si>
    <t>拓凱</t>
    <phoneticPr fontId="2" type="noConversion"/>
  </si>
  <si>
    <t>大詠城</t>
    <phoneticPr fontId="2" type="noConversion"/>
  </si>
  <si>
    <t>全球傳動</t>
    <phoneticPr fontId="2" type="noConversion"/>
  </si>
  <si>
    <t>晟田</t>
    <phoneticPr fontId="2" type="noConversion"/>
  </si>
  <si>
    <t>科嶠</t>
    <phoneticPr fontId="2" type="noConversion"/>
  </si>
  <si>
    <t>萬在</t>
    <phoneticPr fontId="2" type="noConversion"/>
  </si>
  <si>
    <t>銘鈺</t>
    <phoneticPr fontId="2" type="noConversion"/>
  </si>
  <si>
    <t>桓達</t>
    <phoneticPr fontId="2" type="noConversion"/>
  </si>
  <si>
    <t>長佳</t>
    <phoneticPr fontId="2" type="noConversion"/>
  </si>
  <si>
    <t>智伸科</t>
    <phoneticPr fontId="2" type="noConversion"/>
  </si>
  <si>
    <t>力達-KY</t>
    <phoneticPr fontId="2" type="noConversion"/>
  </si>
  <si>
    <t>橙的</t>
    <phoneticPr fontId="2" type="noConversion"/>
  </si>
  <si>
    <t>氣立</t>
    <phoneticPr fontId="2" type="noConversion"/>
  </si>
  <si>
    <t>旭然</t>
    <phoneticPr fontId="2" type="noConversion"/>
  </si>
  <si>
    <t>永新-KY</t>
    <phoneticPr fontId="2" type="noConversion"/>
  </si>
  <si>
    <t>寶緯</t>
    <phoneticPr fontId="2" type="noConversion"/>
  </si>
  <si>
    <t>強信-KY</t>
    <phoneticPr fontId="2" type="noConversion"/>
  </si>
  <si>
    <t>健椿</t>
    <phoneticPr fontId="2" type="noConversion"/>
  </si>
  <si>
    <t>穎漢</t>
    <phoneticPr fontId="2" type="noConversion"/>
  </si>
  <si>
    <t>百德</t>
    <phoneticPr fontId="2" type="noConversion"/>
  </si>
  <si>
    <t>元翎</t>
    <phoneticPr fontId="2" type="noConversion"/>
  </si>
  <si>
    <t>時碩工業</t>
    <phoneticPr fontId="2" type="noConversion"/>
  </si>
  <si>
    <t>科際精密</t>
    <phoneticPr fontId="2" type="noConversion"/>
  </si>
  <si>
    <t>六方科-KY</t>
    <phoneticPr fontId="2" type="noConversion"/>
  </si>
  <si>
    <t>鈞興-KY</t>
    <phoneticPr fontId="2" type="noConversion"/>
  </si>
  <si>
    <t>駐龍</t>
    <phoneticPr fontId="2" type="noConversion"/>
  </si>
  <si>
    <t>大銀微系統</t>
    <phoneticPr fontId="2" type="noConversion"/>
  </si>
  <si>
    <t>達航科技</t>
    <phoneticPr fontId="2" type="noConversion"/>
  </si>
  <si>
    <t>捷流閥業</t>
    <phoneticPr fontId="2" type="noConversion"/>
  </si>
  <si>
    <t>光隆精密-KY</t>
    <phoneticPr fontId="2" type="noConversion"/>
  </si>
  <si>
    <t>台灣精銳</t>
    <phoneticPr fontId="2" type="noConversion"/>
  </si>
  <si>
    <t>君帆</t>
    <phoneticPr fontId="2" type="noConversion"/>
  </si>
  <si>
    <t>達明</t>
    <phoneticPr fontId="2" type="noConversion"/>
  </si>
  <si>
    <t>玖鼎電力</t>
    <phoneticPr fontId="2" type="noConversion"/>
  </si>
  <si>
    <t>富田-創</t>
    <phoneticPr fontId="2" type="noConversion"/>
  </si>
  <si>
    <t>唐鋒</t>
    <phoneticPr fontId="2" type="noConversion"/>
  </si>
  <si>
    <t>中美實</t>
    <phoneticPr fontId="2" type="noConversion"/>
  </si>
  <si>
    <t>大恭</t>
    <phoneticPr fontId="2" type="noConversion"/>
  </si>
  <si>
    <t>磐亞</t>
    <phoneticPr fontId="2" type="noConversion"/>
  </si>
  <si>
    <t>永純</t>
    <phoneticPr fontId="2" type="noConversion"/>
  </si>
  <si>
    <t>永捷</t>
    <phoneticPr fontId="2" type="noConversion"/>
  </si>
  <si>
    <t>大立</t>
    <phoneticPr fontId="2" type="noConversion"/>
  </si>
  <si>
    <t>德淵</t>
    <phoneticPr fontId="2" type="noConversion"/>
  </si>
  <si>
    <t>美琪瑪</t>
    <phoneticPr fontId="2" type="noConversion"/>
  </si>
  <si>
    <t>國精化</t>
    <phoneticPr fontId="2" type="noConversion"/>
  </si>
  <si>
    <t>永昕</t>
    <phoneticPr fontId="2" type="noConversion"/>
  </si>
  <si>
    <t>雙美</t>
    <phoneticPr fontId="2" type="noConversion"/>
  </si>
  <si>
    <t>熒茂</t>
    <phoneticPr fontId="2" type="noConversion"/>
  </si>
  <si>
    <t>豪展</t>
    <phoneticPr fontId="2" type="noConversion"/>
  </si>
  <si>
    <t>泰博</t>
    <phoneticPr fontId="2" type="noConversion"/>
  </si>
  <si>
    <t>華廣</t>
    <phoneticPr fontId="2" type="noConversion"/>
  </si>
  <si>
    <t>康普</t>
    <phoneticPr fontId="2" type="noConversion"/>
  </si>
  <si>
    <t>泓瀚</t>
    <phoneticPr fontId="2" type="noConversion"/>
  </si>
  <si>
    <t>合一</t>
    <phoneticPr fontId="2" type="noConversion"/>
  </si>
  <si>
    <t>皇將</t>
    <phoneticPr fontId="2" type="noConversion"/>
  </si>
  <si>
    <t>合富-KY</t>
    <phoneticPr fontId="2" type="noConversion"/>
  </si>
  <si>
    <t>台耀</t>
    <phoneticPr fontId="2" type="noConversion"/>
  </si>
  <si>
    <t>強生</t>
    <phoneticPr fontId="2" type="noConversion"/>
  </si>
  <si>
    <t>新應材</t>
    <phoneticPr fontId="2" type="noConversion"/>
  </si>
  <si>
    <t>國碳科</t>
    <phoneticPr fontId="2" type="noConversion"/>
  </si>
  <si>
    <t>三福化</t>
    <phoneticPr fontId="2" type="noConversion"/>
  </si>
  <si>
    <t>勤凱</t>
    <phoneticPr fontId="2" type="noConversion"/>
  </si>
  <si>
    <t>材料*-KY</t>
    <phoneticPr fontId="2" type="noConversion"/>
  </si>
  <si>
    <t>雙鍵</t>
    <phoneticPr fontId="2" type="noConversion"/>
  </si>
  <si>
    <t>南寶</t>
    <phoneticPr fontId="2" type="noConversion"/>
  </si>
  <si>
    <t>誠泰科技</t>
    <phoneticPr fontId="2" type="noConversion"/>
  </si>
  <si>
    <t>晶呈科技</t>
    <phoneticPr fontId="2" type="noConversion"/>
  </si>
  <si>
    <t>上品</t>
    <phoneticPr fontId="2" type="noConversion"/>
  </si>
  <si>
    <t>望隼</t>
    <phoneticPr fontId="2" type="noConversion"/>
  </si>
  <si>
    <t>台特化</t>
    <phoneticPr fontId="2" type="noConversion"/>
  </si>
  <si>
    <t>大略-KY</t>
    <phoneticPr fontId="2" type="noConversion"/>
  </si>
  <si>
    <t>桂田文創</t>
    <phoneticPr fontId="2" type="noConversion"/>
  </si>
  <si>
    <t>日成-KY</t>
    <phoneticPr fontId="2" type="noConversion"/>
  </si>
  <si>
    <t>聯光通</t>
    <phoneticPr fontId="2" type="noConversion"/>
  </si>
  <si>
    <t>遠傳</t>
    <phoneticPr fontId="2" type="noConversion"/>
  </si>
  <si>
    <t>台聯電</t>
    <phoneticPr fontId="2" type="noConversion"/>
  </si>
  <si>
    <t>正文</t>
    <phoneticPr fontId="2" type="noConversion"/>
  </si>
  <si>
    <t>富宇</t>
    <phoneticPr fontId="2" type="noConversion"/>
  </si>
  <si>
    <t>前鼎</t>
    <phoneticPr fontId="2" type="noConversion"/>
  </si>
  <si>
    <t>新復興</t>
    <phoneticPr fontId="2" type="noConversion"/>
  </si>
  <si>
    <t>德英</t>
    <phoneticPr fontId="2" type="noConversion"/>
  </si>
  <si>
    <t>聯德控股-KY</t>
    <phoneticPr fontId="2" type="noConversion"/>
  </si>
  <si>
    <t>致伸</t>
    <phoneticPr fontId="2" type="noConversion"/>
  </si>
  <si>
    <t>事欣科</t>
    <phoneticPr fontId="2" type="noConversion"/>
  </si>
  <si>
    <t>新唐</t>
    <phoneticPr fontId="2" type="noConversion"/>
  </si>
  <si>
    <t>力士</t>
    <phoneticPr fontId="2" type="noConversion"/>
  </si>
  <si>
    <t>欣厚-KY</t>
    <phoneticPr fontId="2" type="noConversion"/>
  </si>
  <si>
    <t>泰鼎-KY</t>
    <phoneticPr fontId="2" type="noConversion"/>
  </si>
  <si>
    <t>燦星網</t>
    <phoneticPr fontId="2" type="noConversion"/>
  </si>
  <si>
    <t>新盛力</t>
    <phoneticPr fontId="2" type="noConversion"/>
  </si>
  <si>
    <t>友輝</t>
    <phoneticPr fontId="2" type="noConversion"/>
  </si>
  <si>
    <t>太極</t>
    <phoneticPr fontId="2" type="noConversion"/>
  </si>
  <si>
    <t>茂林-KY</t>
    <phoneticPr fontId="2" type="noConversion"/>
  </si>
  <si>
    <t>和碩</t>
    <phoneticPr fontId="2" type="noConversion"/>
  </si>
  <si>
    <t>亞電</t>
    <phoneticPr fontId="2" type="noConversion"/>
  </si>
  <si>
    <t>嘉彰</t>
    <phoneticPr fontId="2" type="noConversion"/>
  </si>
  <si>
    <t>康控-KY</t>
    <phoneticPr fontId="2" type="noConversion"/>
  </si>
  <si>
    <t>辣椒</t>
    <phoneticPr fontId="2" type="noConversion"/>
  </si>
  <si>
    <t>有成精密</t>
    <phoneticPr fontId="2" type="noConversion"/>
  </si>
  <si>
    <t>金耘國際</t>
    <phoneticPr fontId="2" type="noConversion"/>
  </si>
  <si>
    <t>精拓科</t>
    <phoneticPr fontId="2" type="noConversion"/>
  </si>
  <si>
    <t>凌通</t>
    <phoneticPr fontId="2" type="noConversion"/>
  </si>
  <si>
    <t>緯軟</t>
    <phoneticPr fontId="2" type="noConversion"/>
  </si>
  <si>
    <t>光鋐</t>
    <phoneticPr fontId="2" type="noConversion"/>
  </si>
  <si>
    <t>臻鼎-KY</t>
    <phoneticPr fontId="2" type="noConversion"/>
  </si>
  <si>
    <t>誠美材</t>
    <phoneticPr fontId="2" type="noConversion"/>
  </si>
  <si>
    <t>天鈺</t>
    <phoneticPr fontId="2" type="noConversion"/>
  </si>
  <si>
    <t>譜瑞-KY</t>
    <phoneticPr fontId="2" type="noConversion"/>
  </si>
  <si>
    <t>十銓</t>
    <phoneticPr fontId="2" type="noConversion"/>
  </si>
  <si>
    <t>立積</t>
    <phoneticPr fontId="2" type="noConversion"/>
  </si>
  <si>
    <t>IET-KY</t>
    <phoneticPr fontId="2" type="noConversion"/>
  </si>
  <si>
    <t>湯石照明</t>
    <phoneticPr fontId="2" type="noConversion"/>
  </si>
  <si>
    <t>廣穎</t>
    <phoneticPr fontId="2" type="noConversion"/>
  </si>
  <si>
    <t>亞泰</t>
    <phoneticPr fontId="2" type="noConversion"/>
  </si>
  <si>
    <t>佳凌</t>
    <phoneticPr fontId="2" type="noConversion"/>
  </si>
  <si>
    <t>眾達-KY</t>
    <phoneticPr fontId="2" type="noConversion"/>
  </si>
  <si>
    <t>華星光</t>
    <phoneticPr fontId="2" type="noConversion"/>
  </si>
  <si>
    <t>科誠</t>
    <phoneticPr fontId="2" type="noConversion"/>
  </si>
  <si>
    <t>榮科</t>
    <phoneticPr fontId="2" type="noConversion"/>
  </si>
  <si>
    <t>環宇-KY</t>
    <phoneticPr fontId="2" type="noConversion"/>
  </si>
  <si>
    <t>傳奇</t>
    <phoneticPr fontId="2" type="noConversion"/>
  </si>
  <si>
    <t>晶達</t>
    <phoneticPr fontId="2" type="noConversion"/>
  </si>
  <si>
    <t>鑫禾</t>
    <phoneticPr fontId="2" type="noConversion"/>
  </si>
  <si>
    <t>三星</t>
    <phoneticPr fontId="2" type="noConversion"/>
  </si>
  <si>
    <t>榮剛</t>
    <phoneticPr fontId="2" type="noConversion"/>
  </si>
  <si>
    <t>久陽</t>
    <phoneticPr fontId="2" type="noConversion"/>
  </si>
  <si>
    <t>強新</t>
    <phoneticPr fontId="2" type="noConversion"/>
  </si>
  <si>
    <t>建錩</t>
    <phoneticPr fontId="2" type="noConversion"/>
  </si>
  <si>
    <t>華祺</t>
    <phoneticPr fontId="2" type="noConversion"/>
  </si>
  <si>
    <t>松和</t>
    <phoneticPr fontId="2" type="noConversion"/>
  </si>
  <si>
    <t>凱衛</t>
    <phoneticPr fontId="2" type="noConversion"/>
  </si>
  <si>
    <t>力新</t>
    <phoneticPr fontId="2" type="noConversion"/>
  </si>
  <si>
    <t>訊連</t>
    <phoneticPr fontId="2" type="noConversion"/>
  </si>
  <si>
    <t>中茂</t>
    <phoneticPr fontId="2" type="noConversion"/>
  </si>
  <si>
    <t>坤悅</t>
    <phoneticPr fontId="2" type="noConversion"/>
  </si>
  <si>
    <t>新鼎</t>
    <phoneticPr fontId="2" type="noConversion"/>
  </si>
  <si>
    <t>寶碩</t>
    <phoneticPr fontId="2" type="noConversion"/>
  </si>
  <si>
    <t>蒙恬</t>
    <phoneticPr fontId="2" type="noConversion"/>
  </si>
  <si>
    <t>凌網</t>
    <phoneticPr fontId="2" type="noConversion"/>
  </si>
  <si>
    <t>亞昕</t>
    <phoneticPr fontId="2" type="noConversion"/>
  </si>
  <si>
    <t>科嘉-KY</t>
    <phoneticPr fontId="2" type="noConversion"/>
  </si>
  <si>
    <t>萬達光電</t>
    <phoneticPr fontId="2" type="noConversion"/>
  </si>
  <si>
    <t>全訊</t>
    <phoneticPr fontId="2" type="noConversion"/>
  </si>
  <si>
    <t>安力-KY</t>
    <phoneticPr fontId="2" type="noConversion"/>
  </si>
  <si>
    <t>東科-KY</t>
    <phoneticPr fontId="2" type="noConversion"/>
  </si>
  <si>
    <t>立凱-KY</t>
    <phoneticPr fontId="2" type="noConversion"/>
  </si>
  <si>
    <t>鈺鎧</t>
    <phoneticPr fontId="2" type="noConversion"/>
  </si>
  <si>
    <t>雷笛克光學</t>
    <phoneticPr fontId="2" type="noConversion"/>
  </si>
  <si>
    <t>達興材料</t>
    <phoneticPr fontId="2" type="noConversion"/>
  </si>
  <si>
    <t>凌陽創新</t>
    <phoneticPr fontId="2" type="noConversion"/>
  </si>
  <si>
    <t>乙盛-KY</t>
    <phoneticPr fontId="2" type="noConversion"/>
  </si>
  <si>
    <t>弘凱</t>
    <phoneticPr fontId="2" type="noConversion"/>
  </si>
  <si>
    <t>智晶</t>
    <phoneticPr fontId="2" type="noConversion"/>
  </si>
  <si>
    <t>天鉞電</t>
    <phoneticPr fontId="2" type="noConversion"/>
  </si>
  <si>
    <t>虹堡</t>
    <phoneticPr fontId="2" type="noConversion"/>
  </si>
  <si>
    <t>智崴</t>
    <phoneticPr fontId="2" type="noConversion"/>
  </si>
  <si>
    <t>祥碩</t>
    <phoneticPr fontId="2" type="noConversion"/>
  </si>
  <si>
    <t>笙科</t>
    <phoneticPr fontId="2" type="noConversion"/>
  </si>
  <si>
    <t>信驊</t>
    <phoneticPr fontId="2" type="noConversion"/>
  </si>
  <si>
    <t>達輝-KY</t>
    <phoneticPr fontId="2" type="noConversion"/>
  </si>
  <si>
    <t>尚凡*</t>
    <phoneticPr fontId="2" type="noConversion"/>
  </si>
  <si>
    <t>禾聯碩</t>
    <phoneticPr fontId="2" type="noConversion"/>
  </si>
  <si>
    <t>jpp-KY</t>
    <phoneticPr fontId="2" type="noConversion"/>
  </si>
  <si>
    <t>界霖</t>
    <phoneticPr fontId="2" type="noConversion"/>
  </si>
  <si>
    <t>數字</t>
    <phoneticPr fontId="2" type="noConversion"/>
  </si>
  <si>
    <t>豐祥-KY</t>
    <phoneticPr fontId="2" type="noConversion"/>
  </si>
  <si>
    <t>宜鼎</t>
    <phoneticPr fontId="2" type="noConversion"/>
  </si>
  <si>
    <t>邑昇</t>
    <phoneticPr fontId="2" type="noConversion"/>
  </si>
  <si>
    <t>華懋</t>
    <phoneticPr fontId="2" type="noConversion"/>
  </si>
  <si>
    <t>杰力</t>
    <phoneticPr fontId="2" type="noConversion"/>
  </si>
  <si>
    <t>寶得利</t>
    <phoneticPr fontId="2" type="noConversion"/>
  </si>
  <si>
    <t>太欣</t>
    <phoneticPr fontId="2" type="noConversion"/>
  </si>
  <si>
    <t>桂盟</t>
    <phoneticPr fontId="2" type="noConversion"/>
  </si>
  <si>
    <t>系統電</t>
    <phoneticPr fontId="2" type="noConversion"/>
  </si>
  <si>
    <t>天剛</t>
    <phoneticPr fontId="2" type="noConversion"/>
  </si>
  <si>
    <t>寶島科</t>
    <phoneticPr fontId="2" type="noConversion"/>
  </si>
  <si>
    <t>世紀*</t>
    <phoneticPr fontId="2" type="noConversion"/>
  </si>
  <si>
    <t>光聯</t>
    <phoneticPr fontId="2" type="noConversion"/>
  </si>
  <si>
    <t>美而快</t>
    <phoneticPr fontId="2" type="noConversion"/>
  </si>
  <si>
    <t>士開</t>
    <phoneticPr fontId="2" type="noConversion"/>
  </si>
  <si>
    <t>華容</t>
    <phoneticPr fontId="2" type="noConversion"/>
  </si>
  <si>
    <t>建榮</t>
    <phoneticPr fontId="2" type="noConversion"/>
  </si>
  <si>
    <t>立衛</t>
    <phoneticPr fontId="2" type="noConversion"/>
  </si>
  <si>
    <t>馥鴻</t>
    <phoneticPr fontId="2" type="noConversion"/>
  </si>
  <si>
    <t>世界</t>
    <phoneticPr fontId="2" type="noConversion"/>
  </si>
  <si>
    <t>正能量智能</t>
    <phoneticPr fontId="2" type="noConversion"/>
  </si>
  <si>
    <t>鈺創</t>
    <phoneticPr fontId="2" type="noConversion"/>
  </si>
  <si>
    <t>台林</t>
    <phoneticPr fontId="2" type="noConversion"/>
  </si>
  <si>
    <t>佳總</t>
    <phoneticPr fontId="2" type="noConversion"/>
  </si>
  <si>
    <t>協益</t>
    <phoneticPr fontId="2" type="noConversion"/>
  </si>
  <si>
    <t>力麗店</t>
    <phoneticPr fontId="2" type="noConversion"/>
  </si>
  <si>
    <t>中光電</t>
    <phoneticPr fontId="2" type="noConversion"/>
  </si>
  <si>
    <t>合正</t>
    <phoneticPr fontId="2" type="noConversion"/>
  </si>
  <si>
    <t>青雲</t>
    <phoneticPr fontId="2" type="noConversion"/>
  </si>
  <si>
    <t>中磊</t>
    <phoneticPr fontId="2" type="noConversion"/>
  </si>
  <si>
    <t>能率</t>
    <phoneticPr fontId="2" type="noConversion"/>
  </si>
  <si>
    <t>慕康生醫</t>
    <phoneticPr fontId="2" type="noConversion"/>
  </si>
  <si>
    <t>中菲</t>
    <phoneticPr fontId="2" type="noConversion"/>
  </si>
  <si>
    <t>國眾</t>
    <phoneticPr fontId="2" type="noConversion"/>
  </si>
  <si>
    <t>台半</t>
    <phoneticPr fontId="2" type="noConversion"/>
  </si>
  <si>
    <t>振發</t>
    <phoneticPr fontId="2" type="noConversion"/>
  </si>
  <si>
    <t>新門</t>
    <phoneticPr fontId="2" type="noConversion"/>
  </si>
  <si>
    <t>崇越</t>
    <phoneticPr fontId="2" type="noConversion"/>
  </si>
  <si>
    <t>東友</t>
    <phoneticPr fontId="2" type="noConversion"/>
  </si>
  <si>
    <t>高技</t>
    <phoneticPr fontId="2" type="noConversion"/>
  </si>
  <si>
    <t>均豪</t>
    <phoneticPr fontId="2" type="noConversion"/>
  </si>
  <si>
    <t>南良</t>
    <phoneticPr fontId="2" type="noConversion"/>
  </si>
  <si>
    <t>佶優</t>
    <phoneticPr fontId="2" type="noConversion"/>
  </si>
  <si>
    <t>昇益</t>
    <phoneticPr fontId="2" type="noConversion"/>
  </si>
  <si>
    <t>宣德</t>
    <phoneticPr fontId="2" type="noConversion"/>
  </si>
  <si>
    <t>同協</t>
    <phoneticPr fontId="2" type="noConversion"/>
  </si>
  <si>
    <t>霖宏</t>
    <phoneticPr fontId="2" type="noConversion"/>
  </si>
  <si>
    <t>富驊</t>
    <phoneticPr fontId="2" type="noConversion"/>
  </si>
  <si>
    <t>凱鈺</t>
    <phoneticPr fontId="2" type="noConversion"/>
  </si>
  <si>
    <t>瀚宇博</t>
    <phoneticPr fontId="2" type="noConversion"/>
  </si>
  <si>
    <t>松翰</t>
    <phoneticPr fontId="2" type="noConversion"/>
  </si>
  <si>
    <t>聰泰</t>
    <phoneticPr fontId="2" type="noConversion"/>
  </si>
  <si>
    <t>德宏</t>
    <phoneticPr fontId="2" type="noConversion"/>
  </si>
  <si>
    <t>智冠</t>
    <phoneticPr fontId="2" type="noConversion"/>
  </si>
  <si>
    <t>新華</t>
    <phoneticPr fontId="2" type="noConversion"/>
  </si>
  <si>
    <t>中美晶</t>
    <phoneticPr fontId="2" type="noConversion"/>
  </si>
  <si>
    <t>慧友</t>
    <phoneticPr fontId="2" type="noConversion"/>
  </si>
  <si>
    <t>通泰</t>
    <phoneticPr fontId="2" type="noConversion"/>
  </si>
  <si>
    <t>松普</t>
    <phoneticPr fontId="2" type="noConversion"/>
  </si>
  <si>
    <t>彩富</t>
    <phoneticPr fontId="2" type="noConversion"/>
  </si>
  <si>
    <t>同亨</t>
    <phoneticPr fontId="2" type="noConversion"/>
  </si>
  <si>
    <t>三聯</t>
    <phoneticPr fontId="2" type="noConversion"/>
  </si>
  <si>
    <t>凱崴</t>
    <phoneticPr fontId="2" type="noConversion"/>
  </si>
  <si>
    <t>永信建</t>
    <phoneticPr fontId="2" type="noConversion"/>
  </si>
  <si>
    <t>德昌</t>
    <phoneticPr fontId="2" type="noConversion"/>
  </si>
  <si>
    <t>力麒</t>
    <phoneticPr fontId="2" type="noConversion"/>
  </si>
  <si>
    <t>三豐</t>
    <phoneticPr fontId="2" type="noConversion"/>
  </si>
  <si>
    <t>建國</t>
    <phoneticPr fontId="2" type="noConversion"/>
  </si>
  <si>
    <t>雙喜</t>
    <phoneticPr fontId="2" type="noConversion"/>
  </si>
  <si>
    <t>隆大</t>
    <phoneticPr fontId="2" type="noConversion"/>
  </si>
  <si>
    <t>力泰</t>
    <phoneticPr fontId="2" type="noConversion"/>
  </si>
  <si>
    <t>工信</t>
    <phoneticPr fontId="2" type="noConversion"/>
  </si>
  <si>
    <t>遠雄</t>
    <phoneticPr fontId="2" type="noConversion"/>
  </si>
  <si>
    <t>豐謙</t>
    <phoneticPr fontId="2" type="noConversion"/>
  </si>
  <si>
    <t>順天</t>
    <phoneticPr fontId="2" type="noConversion"/>
  </si>
  <si>
    <t>鉅陞</t>
    <phoneticPr fontId="2" type="noConversion"/>
  </si>
  <si>
    <t>龍巖</t>
    <phoneticPr fontId="2" type="noConversion"/>
  </si>
  <si>
    <t>鄉林</t>
    <phoneticPr fontId="2" type="noConversion"/>
  </si>
  <si>
    <t>皇鼎</t>
    <phoneticPr fontId="2" type="noConversion"/>
  </si>
  <si>
    <t>長虹</t>
    <phoneticPr fontId="2" type="noConversion"/>
  </si>
  <si>
    <t>聖暉*</t>
    <phoneticPr fontId="2" type="noConversion"/>
  </si>
  <si>
    <t>東明-KY</t>
    <phoneticPr fontId="2" type="noConversion"/>
  </si>
  <si>
    <t>桓鼎-KY</t>
    <phoneticPr fontId="2" type="noConversion"/>
  </si>
  <si>
    <t>永固-KY</t>
    <phoneticPr fontId="2" type="noConversion"/>
  </si>
  <si>
    <t>久舜</t>
    <phoneticPr fontId="2" type="noConversion"/>
  </si>
  <si>
    <t>安倉</t>
    <phoneticPr fontId="2" type="noConversion"/>
  </si>
  <si>
    <t>台聯櫃</t>
    <phoneticPr fontId="2" type="noConversion"/>
  </si>
  <si>
    <t>陸海</t>
    <phoneticPr fontId="2" type="noConversion"/>
  </si>
  <si>
    <t>中連</t>
    <phoneticPr fontId="2" type="noConversion"/>
  </si>
  <si>
    <t>遠雄港</t>
    <phoneticPr fontId="2" type="noConversion"/>
  </si>
  <si>
    <t>四維航</t>
    <phoneticPr fontId="2" type="noConversion"/>
  </si>
  <si>
    <t>中菲行</t>
    <phoneticPr fontId="2" type="noConversion"/>
  </si>
  <si>
    <t>劍湖山</t>
    <phoneticPr fontId="2" type="noConversion"/>
  </si>
  <si>
    <t>亞都</t>
    <phoneticPr fontId="2" type="noConversion"/>
  </si>
  <si>
    <t>老爺知</t>
    <phoneticPr fontId="2" type="noConversion"/>
  </si>
  <si>
    <t>鳳凰</t>
    <phoneticPr fontId="2" type="noConversion"/>
  </si>
  <si>
    <t>致和證</t>
    <phoneticPr fontId="2" type="noConversion"/>
  </si>
  <si>
    <t>中租-KY</t>
    <phoneticPr fontId="2" type="noConversion"/>
  </si>
  <si>
    <t>上海商銀</t>
    <phoneticPr fontId="2" type="noConversion"/>
  </si>
  <si>
    <t>台名</t>
    <phoneticPr fontId="2" type="noConversion"/>
  </si>
  <si>
    <t>合庫金</t>
    <phoneticPr fontId="2" type="noConversion"/>
  </si>
  <si>
    <t>德記</t>
    <phoneticPr fontId="2" type="noConversion"/>
  </si>
  <si>
    <t>全家</t>
    <phoneticPr fontId="2" type="noConversion"/>
  </si>
  <si>
    <t>寶雅</t>
    <phoneticPr fontId="2" type="noConversion"/>
  </si>
  <si>
    <t>南仁湖</t>
    <phoneticPr fontId="2" type="noConversion"/>
  </si>
  <si>
    <t>台南-KY</t>
    <phoneticPr fontId="2" type="noConversion"/>
  </si>
  <si>
    <t>大洋-KY</t>
    <phoneticPr fontId="2" type="noConversion"/>
  </si>
  <si>
    <t>群益證</t>
    <phoneticPr fontId="2" type="noConversion"/>
  </si>
  <si>
    <t>宏遠證</t>
    <phoneticPr fontId="2" type="noConversion"/>
  </si>
  <si>
    <t>康和證</t>
    <phoneticPr fontId="2" type="noConversion"/>
  </si>
  <si>
    <t>大展證</t>
    <phoneticPr fontId="2" type="noConversion"/>
  </si>
  <si>
    <t>美好證</t>
    <phoneticPr fontId="2" type="noConversion"/>
  </si>
  <si>
    <t>元大期</t>
    <phoneticPr fontId="2" type="noConversion"/>
  </si>
  <si>
    <t>群益期</t>
    <phoneticPr fontId="2" type="noConversion"/>
  </si>
  <si>
    <t>福邦證</t>
    <phoneticPr fontId="2" type="noConversion"/>
  </si>
  <si>
    <t>寬魚國際</t>
    <phoneticPr fontId="2" type="noConversion"/>
  </si>
  <si>
    <t>合邦</t>
    <phoneticPr fontId="2" type="noConversion"/>
  </si>
  <si>
    <t>創惟</t>
    <phoneticPr fontId="2" type="noConversion"/>
  </si>
  <si>
    <t>競國</t>
    <phoneticPr fontId="2" type="noConversion"/>
  </si>
  <si>
    <t>亞元</t>
    <phoneticPr fontId="2" type="noConversion"/>
  </si>
  <si>
    <t>大宇資</t>
    <phoneticPr fontId="2" type="noConversion"/>
  </si>
  <si>
    <t>邁達特</t>
    <phoneticPr fontId="2" type="noConversion"/>
  </si>
  <si>
    <t>亞矽</t>
    <phoneticPr fontId="2" type="noConversion"/>
  </si>
  <si>
    <t>久威</t>
    <phoneticPr fontId="2" type="noConversion"/>
  </si>
  <si>
    <t>鎰勝</t>
    <phoneticPr fontId="2" type="noConversion"/>
  </si>
  <si>
    <t>彩晶</t>
    <phoneticPr fontId="2" type="noConversion"/>
  </si>
  <si>
    <t>迎廣</t>
    <phoneticPr fontId="2" type="noConversion"/>
  </si>
  <si>
    <t>建達</t>
    <phoneticPr fontId="2" type="noConversion"/>
  </si>
  <si>
    <t>達運</t>
    <phoneticPr fontId="2" type="noConversion"/>
  </si>
  <si>
    <t>新普</t>
    <phoneticPr fontId="2" type="noConversion"/>
  </si>
  <si>
    <t>擎邦</t>
    <phoneticPr fontId="2" type="noConversion"/>
  </si>
  <si>
    <t>上奇</t>
    <phoneticPr fontId="2" type="noConversion"/>
  </si>
  <si>
    <t>業強</t>
    <phoneticPr fontId="2" type="noConversion"/>
  </si>
  <si>
    <t>廣運</t>
    <phoneticPr fontId="2" type="noConversion"/>
  </si>
  <si>
    <t>信音</t>
    <phoneticPr fontId="2" type="noConversion"/>
  </si>
  <si>
    <t>九豪</t>
    <phoneticPr fontId="2" type="noConversion"/>
  </si>
  <si>
    <t>上福</t>
    <phoneticPr fontId="2" type="noConversion"/>
  </si>
  <si>
    <t>普誠</t>
    <phoneticPr fontId="2" type="noConversion"/>
  </si>
  <si>
    <t>上亞科技</t>
    <phoneticPr fontId="2" type="noConversion"/>
  </si>
  <si>
    <t>金橋</t>
    <phoneticPr fontId="2" type="noConversion"/>
  </si>
  <si>
    <t>萬旭</t>
    <phoneticPr fontId="2" type="noConversion"/>
  </si>
  <si>
    <t>富爾特</t>
    <phoneticPr fontId="2" type="noConversion"/>
  </si>
  <si>
    <t>茂達</t>
    <phoneticPr fontId="2" type="noConversion"/>
  </si>
  <si>
    <t>亞翔</t>
    <phoneticPr fontId="2" type="noConversion"/>
  </si>
  <si>
    <t>訊達</t>
    <phoneticPr fontId="2" type="noConversion"/>
  </si>
  <si>
    <t>柏承</t>
    <phoneticPr fontId="2" type="noConversion"/>
  </si>
  <si>
    <t>友勁</t>
    <phoneticPr fontId="2" type="noConversion"/>
  </si>
  <si>
    <t>振曜</t>
    <phoneticPr fontId="2" type="noConversion"/>
  </si>
  <si>
    <t>得利影</t>
    <phoneticPr fontId="2" type="noConversion"/>
  </si>
  <si>
    <t>耕興</t>
    <phoneticPr fontId="2" type="noConversion"/>
  </si>
  <si>
    <t>頎邦</t>
    <phoneticPr fontId="2" type="noConversion"/>
  </si>
  <si>
    <t>驊宏資</t>
    <phoneticPr fontId="2" type="noConversion"/>
  </si>
  <si>
    <t>撼訊</t>
    <phoneticPr fontId="2" type="noConversion"/>
  </si>
  <si>
    <t>晉倫</t>
    <phoneticPr fontId="2" type="noConversion"/>
  </si>
  <si>
    <t>百一</t>
    <phoneticPr fontId="2" type="noConversion"/>
  </si>
  <si>
    <t>嘉聯益</t>
    <phoneticPr fontId="2" type="noConversion"/>
  </si>
  <si>
    <t>順發</t>
    <phoneticPr fontId="2" type="noConversion"/>
  </si>
  <si>
    <t>鈞寶</t>
    <phoneticPr fontId="2" type="noConversion"/>
  </si>
  <si>
    <t>松上</t>
    <phoneticPr fontId="2" type="noConversion"/>
  </si>
  <si>
    <t>禾昌</t>
    <phoneticPr fontId="2" type="noConversion"/>
  </si>
  <si>
    <t>欣技</t>
    <phoneticPr fontId="2" type="noConversion"/>
  </si>
  <si>
    <t>捷波</t>
    <phoneticPr fontId="2" type="noConversion"/>
  </si>
  <si>
    <t>華電網</t>
    <phoneticPr fontId="2" type="noConversion"/>
  </si>
  <si>
    <t>華興</t>
    <phoneticPr fontId="2" type="noConversion"/>
  </si>
  <si>
    <t>浪凡</t>
    <phoneticPr fontId="2" type="noConversion"/>
  </si>
  <si>
    <t>凌華</t>
    <phoneticPr fontId="2" type="noConversion"/>
  </si>
  <si>
    <t>久正</t>
    <phoneticPr fontId="2" type="noConversion"/>
  </si>
  <si>
    <t>宏齊</t>
    <phoneticPr fontId="2" type="noConversion"/>
  </si>
  <si>
    <t>昱泉</t>
    <phoneticPr fontId="2" type="noConversion"/>
  </si>
  <si>
    <t>統振</t>
    <phoneticPr fontId="2" type="noConversion"/>
  </si>
  <si>
    <t>大城地產</t>
    <phoneticPr fontId="2" type="noConversion"/>
  </si>
  <si>
    <t>信昌電</t>
    <phoneticPr fontId="2" type="noConversion"/>
  </si>
  <si>
    <t>安碁</t>
    <phoneticPr fontId="2" type="noConversion"/>
  </si>
  <si>
    <t>立敦</t>
    <phoneticPr fontId="2" type="noConversion"/>
  </si>
  <si>
    <t>瑞儀</t>
    <phoneticPr fontId="2" type="noConversion"/>
  </si>
  <si>
    <t>達麗</t>
    <phoneticPr fontId="2" type="noConversion"/>
  </si>
  <si>
    <t>亞通</t>
    <phoneticPr fontId="2" type="noConversion"/>
  </si>
  <si>
    <t>橘子</t>
    <phoneticPr fontId="2" type="noConversion"/>
  </si>
  <si>
    <t>合晶</t>
    <phoneticPr fontId="2" type="noConversion"/>
  </si>
  <si>
    <t>關貿</t>
    <phoneticPr fontId="2" type="noConversion"/>
  </si>
  <si>
    <t>大豐電</t>
    <phoneticPr fontId="2" type="noConversion"/>
  </si>
  <si>
    <t>幃翔</t>
    <phoneticPr fontId="2" type="noConversion"/>
  </si>
  <si>
    <t>新潤</t>
    <phoneticPr fontId="2" type="noConversion"/>
  </si>
  <si>
    <t>萬潤</t>
    <phoneticPr fontId="2" type="noConversion"/>
  </si>
  <si>
    <t>廣明</t>
    <phoneticPr fontId="2" type="noConversion"/>
  </si>
  <si>
    <t>豐藝</t>
    <phoneticPr fontId="2" type="noConversion"/>
  </si>
  <si>
    <t>萬泰科</t>
    <phoneticPr fontId="2" type="noConversion"/>
  </si>
  <si>
    <t>精成科</t>
    <phoneticPr fontId="2" type="noConversion"/>
  </si>
  <si>
    <t>巨路</t>
    <phoneticPr fontId="2" type="noConversion"/>
  </si>
  <si>
    <t>育富</t>
    <phoneticPr fontId="2" type="noConversion"/>
  </si>
  <si>
    <t>詩肯</t>
    <phoneticPr fontId="2" type="noConversion"/>
  </si>
  <si>
    <t>帆宣</t>
    <phoneticPr fontId="2" type="noConversion"/>
  </si>
  <si>
    <t>佳必琪</t>
    <phoneticPr fontId="2" type="noConversion"/>
  </si>
  <si>
    <t>瑞築</t>
    <phoneticPr fontId="2" type="noConversion"/>
  </si>
  <si>
    <t>天品</t>
    <phoneticPr fontId="2" type="noConversion"/>
  </si>
  <si>
    <t>亞弘電</t>
    <phoneticPr fontId="2" type="noConversion"/>
  </si>
  <si>
    <t>盛群</t>
    <phoneticPr fontId="2" type="noConversion"/>
  </si>
  <si>
    <t>海韻電</t>
    <phoneticPr fontId="2" type="noConversion"/>
  </si>
  <si>
    <t>艾華</t>
    <phoneticPr fontId="2" type="noConversion"/>
  </si>
  <si>
    <t>詮欣</t>
    <phoneticPr fontId="2" type="noConversion"/>
  </si>
  <si>
    <t>飛捷</t>
    <phoneticPr fontId="2" type="noConversion"/>
  </si>
  <si>
    <t>雷科</t>
    <phoneticPr fontId="2" type="noConversion"/>
  </si>
  <si>
    <t>日揚</t>
    <phoneticPr fontId="2" type="noConversion"/>
  </si>
  <si>
    <t>今國光</t>
    <phoneticPr fontId="2" type="noConversion"/>
  </si>
  <si>
    <t>慶生</t>
    <phoneticPr fontId="2" type="noConversion"/>
  </si>
  <si>
    <t>理銘</t>
    <phoneticPr fontId="2" type="noConversion"/>
  </si>
  <si>
    <t>聯茂</t>
    <phoneticPr fontId="2" type="noConversion"/>
  </si>
  <si>
    <t>精誠</t>
    <phoneticPr fontId="2" type="noConversion"/>
  </si>
  <si>
    <t>和椿</t>
    <phoneticPr fontId="2" type="noConversion"/>
  </si>
  <si>
    <t>居易</t>
    <phoneticPr fontId="2" type="noConversion"/>
  </si>
  <si>
    <t>中探針</t>
    <phoneticPr fontId="2" type="noConversion"/>
  </si>
  <si>
    <t>豪勉</t>
    <phoneticPr fontId="2" type="noConversion"/>
  </si>
  <si>
    <t>富旺</t>
    <phoneticPr fontId="2" type="noConversion"/>
  </si>
  <si>
    <t>岳豐</t>
    <phoneticPr fontId="2" type="noConversion"/>
  </si>
  <si>
    <t>晉泰</t>
    <phoneticPr fontId="2" type="noConversion"/>
  </si>
  <si>
    <t>立軒</t>
    <phoneticPr fontId="2" type="noConversion"/>
  </si>
  <si>
    <t>旺矽</t>
    <phoneticPr fontId="2" type="noConversion"/>
  </si>
  <si>
    <t>聚鼎</t>
    <phoneticPr fontId="2" type="noConversion"/>
  </si>
  <si>
    <t>天瀚</t>
    <phoneticPr fontId="2" type="noConversion"/>
  </si>
  <si>
    <t>光鼎</t>
    <phoneticPr fontId="2" type="noConversion"/>
  </si>
  <si>
    <t>茂綸</t>
    <phoneticPr fontId="2" type="noConversion"/>
  </si>
  <si>
    <t>全譜</t>
    <phoneticPr fontId="2" type="noConversion"/>
  </si>
  <si>
    <t>研通</t>
    <phoneticPr fontId="2" type="noConversion"/>
  </si>
  <si>
    <t>尼得科超眾</t>
    <phoneticPr fontId="2" type="noConversion"/>
  </si>
  <si>
    <t>系微</t>
    <phoneticPr fontId="2" type="noConversion"/>
  </si>
  <si>
    <t>旺玖</t>
    <phoneticPr fontId="2" type="noConversion"/>
  </si>
  <si>
    <t>高僑</t>
    <phoneticPr fontId="2" type="noConversion"/>
  </si>
  <si>
    <t>華孚</t>
    <phoneticPr fontId="2" type="noConversion"/>
  </si>
  <si>
    <t>中湛</t>
    <phoneticPr fontId="2" type="noConversion"/>
  </si>
  <si>
    <t>驊訊</t>
    <phoneticPr fontId="2" type="noConversion"/>
  </si>
  <si>
    <t>力成</t>
    <phoneticPr fontId="2" type="noConversion"/>
  </si>
  <si>
    <t>松崗</t>
    <phoneticPr fontId="2" type="noConversion"/>
  </si>
  <si>
    <t>易通展</t>
    <phoneticPr fontId="2" type="noConversion"/>
  </si>
  <si>
    <t>立康</t>
    <phoneticPr fontId="2" type="noConversion"/>
  </si>
  <si>
    <t>迅杰</t>
    <phoneticPr fontId="2" type="noConversion"/>
  </si>
  <si>
    <t>茂迪</t>
    <phoneticPr fontId="2" type="noConversion"/>
  </si>
  <si>
    <t>立端</t>
    <phoneticPr fontId="2" type="noConversion"/>
  </si>
  <si>
    <t>臺龍</t>
    <phoneticPr fontId="2" type="noConversion"/>
  </si>
  <si>
    <t>沛波</t>
    <phoneticPr fontId="2" type="noConversion"/>
  </si>
  <si>
    <t>矽格</t>
    <phoneticPr fontId="2" type="noConversion"/>
  </si>
  <si>
    <t>百徽</t>
    <phoneticPr fontId="2" type="noConversion"/>
  </si>
  <si>
    <t>久元</t>
    <phoneticPr fontId="2" type="noConversion"/>
  </si>
  <si>
    <t>普萊德</t>
    <phoneticPr fontId="2" type="noConversion"/>
  </si>
  <si>
    <t>富裔</t>
    <phoneticPr fontId="2" type="noConversion"/>
  </si>
  <si>
    <t>方土昶</t>
    <phoneticPr fontId="2" type="noConversion"/>
  </si>
  <si>
    <t>泰詠</t>
    <phoneticPr fontId="2" type="noConversion"/>
  </si>
  <si>
    <t>台郡</t>
    <phoneticPr fontId="2" type="noConversion"/>
  </si>
  <si>
    <t>倍微</t>
    <phoneticPr fontId="2" type="noConversion"/>
  </si>
  <si>
    <t>同欣電</t>
    <phoneticPr fontId="2" type="noConversion"/>
  </si>
  <si>
    <t>驊陞</t>
    <phoneticPr fontId="2" type="noConversion"/>
  </si>
  <si>
    <t>台燿</t>
    <phoneticPr fontId="2" type="noConversion"/>
  </si>
  <si>
    <t>元山</t>
    <phoneticPr fontId="2" type="noConversion"/>
  </si>
  <si>
    <t>安鈦克</t>
    <phoneticPr fontId="2" type="noConversion"/>
  </si>
  <si>
    <t>宏正</t>
    <phoneticPr fontId="2" type="noConversion"/>
  </si>
  <si>
    <t>台表科</t>
    <phoneticPr fontId="2" type="noConversion"/>
  </si>
  <si>
    <t>胡連</t>
    <phoneticPr fontId="2" type="noConversion"/>
  </si>
  <si>
    <t>全國電</t>
    <phoneticPr fontId="2" type="noConversion"/>
  </si>
  <si>
    <t>康舒</t>
    <phoneticPr fontId="2" type="noConversion"/>
  </si>
  <si>
    <t>淳安</t>
    <phoneticPr fontId="2" type="noConversion"/>
  </si>
  <si>
    <t>佳邦</t>
    <phoneticPr fontId="2" type="noConversion"/>
  </si>
  <si>
    <t>啟碁</t>
    <phoneticPr fontId="2" type="noConversion"/>
  </si>
  <si>
    <t>良維</t>
    <phoneticPr fontId="2" type="noConversion"/>
  </si>
  <si>
    <t>沛亨</t>
    <phoneticPr fontId="2" type="noConversion"/>
  </si>
  <si>
    <t>迅德</t>
    <phoneticPr fontId="2" type="noConversion"/>
  </si>
  <si>
    <t>智基</t>
    <phoneticPr fontId="2" type="noConversion"/>
  </si>
  <si>
    <t>悅城</t>
    <phoneticPr fontId="2" type="noConversion"/>
  </si>
  <si>
    <t>旭隼</t>
    <phoneticPr fontId="2" type="noConversion"/>
  </si>
  <si>
    <t>晶焱</t>
    <phoneticPr fontId="2" type="noConversion"/>
  </si>
  <si>
    <t>群電</t>
    <phoneticPr fontId="2" type="noConversion"/>
  </si>
  <si>
    <t>樺漢</t>
    <phoneticPr fontId="2" type="noConversion"/>
  </si>
  <si>
    <t>矽力*-KY</t>
    <phoneticPr fontId="2" type="noConversion"/>
  </si>
  <si>
    <t>瑞祺電通</t>
    <phoneticPr fontId="2" type="noConversion"/>
  </si>
  <si>
    <t>韋僑</t>
    <phoneticPr fontId="2" type="noConversion"/>
  </si>
  <si>
    <t>詠昇</t>
    <phoneticPr fontId="2" type="noConversion"/>
  </si>
  <si>
    <t>京晨科</t>
    <phoneticPr fontId="2" type="noConversion"/>
  </si>
  <si>
    <t>億而得</t>
    <phoneticPr fontId="2" type="noConversion"/>
  </si>
  <si>
    <t>易發</t>
    <phoneticPr fontId="2" type="noConversion"/>
  </si>
  <si>
    <t>統新</t>
    <phoneticPr fontId="2" type="noConversion"/>
  </si>
  <si>
    <t>光麗-KY</t>
    <phoneticPr fontId="2" type="noConversion"/>
  </si>
  <si>
    <t>今展科</t>
    <phoneticPr fontId="2" type="noConversion"/>
  </si>
  <si>
    <t>大中</t>
    <phoneticPr fontId="2" type="noConversion"/>
  </si>
  <si>
    <t>迅得</t>
    <phoneticPr fontId="2" type="noConversion"/>
  </si>
  <si>
    <t>廣錠</t>
    <phoneticPr fontId="2" type="noConversion"/>
  </si>
  <si>
    <t>光聖</t>
    <phoneticPr fontId="2" type="noConversion"/>
  </si>
  <si>
    <t>元晶</t>
    <phoneticPr fontId="2" type="noConversion"/>
  </si>
  <si>
    <t>藥華藥</t>
    <phoneticPr fontId="2" type="noConversion"/>
  </si>
  <si>
    <t>鈺邦</t>
    <phoneticPr fontId="2" type="noConversion"/>
  </si>
  <si>
    <t>訊芯-KY</t>
    <phoneticPr fontId="2" type="noConversion"/>
  </si>
  <si>
    <t>GIS-KY</t>
    <phoneticPr fontId="2" type="noConversion"/>
  </si>
  <si>
    <t>益得</t>
    <phoneticPr fontId="2" type="noConversion"/>
  </si>
  <si>
    <t>神盾</t>
    <phoneticPr fontId="2" type="noConversion"/>
  </si>
  <si>
    <t>台數科</t>
    <phoneticPr fontId="2" type="noConversion"/>
  </si>
  <si>
    <t>威潤</t>
    <phoneticPr fontId="2" type="noConversion"/>
  </si>
  <si>
    <t>大樹</t>
    <phoneticPr fontId="2" type="noConversion"/>
  </si>
  <si>
    <t>宇智</t>
    <phoneticPr fontId="2" type="noConversion"/>
  </si>
  <si>
    <t>保瑞</t>
    <phoneticPr fontId="2" type="noConversion"/>
  </si>
  <si>
    <t>華豫寧</t>
    <phoneticPr fontId="2" type="noConversion"/>
  </si>
  <si>
    <t>安集</t>
    <phoneticPr fontId="2" type="noConversion"/>
  </si>
  <si>
    <t>弘煜科</t>
    <phoneticPr fontId="2" type="noConversion"/>
  </si>
  <si>
    <t>點序</t>
    <phoneticPr fontId="2" type="noConversion"/>
  </si>
  <si>
    <t>互動</t>
    <phoneticPr fontId="2" type="noConversion"/>
  </si>
  <si>
    <t>環球晶</t>
    <phoneticPr fontId="2" type="noConversion"/>
  </si>
  <si>
    <t>晶碩</t>
    <phoneticPr fontId="2" type="noConversion"/>
  </si>
  <si>
    <t>生華科</t>
    <phoneticPr fontId="2" type="noConversion"/>
  </si>
  <si>
    <t>九齊</t>
    <phoneticPr fontId="2" type="noConversion"/>
  </si>
  <si>
    <t>科懋</t>
    <phoneticPr fontId="2" type="noConversion"/>
  </si>
  <si>
    <t>久禾光</t>
    <phoneticPr fontId="2" type="noConversion"/>
  </si>
  <si>
    <t>益安</t>
    <phoneticPr fontId="2" type="noConversion"/>
  </si>
  <si>
    <t>南六</t>
    <phoneticPr fontId="2" type="noConversion"/>
  </si>
  <si>
    <t>台塑化</t>
    <phoneticPr fontId="2" type="noConversion"/>
  </si>
  <si>
    <t>雙邦</t>
    <phoneticPr fontId="2" type="noConversion"/>
  </si>
  <si>
    <t>惠光</t>
    <phoneticPr fontId="2" type="noConversion"/>
  </si>
  <si>
    <t>聚和</t>
    <phoneticPr fontId="2" type="noConversion"/>
  </si>
  <si>
    <t>精測</t>
    <phoneticPr fontId="2" type="noConversion"/>
  </si>
  <si>
    <t>啟發電</t>
    <phoneticPr fontId="2" type="noConversion"/>
  </si>
  <si>
    <t>穎崴</t>
    <phoneticPr fontId="2" type="noConversion"/>
  </si>
  <si>
    <t>勤崴國際</t>
    <phoneticPr fontId="2" type="noConversion"/>
  </si>
  <si>
    <t>保勝光學</t>
    <phoneticPr fontId="2" type="noConversion"/>
  </si>
  <si>
    <t>達爾膚</t>
    <phoneticPr fontId="2" type="noConversion"/>
  </si>
  <si>
    <t>捷敏-KY</t>
    <phoneticPr fontId="2" type="noConversion"/>
  </si>
  <si>
    <t>達發</t>
    <phoneticPr fontId="2" type="noConversion"/>
  </si>
  <si>
    <t>明達醫</t>
    <phoneticPr fontId="2" type="noConversion"/>
  </si>
  <si>
    <t>創威</t>
    <phoneticPr fontId="2" type="noConversion"/>
  </si>
  <si>
    <t>愛普*</t>
    <phoneticPr fontId="2" type="noConversion"/>
  </si>
  <si>
    <t>瑞耘</t>
    <phoneticPr fontId="2" type="noConversion"/>
  </si>
  <si>
    <t>晶心科</t>
    <phoneticPr fontId="2" type="noConversion"/>
  </si>
  <si>
    <t>正瀚-創</t>
    <phoneticPr fontId="2" type="noConversion"/>
  </si>
  <si>
    <t>順藥</t>
    <phoneticPr fontId="2" type="noConversion"/>
  </si>
  <si>
    <t>倉和</t>
    <phoneticPr fontId="2" type="noConversion"/>
  </si>
  <si>
    <t>泰福-KY</t>
    <phoneticPr fontId="2" type="noConversion"/>
  </si>
  <si>
    <t>隆中</t>
    <phoneticPr fontId="2" type="noConversion"/>
  </si>
  <si>
    <t>正基</t>
    <phoneticPr fontId="2" type="noConversion"/>
  </si>
  <si>
    <t>高端疫苗</t>
    <phoneticPr fontId="2" type="noConversion"/>
  </si>
  <si>
    <t>長科*</t>
    <phoneticPr fontId="2" type="noConversion"/>
  </si>
  <si>
    <t>北極星藥業-KY</t>
    <phoneticPr fontId="2" type="noConversion"/>
  </si>
  <si>
    <t>易華電</t>
    <phoneticPr fontId="2" type="noConversion"/>
  </si>
  <si>
    <t>勝品</t>
    <phoneticPr fontId="2" type="noConversion"/>
  </si>
  <si>
    <t>興能高</t>
    <phoneticPr fontId="2" type="noConversion"/>
  </si>
  <si>
    <t>欣普羅</t>
    <phoneticPr fontId="2" type="noConversion"/>
  </si>
  <si>
    <t>是方</t>
    <phoneticPr fontId="2" type="noConversion"/>
  </si>
  <si>
    <t>宏觀</t>
    <phoneticPr fontId="2" type="noConversion"/>
  </si>
  <si>
    <t>醫揚</t>
    <phoneticPr fontId="2" type="noConversion"/>
  </si>
  <si>
    <t>維田</t>
    <phoneticPr fontId="2" type="noConversion"/>
  </si>
  <si>
    <t>虹揚-KY</t>
    <phoneticPr fontId="2" type="noConversion"/>
  </si>
  <si>
    <t>霈方</t>
    <phoneticPr fontId="2" type="noConversion"/>
  </si>
  <si>
    <t>逸達</t>
    <phoneticPr fontId="2" type="noConversion"/>
  </si>
  <si>
    <t>勁豐</t>
    <phoneticPr fontId="2" type="noConversion"/>
  </si>
  <si>
    <t>達邦蛋白</t>
    <phoneticPr fontId="2" type="noConversion"/>
  </si>
  <si>
    <t>研揚</t>
    <phoneticPr fontId="2" type="noConversion"/>
  </si>
  <si>
    <t>鋼聯</t>
    <phoneticPr fontId="2" type="noConversion"/>
  </si>
  <si>
    <t>申豐</t>
    <phoneticPr fontId="2" type="noConversion"/>
  </si>
  <si>
    <t>南俊國際</t>
    <phoneticPr fontId="2" type="noConversion"/>
  </si>
  <si>
    <t>鼎基</t>
    <phoneticPr fontId="2" type="noConversion"/>
  </si>
  <si>
    <t>東典光電</t>
    <phoneticPr fontId="2" type="noConversion"/>
  </si>
  <si>
    <t>台康生技</t>
    <phoneticPr fontId="2" type="noConversion"/>
  </si>
  <si>
    <t>普鴻</t>
    <phoneticPr fontId="2" type="noConversion"/>
  </si>
  <si>
    <t>動力-KY</t>
    <phoneticPr fontId="2" type="noConversion"/>
  </si>
  <si>
    <t>和潤企業</t>
    <phoneticPr fontId="2" type="noConversion"/>
  </si>
  <si>
    <t>台灣銘板</t>
    <phoneticPr fontId="2" type="noConversion"/>
  </si>
  <si>
    <t>寬宏藝術</t>
    <phoneticPr fontId="2" type="noConversion"/>
  </si>
  <si>
    <t>立誠</t>
    <phoneticPr fontId="2" type="noConversion"/>
  </si>
  <si>
    <t>ABC-KY</t>
    <phoneticPr fontId="2" type="noConversion"/>
  </si>
  <si>
    <t>富強鑫</t>
    <phoneticPr fontId="2" type="noConversion"/>
  </si>
  <si>
    <t>帝寶</t>
    <phoneticPr fontId="2" type="noConversion"/>
  </si>
  <si>
    <t>建德工業</t>
    <phoneticPr fontId="2" type="noConversion"/>
  </si>
  <si>
    <t>瀧澤科</t>
    <phoneticPr fontId="2" type="noConversion"/>
  </si>
  <si>
    <t>奈米醫材</t>
    <phoneticPr fontId="2" type="noConversion"/>
  </si>
  <si>
    <t>朋億*</t>
    <phoneticPr fontId="2" type="noConversion"/>
  </si>
  <si>
    <t>資拓宏宇</t>
    <phoneticPr fontId="2" type="noConversion"/>
  </si>
  <si>
    <t>慧智</t>
    <phoneticPr fontId="2" type="noConversion"/>
  </si>
  <si>
    <t>特昇-KY</t>
    <phoneticPr fontId="2" type="noConversion"/>
  </si>
  <si>
    <t>共信-KY</t>
    <phoneticPr fontId="2" type="noConversion"/>
  </si>
  <si>
    <t>漢達</t>
    <phoneticPr fontId="2" type="noConversion"/>
  </si>
  <si>
    <t>萬年清</t>
    <phoneticPr fontId="2" type="noConversion"/>
  </si>
  <si>
    <t>必應</t>
    <phoneticPr fontId="2" type="noConversion"/>
  </si>
  <si>
    <t>泰金-KY</t>
    <phoneticPr fontId="2" type="noConversion"/>
  </si>
  <si>
    <t>醫影</t>
    <phoneticPr fontId="2" type="noConversion"/>
  </si>
  <si>
    <t>均華</t>
    <phoneticPr fontId="2" type="noConversion"/>
  </si>
  <si>
    <t>基士德-KY</t>
    <phoneticPr fontId="2" type="noConversion"/>
  </si>
  <si>
    <t>富致</t>
    <phoneticPr fontId="2" type="noConversion"/>
  </si>
  <si>
    <t>M31</t>
    <phoneticPr fontId="2" type="noConversion"/>
  </si>
  <si>
    <t>金萬林-創</t>
    <phoneticPr fontId="2" type="noConversion"/>
  </si>
  <si>
    <t>台生材</t>
    <phoneticPr fontId="2" type="noConversion"/>
  </si>
  <si>
    <t>全宇昕</t>
    <phoneticPr fontId="2" type="noConversion"/>
  </si>
  <si>
    <t>天正國際</t>
    <phoneticPr fontId="2" type="noConversion"/>
  </si>
  <si>
    <t>科定</t>
    <phoneticPr fontId="2" type="noConversion"/>
  </si>
  <si>
    <t>華安</t>
    <phoneticPr fontId="2" type="noConversion"/>
  </si>
  <si>
    <t>聯策</t>
    <phoneticPr fontId="2" type="noConversion"/>
  </si>
  <si>
    <t>威健生技</t>
    <phoneticPr fontId="2" type="noConversion"/>
  </si>
  <si>
    <t>樂斯科</t>
    <phoneticPr fontId="2" type="noConversion"/>
  </si>
  <si>
    <t>群翊</t>
    <phoneticPr fontId="2" type="noConversion"/>
  </si>
  <si>
    <t>羅麗芬-KY</t>
    <phoneticPr fontId="2" type="noConversion"/>
  </si>
  <si>
    <t>信紘科</t>
    <phoneticPr fontId="2" type="noConversion"/>
  </si>
  <si>
    <t>中揚光</t>
    <phoneticPr fontId="2" type="noConversion"/>
  </si>
  <si>
    <t>緯穎</t>
    <phoneticPr fontId="2" type="noConversion"/>
  </si>
  <si>
    <t>復盛應用</t>
    <phoneticPr fontId="2" type="noConversion"/>
  </si>
  <si>
    <t>三能-KY</t>
    <phoneticPr fontId="2" type="noConversion"/>
  </si>
  <si>
    <t>騰輝電子-KY</t>
    <phoneticPr fontId="2" type="noConversion"/>
  </si>
  <si>
    <t>鋐寶科技</t>
    <phoneticPr fontId="2" type="noConversion"/>
  </si>
  <si>
    <t>鈺太</t>
    <phoneticPr fontId="2" type="noConversion"/>
  </si>
  <si>
    <t>鑫創電子</t>
    <phoneticPr fontId="2" type="noConversion"/>
  </si>
  <si>
    <t>雍智科技</t>
    <phoneticPr fontId="2" type="noConversion"/>
  </si>
  <si>
    <t>安格</t>
    <phoneticPr fontId="2" type="noConversion"/>
  </si>
  <si>
    <t>伊雲谷</t>
    <phoneticPr fontId="2" type="noConversion"/>
  </si>
  <si>
    <t>安碁資訊</t>
    <phoneticPr fontId="2" type="noConversion"/>
  </si>
  <si>
    <t>洋基工程</t>
    <phoneticPr fontId="2" type="noConversion"/>
  </si>
  <si>
    <t>進能服</t>
    <phoneticPr fontId="2" type="noConversion"/>
  </si>
  <si>
    <t>廣閎科</t>
    <phoneticPr fontId="2" type="noConversion"/>
  </si>
  <si>
    <t>芯鼎</t>
    <phoneticPr fontId="2" type="noConversion"/>
  </si>
  <si>
    <t>東捷資訊</t>
    <phoneticPr fontId="2" type="noConversion"/>
  </si>
  <si>
    <t>旭暉應材</t>
    <phoneticPr fontId="2" type="noConversion"/>
  </si>
  <si>
    <t>軒郁</t>
    <phoneticPr fontId="2" type="noConversion"/>
  </si>
  <si>
    <t>惠特</t>
    <phoneticPr fontId="2" type="noConversion"/>
  </si>
  <si>
    <t>天擎</t>
    <phoneticPr fontId="2" type="noConversion"/>
  </si>
  <si>
    <t>長聖</t>
    <phoneticPr fontId="2" type="noConversion"/>
  </si>
  <si>
    <t>嘉基</t>
    <phoneticPr fontId="2" type="noConversion"/>
  </si>
  <si>
    <t>應廣</t>
    <phoneticPr fontId="2" type="noConversion"/>
  </si>
  <si>
    <t>力智</t>
    <phoneticPr fontId="2" type="noConversion"/>
  </si>
  <si>
    <t>久昌</t>
    <phoneticPr fontId="2" type="noConversion"/>
  </si>
  <si>
    <t>信實</t>
    <phoneticPr fontId="2" type="noConversion"/>
  </si>
  <si>
    <t>輝創</t>
    <phoneticPr fontId="2" type="noConversion"/>
  </si>
  <si>
    <t>矽科宏晟</t>
    <phoneticPr fontId="2" type="noConversion"/>
  </si>
  <si>
    <t>亞泰金屬</t>
    <phoneticPr fontId="2" type="noConversion"/>
  </si>
  <si>
    <t>上洋</t>
    <phoneticPr fontId="2" type="noConversion"/>
  </si>
  <si>
    <t>常廣</t>
    <phoneticPr fontId="2" type="noConversion"/>
  </si>
  <si>
    <t>昇佳電子</t>
    <phoneticPr fontId="2" type="noConversion"/>
  </si>
  <si>
    <t>博晟生醫</t>
    <phoneticPr fontId="2" type="noConversion"/>
  </si>
  <si>
    <t>美達科技</t>
    <phoneticPr fontId="2" type="noConversion"/>
  </si>
  <si>
    <t>竹陞科技</t>
    <phoneticPr fontId="2" type="noConversion"/>
  </si>
  <si>
    <t>91APP*-KY</t>
    <phoneticPr fontId="2" type="noConversion"/>
  </si>
  <si>
    <t>澤米</t>
    <phoneticPr fontId="2" type="noConversion"/>
  </si>
  <si>
    <t>安普新</t>
    <phoneticPr fontId="2" type="noConversion"/>
  </si>
  <si>
    <t>智聯服務</t>
    <phoneticPr fontId="2" type="noConversion"/>
  </si>
  <si>
    <t>叡揚</t>
    <phoneticPr fontId="2" type="noConversion"/>
  </si>
  <si>
    <t>龍德造船</t>
    <phoneticPr fontId="2" type="noConversion"/>
  </si>
  <si>
    <t>匯僑設計</t>
    <phoneticPr fontId="2" type="noConversion"/>
  </si>
  <si>
    <t>威鋒電子</t>
    <phoneticPr fontId="2" type="noConversion"/>
  </si>
  <si>
    <t>台灣虎航</t>
    <phoneticPr fontId="2" type="noConversion"/>
  </si>
  <si>
    <t>穩得</t>
    <phoneticPr fontId="2" type="noConversion"/>
  </si>
  <si>
    <t>達亞</t>
    <phoneticPr fontId="2" type="noConversion"/>
  </si>
  <si>
    <t>綠界科技*</t>
    <phoneticPr fontId="2" type="noConversion"/>
  </si>
  <si>
    <t>台微醫</t>
    <phoneticPr fontId="2" type="noConversion"/>
  </si>
  <si>
    <t>志強-KY</t>
    <phoneticPr fontId="2" type="noConversion"/>
  </si>
  <si>
    <t>力積電</t>
    <phoneticPr fontId="2" type="noConversion"/>
  </si>
  <si>
    <t>平和環保-創</t>
    <phoneticPr fontId="2" type="noConversion"/>
  </si>
  <si>
    <t>展碁國際</t>
    <phoneticPr fontId="2" type="noConversion"/>
  </si>
  <si>
    <t>AES-KY</t>
    <phoneticPr fontId="2" type="noConversion"/>
  </si>
  <si>
    <t>視陽</t>
    <phoneticPr fontId="2" type="noConversion"/>
  </si>
  <si>
    <t>昱展新藥</t>
    <phoneticPr fontId="2" type="noConversion"/>
  </si>
  <si>
    <t>華景電</t>
    <phoneticPr fontId="2" type="noConversion"/>
  </si>
  <si>
    <t>采鈺</t>
    <phoneticPr fontId="2" type="noConversion"/>
  </si>
  <si>
    <t>永豐實</t>
    <phoneticPr fontId="2" type="noConversion"/>
  </si>
  <si>
    <t>虎門科技</t>
    <phoneticPr fontId="2" type="noConversion"/>
  </si>
  <si>
    <t>詠業</t>
    <phoneticPr fontId="2" type="noConversion"/>
  </si>
  <si>
    <t>向榮生技</t>
    <phoneticPr fontId="2" type="noConversion"/>
  </si>
  <si>
    <t>晉弘</t>
    <phoneticPr fontId="2" type="noConversion"/>
  </si>
  <si>
    <t>來頡</t>
    <phoneticPr fontId="2" type="noConversion"/>
  </si>
  <si>
    <t>崑鼎</t>
    <phoneticPr fontId="2" type="noConversion"/>
  </si>
  <si>
    <t>明係</t>
    <phoneticPr fontId="2" type="noConversion"/>
  </si>
  <si>
    <t>富世達</t>
    <phoneticPr fontId="2" type="noConversion"/>
  </si>
  <si>
    <t>森崴能源</t>
    <phoneticPr fontId="2" type="noConversion"/>
  </si>
  <si>
    <t>峰源-KY</t>
    <phoneticPr fontId="2" type="noConversion"/>
  </si>
  <si>
    <t>宏碁資訊</t>
    <phoneticPr fontId="2" type="noConversion"/>
  </si>
  <si>
    <t>聯寶</t>
    <phoneticPr fontId="2" type="noConversion"/>
  </si>
  <si>
    <t>濾能</t>
    <phoneticPr fontId="2" type="noConversion"/>
  </si>
  <si>
    <t>千附精密</t>
    <phoneticPr fontId="2" type="noConversion"/>
  </si>
  <si>
    <t>汎銓</t>
    <phoneticPr fontId="2" type="noConversion"/>
  </si>
  <si>
    <t>邁科</t>
    <phoneticPr fontId="2" type="noConversion"/>
  </si>
  <si>
    <t>天二科技</t>
    <phoneticPr fontId="2" type="noConversion"/>
  </si>
  <si>
    <t>圓裕</t>
    <phoneticPr fontId="2" type="noConversion"/>
  </si>
  <si>
    <t>台新藥</t>
    <phoneticPr fontId="2" type="noConversion"/>
  </si>
  <si>
    <t>東研信超</t>
    <phoneticPr fontId="2" type="noConversion"/>
  </si>
  <si>
    <t>長佳智能</t>
    <phoneticPr fontId="2" type="noConversion"/>
  </si>
  <si>
    <t>進典</t>
    <phoneticPr fontId="2" type="noConversion"/>
  </si>
  <si>
    <t>諾貝兒</t>
    <phoneticPr fontId="2" type="noConversion"/>
  </si>
  <si>
    <t>綠茵</t>
    <phoneticPr fontId="2" type="noConversion"/>
  </si>
  <si>
    <t>錼創科技-KY創</t>
    <phoneticPr fontId="2" type="noConversion"/>
  </si>
  <si>
    <t>數泓科</t>
    <phoneticPr fontId="2" type="noConversion"/>
  </si>
  <si>
    <t>鑫傳</t>
    <phoneticPr fontId="2" type="noConversion"/>
  </si>
  <si>
    <t>伯特光</t>
    <phoneticPr fontId="2" type="noConversion"/>
  </si>
  <si>
    <t>睿生光電</t>
    <phoneticPr fontId="2" type="noConversion"/>
  </si>
  <si>
    <t>三集瑞-KY</t>
    <phoneticPr fontId="2" type="noConversion"/>
  </si>
  <si>
    <t>永道-KY</t>
    <phoneticPr fontId="2" type="noConversion"/>
  </si>
  <si>
    <t>偉康科技</t>
    <phoneticPr fontId="2" type="noConversion"/>
  </si>
  <si>
    <t>雲豹能源</t>
    <phoneticPr fontId="2" type="noConversion"/>
  </si>
  <si>
    <t>騰雲</t>
    <phoneticPr fontId="2" type="noConversion"/>
  </si>
  <si>
    <t>浩宇生醫</t>
    <phoneticPr fontId="2" type="noConversion"/>
  </si>
  <si>
    <t>泓德能源</t>
    <phoneticPr fontId="2" type="noConversion"/>
  </si>
  <si>
    <t>倍力</t>
    <phoneticPr fontId="2" type="noConversion"/>
  </si>
  <si>
    <t>國邑*</t>
    <phoneticPr fontId="2" type="noConversion"/>
  </si>
  <si>
    <t>鏵友益</t>
    <phoneticPr fontId="2" type="noConversion"/>
  </si>
  <si>
    <t>潤德</t>
    <phoneticPr fontId="2" type="noConversion"/>
  </si>
  <si>
    <t>海柏特</t>
    <phoneticPr fontId="2" type="noConversion"/>
  </si>
  <si>
    <t>全福生技</t>
    <phoneticPr fontId="2" type="noConversion"/>
  </si>
  <si>
    <t>寶綠特-KY</t>
    <phoneticPr fontId="2" type="noConversion"/>
  </si>
  <si>
    <t>來億-KY</t>
    <phoneticPr fontId="2" type="noConversion"/>
  </si>
  <si>
    <t>衛司特</t>
    <phoneticPr fontId="2" type="noConversion"/>
  </si>
  <si>
    <t>宏碩系統</t>
    <phoneticPr fontId="2" type="noConversion"/>
  </si>
  <si>
    <t>創為精密</t>
    <phoneticPr fontId="2" type="noConversion"/>
  </si>
  <si>
    <t>鑽石投資</t>
    <phoneticPr fontId="2" type="noConversion"/>
  </si>
  <si>
    <t>GOGOLOOK</t>
    <phoneticPr fontId="2" type="noConversion"/>
  </si>
  <si>
    <t>巨漢</t>
    <phoneticPr fontId="2" type="noConversion"/>
  </si>
  <si>
    <t>伯鑫</t>
    <phoneticPr fontId="2" type="noConversion"/>
  </si>
  <si>
    <t>現觀科</t>
    <phoneticPr fontId="2" type="noConversion"/>
  </si>
  <si>
    <t>雅特力-KY</t>
    <phoneticPr fontId="2" type="noConversion"/>
  </si>
  <si>
    <t>創控</t>
    <phoneticPr fontId="2" type="noConversion"/>
  </si>
  <si>
    <t>德鴻</t>
    <phoneticPr fontId="2" type="noConversion"/>
  </si>
  <si>
    <t>鴻呈</t>
    <phoneticPr fontId="2" type="noConversion"/>
  </si>
  <si>
    <t>阜爾運通</t>
    <phoneticPr fontId="2" type="noConversion"/>
  </si>
  <si>
    <t>華凌</t>
    <phoneticPr fontId="2" type="noConversion"/>
  </si>
  <si>
    <t>愛派司</t>
    <phoneticPr fontId="2" type="noConversion"/>
  </si>
  <si>
    <t>康霈*</t>
    <phoneticPr fontId="2" type="noConversion"/>
  </si>
  <si>
    <t>嘉雨思-創</t>
    <phoneticPr fontId="2" type="noConversion"/>
  </si>
  <si>
    <t>宸曜</t>
    <phoneticPr fontId="2" type="noConversion"/>
  </si>
  <si>
    <t>中台</t>
    <phoneticPr fontId="2" type="noConversion"/>
  </si>
  <si>
    <t>榮惠-KY創</t>
    <phoneticPr fontId="2" type="noConversion"/>
  </si>
  <si>
    <t>意藍</t>
    <phoneticPr fontId="2" type="noConversion"/>
  </si>
  <si>
    <t>攸泰科技</t>
    <phoneticPr fontId="2" type="noConversion"/>
  </si>
  <si>
    <t>佑全</t>
    <phoneticPr fontId="2" type="noConversion"/>
  </si>
  <si>
    <t>青松健康</t>
    <phoneticPr fontId="2" type="noConversion"/>
  </si>
  <si>
    <t>AMAX-KY</t>
    <phoneticPr fontId="2" type="noConversion"/>
  </si>
  <si>
    <t>心誠鎂</t>
    <phoneticPr fontId="2" type="noConversion"/>
  </si>
  <si>
    <t>永鴻生技</t>
    <phoneticPr fontId="2" type="noConversion"/>
  </si>
  <si>
    <t>天虹</t>
    <phoneticPr fontId="2" type="noConversion"/>
  </si>
  <si>
    <t>兆聯實業</t>
    <phoneticPr fontId="2" type="noConversion"/>
  </si>
  <si>
    <t>沛爾生醫-創</t>
    <phoneticPr fontId="2" type="noConversion"/>
  </si>
  <si>
    <t>青新-創</t>
    <phoneticPr fontId="2" type="noConversion"/>
  </si>
  <si>
    <t>大武山</t>
    <phoneticPr fontId="2" type="noConversion"/>
  </si>
  <si>
    <t>家碩</t>
    <phoneticPr fontId="2" type="noConversion"/>
  </si>
  <si>
    <t>邦睿生技-創</t>
    <phoneticPr fontId="2" type="noConversion"/>
  </si>
  <si>
    <t>裕慶-KY</t>
    <phoneticPr fontId="2" type="noConversion"/>
  </si>
  <si>
    <t>日盛台駿</t>
    <phoneticPr fontId="2" type="noConversion"/>
  </si>
  <si>
    <t>旅天下</t>
    <phoneticPr fontId="2" type="noConversion"/>
  </si>
  <si>
    <t>奕力-KY</t>
    <phoneticPr fontId="2" type="noConversion"/>
  </si>
  <si>
    <t>中傑-KY</t>
    <phoneticPr fontId="2" type="noConversion"/>
  </si>
  <si>
    <t>汎瑋材料</t>
    <phoneticPr fontId="2" type="noConversion"/>
  </si>
  <si>
    <t>萬達寵物</t>
    <phoneticPr fontId="2" type="noConversion"/>
  </si>
  <si>
    <t>成信實業*-創</t>
    <phoneticPr fontId="2" type="noConversion"/>
  </si>
  <si>
    <t>惠民實業</t>
    <phoneticPr fontId="2" type="noConversion"/>
  </si>
  <si>
    <t>大井泵浦</t>
    <phoneticPr fontId="2" type="noConversion"/>
  </si>
  <si>
    <t>威力暘-創</t>
    <phoneticPr fontId="2" type="noConversion"/>
  </si>
  <si>
    <t>富威電力</t>
    <phoneticPr fontId="2" type="noConversion"/>
  </si>
  <si>
    <t>力領科技</t>
    <phoneticPr fontId="2" type="noConversion"/>
  </si>
  <si>
    <t>博弘</t>
    <phoneticPr fontId="2" type="noConversion"/>
  </si>
  <si>
    <t>邑錡</t>
    <phoneticPr fontId="2" type="noConversion"/>
  </si>
  <si>
    <t>碩網</t>
    <phoneticPr fontId="2" type="noConversion"/>
  </si>
  <si>
    <t>意德士</t>
    <phoneticPr fontId="2" type="noConversion"/>
  </si>
  <si>
    <t>樂意</t>
    <phoneticPr fontId="2" type="noConversion"/>
  </si>
  <si>
    <t>聯友金屬-創</t>
    <phoneticPr fontId="2" type="noConversion"/>
  </si>
  <si>
    <t>聚賢研發-創</t>
    <phoneticPr fontId="2" type="noConversion"/>
  </si>
  <si>
    <t>昶瑞機電</t>
    <phoneticPr fontId="2" type="noConversion"/>
  </si>
  <si>
    <t>銳澤</t>
    <phoneticPr fontId="2" type="noConversion"/>
  </si>
  <si>
    <t>明遠精密</t>
    <phoneticPr fontId="2" type="noConversion"/>
  </si>
  <si>
    <t>三商餐飲</t>
    <phoneticPr fontId="2" type="noConversion"/>
  </si>
  <si>
    <t>全家餐飲</t>
    <phoneticPr fontId="2" type="noConversion"/>
  </si>
  <si>
    <t>榮田</t>
    <phoneticPr fontId="2" type="noConversion"/>
  </si>
  <si>
    <t>永擎</t>
    <phoneticPr fontId="2" type="noConversion"/>
  </si>
  <si>
    <t>博盛半導體</t>
    <phoneticPr fontId="2" type="noConversion"/>
  </si>
  <si>
    <t>威力德生醫</t>
    <phoneticPr fontId="2" type="noConversion"/>
  </si>
  <si>
    <t>創泓科技</t>
    <phoneticPr fontId="2" type="noConversion"/>
  </si>
  <si>
    <t>裕山</t>
    <phoneticPr fontId="2" type="noConversion"/>
  </si>
  <si>
    <t>昱臺國際</t>
    <phoneticPr fontId="2" type="noConversion"/>
  </si>
  <si>
    <t>萊德光電-KY</t>
    <phoneticPr fontId="2" type="noConversion"/>
  </si>
  <si>
    <t>友鋮</t>
    <phoneticPr fontId="2" type="noConversion"/>
  </si>
  <si>
    <t>微程式</t>
    <phoneticPr fontId="2" type="noConversion"/>
  </si>
  <si>
    <t>LINEPAY</t>
    <phoneticPr fontId="2" type="noConversion"/>
  </si>
  <si>
    <t>築間</t>
    <phoneticPr fontId="2" type="noConversion"/>
  </si>
  <si>
    <t>光焱科技</t>
    <phoneticPr fontId="2" type="noConversion"/>
  </si>
  <si>
    <t>暉盛-創</t>
    <phoneticPr fontId="2" type="noConversion"/>
  </si>
  <si>
    <t>金興精密</t>
    <phoneticPr fontId="2" type="noConversion"/>
  </si>
  <si>
    <t>印能科技</t>
    <phoneticPr fontId="2" type="noConversion"/>
  </si>
  <si>
    <t>虎山</t>
    <phoneticPr fontId="2" type="noConversion"/>
  </si>
  <si>
    <t>東聯互動</t>
    <phoneticPr fontId="2" type="noConversion"/>
  </si>
  <si>
    <t>熙特爾-創</t>
    <phoneticPr fontId="2" type="noConversion"/>
  </si>
  <si>
    <t>金利食安</t>
    <phoneticPr fontId="2" type="noConversion"/>
  </si>
  <si>
    <t>崴寶</t>
    <phoneticPr fontId="2" type="noConversion"/>
  </si>
  <si>
    <t>昕奇雲端</t>
    <phoneticPr fontId="2" type="noConversion"/>
  </si>
  <si>
    <t>意騰-KY</t>
    <phoneticPr fontId="2" type="noConversion"/>
  </si>
  <si>
    <t>新代</t>
    <phoneticPr fontId="2" type="noConversion"/>
  </si>
  <si>
    <t>竑騰</t>
    <phoneticPr fontId="2" type="noConversion"/>
  </si>
  <si>
    <t>星亞</t>
    <phoneticPr fontId="2" type="noConversion"/>
  </si>
  <si>
    <t>金色三麥</t>
    <phoneticPr fontId="2" type="noConversion"/>
  </si>
  <si>
    <t>中華資安</t>
    <phoneticPr fontId="2" type="noConversion"/>
  </si>
  <si>
    <t>仁大資訊</t>
    <phoneticPr fontId="2" type="noConversion"/>
  </si>
  <si>
    <t>鴻勁</t>
    <phoneticPr fontId="2" type="noConversion"/>
  </si>
  <si>
    <t>君曜</t>
    <phoneticPr fontId="2" type="noConversion"/>
  </si>
  <si>
    <t>能率亞洲</t>
    <phoneticPr fontId="2" type="noConversion"/>
  </si>
  <si>
    <t>大研生醫*</t>
    <phoneticPr fontId="2" type="noConversion"/>
  </si>
  <si>
    <t>光速火箭</t>
    <phoneticPr fontId="2" type="noConversion"/>
  </si>
  <si>
    <t>東方風能</t>
    <phoneticPr fontId="2" type="noConversion"/>
  </si>
  <si>
    <t>松川精密</t>
    <phoneticPr fontId="2" type="noConversion"/>
  </si>
  <si>
    <t>皇家可口</t>
    <phoneticPr fontId="2" type="noConversion"/>
  </si>
  <si>
    <t>安葆</t>
    <phoneticPr fontId="2" type="noConversion"/>
  </si>
  <si>
    <t>長廣</t>
    <phoneticPr fontId="2" type="noConversion"/>
  </si>
  <si>
    <t>禾榮科</t>
    <phoneticPr fontId="2" type="noConversion"/>
  </si>
  <si>
    <t>威聯通</t>
    <phoneticPr fontId="2" type="noConversion"/>
  </si>
  <si>
    <t>捷創科技</t>
    <phoneticPr fontId="2" type="noConversion"/>
  </si>
  <si>
    <t>台通</t>
    <phoneticPr fontId="2" type="noConversion"/>
  </si>
  <si>
    <t>矽創</t>
    <phoneticPr fontId="2" type="noConversion"/>
  </si>
  <si>
    <t>尖點</t>
    <phoneticPr fontId="2" type="noConversion"/>
  </si>
  <si>
    <t>佑華</t>
    <phoneticPr fontId="2" type="noConversion"/>
  </si>
  <si>
    <t>鈦昇</t>
    <phoneticPr fontId="2" type="noConversion"/>
  </si>
  <si>
    <t>昇陽半導體</t>
    <phoneticPr fontId="2" type="noConversion"/>
  </si>
  <si>
    <t>光菱</t>
    <phoneticPr fontId="2" type="noConversion"/>
  </si>
  <si>
    <t>雷虎</t>
    <phoneticPr fontId="2" type="noConversion"/>
  </si>
  <si>
    <t>榮群</t>
    <phoneticPr fontId="2" type="noConversion"/>
  </si>
  <si>
    <t>長園科</t>
    <phoneticPr fontId="2" type="noConversion"/>
  </si>
  <si>
    <t>台虹</t>
    <phoneticPr fontId="2" type="noConversion"/>
  </si>
  <si>
    <t>九暘</t>
    <phoneticPr fontId="2" type="noConversion"/>
  </si>
  <si>
    <t>金山電</t>
    <phoneticPr fontId="2" type="noConversion"/>
  </si>
  <si>
    <t>蜜望實</t>
    <phoneticPr fontId="2" type="noConversion"/>
  </si>
  <si>
    <t>網家</t>
    <phoneticPr fontId="2" type="noConversion"/>
  </si>
  <si>
    <t>達運光電</t>
    <phoneticPr fontId="2" type="noConversion"/>
  </si>
  <si>
    <t>南電</t>
    <phoneticPr fontId="2" type="noConversion"/>
  </si>
  <si>
    <t>星雲</t>
    <phoneticPr fontId="2" type="noConversion"/>
  </si>
  <si>
    <t>德勝</t>
    <phoneticPr fontId="2" type="noConversion"/>
  </si>
  <si>
    <t>晶采</t>
    <phoneticPr fontId="2" type="noConversion"/>
  </si>
  <si>
    <t>廣積</t>
    <phoneticPr fontId="2" type="noConversion"/>
  </si>
  <si>
    <t>安國</t>
    <phoneticPr fontId="2" type="noConversion"/>
  </si>
  <si>
    <t>凱碩</t>
    <phoneticPr fontId="2" type="noConversion"/>
  </si>
  <si>
    <t>東捷</t>
    <phoneticPr fontId="2" type="noConversion"/>
  </si>
  <si>
    <t>來思達</t>
    <phoneticPr fontId="2" type="noConversion"/>
  </si>
  <si>
    <t>志旭</t>
    <phoneticPr fontId="2" type="noConversion"/>
  </si>
  <si>
    <t>全達</t>
    <phoneticPr fontId="2" type="noConversion"/>
  </si>
  <si>
    <t>元太</t>
    <phoneticPr fontId="2" type="noConversion"/>
  </si>
  <si>
    <t>長華*</t>
    <phoneticPr fontId="2" type="noConversion"/>
  </si>
  <si>
    <t>能率網通</t>
    <phoneticPr fontId="2" type="noConversion"/>
  </si>
  <si>
    <t>陞泰</t>
    <phoneticPr fontId="2" type="noConversion"/>
  </si>
  <si>
    <t>鉅橡</t>
    <phoneticPr fontId="2" type="noConversion"/>
  </si>
  <si>
    <t>伍豐</t>
    <phoneticPr fontId="2" type="noConversion"/>
  </si>
  <si>
    <t>洛碁</t>
    <phoneticPr fontId="2" type="noConversion"/>
  </si>
  <si>
    <t>泰霖</t>
    <phoneticPr fontId="2" type="noConversion"/>
  </si>
  <si>
    <t>致新</t>
    <phoneticPr fontId="2" type="noConversion"/>
  </si>
  <si>
    <t>瑞穎</t>
    <phoneticPr fontId="2" type="noConversion"/>
  </si>
  <si>
    <t>巨虹</t>
    <phoneticPr fontId="2" type="noConversion"/>
  </si>
  <si>
    <t>福華</t>
    <phoneticPr fontId="2" type="noConversion"/>
  </si>
  <si>
    <t>宏捷科</t>
    <phoneticPr fontId="2" type="noConversion"/>
  </si>
  <si>
    <t>麗升能源</t>
    <phoneticPr fontId="2" type="noConversion"/>
  </si>
  <si>
    <t>品安</t>
    <phoneticPr fontId="2" type="noConversion"/>
  </si>
  <si>
    <t>康全電訊</t>
    <phoneticPr fontId="2" type="noConversion"/>
  </si>
  <si>
    <t>翔名</t>
    <phoneticPr fontId="2" type="noConversion"/>
  </si>
  <si>
    <t>建暐</t>
    <phoneticPr fontId="2" type="noConversion"/>
  </si>
  <si>
    <t>保銳</t>
    <phoneticPr fontId="2" type="noConversion"/>
  </si>
  <si>
    <t>擎亞</t>
    <phoneticPr fontId="2" type="noConversion"/>
  </si>
  <si>
    <t>常珵</t>
    <phoneticPr fontId="2" type="noConversion"/>
  </si>
  <si>
    <t>大世科</t>
    <phoneticPr fontId="2" type="noConversion"/>
  </si>
  <si>
    <t>華冠</t>
    <phoneticPr fontId="2" type="noConversion"/>
  </si>
  <si>
    <t>傑霖科技</t>
    <phoneticPr fontId="2" type="noConversion"/>
  </si>
  <si>
    <t>瀚荃</t>
    <phoneticPr fontId="2" type="noConversion"/>
  </si>
  <si>
    <t>錸寶</t>
    <phoneticPr fontId="2" type="noConversion"/>
  </si>
  <si>
    <t>凌巨</t>
    <phoneticPr fontId="2" type="noConversion"/>
  </si>
  <si>
    <t>大億金茂</t>
    <phoneticPr fontId="2" type="noConversion"/>
  </si>
  <si>
    <t>博大</t>
    <phoneticPr fontId="2" type="noConversion"/>
  </si>
  <si>
    <t>華東</t>
    <phoneticPr fontId="2" type="noConversion"/>
  </si>
  <si>
    <t>立碁</t>
    <phoneticPr fontId="2" type="noConversion"/>
  </si>
  <si>
    <t>至上</t>
    <phoneticPr fontId="2" type="noConversion"/>
  </si>
  <si>
    <t>振樺電</t>
    <phoneticPr fontId="2" type="noConversion"/>
  </si>
  <si>
    <t>越峰</t>
    <phoneticPr fontId="2" type="noConversion"/>
  </si>
  <si>
    <t>福懋科</t>
    <phoneticPr fontId="2" type="noConversion"/>
  </si>
  <si>
    <t>正淩</t>
    <phoneticPr fontId="2" type="noConversion"/>
  </si>
  <si>
    <t>南茂</t>
    <phoneticPr fontId="2" type="noConversion"/>
  </si>
  <si>
    <t>博智</t>
    <phoneticPr fontId="2" type="noConversion"/>
  </si>
  <si>
    <t>微矽電子-創</t>
    <phoneticPr fontId="2" type="noConversion"/>
  </si>
  <si>
    <t>達方</t>
    <phoneticPr fontId="2" type="noConversion"/>
  </si>
  <si>
    <t>天宇</t>
    <phoneticPr fontId="2" type="noConversion"/>
  </si>
  <si>
    <t>智捷</t>
    <phoneticPr fontId="2" type="noConversion"/>
  </si>
  <si>
    <t>加高</t>
    <phoneticPr fontId="2" type="noConversion"/>
  </si>
  <si>
    <t>精星</t>
    <phoneticPr fontId="2" type="noConversion"/>
  </si>
  <si>
    <t>無敵</t>
    <phoneticPr fontId="2" type="noConversion"/>
  </si>
  <si>
    <t>勤誠</t>
    <phoneticPr fontId="2" type="noConversion"/>
  </si>
  <si>
    <t>志超</t>
    <phoneticPr fontId="2" type="noConversion"/>
  </si>
  <si>
    <t>明基材</t>
    <phoneticPr fontId="2" type="noConversion"/>
  </si>
  <si>
    <t>寶一</t>
    <phoneticPr fontId="2" type="noConversion"/>
  </si>
  <si>
    <t>巨有科技</t>
    <phoneticPr fontId="2" type="noConversion"/>
  </si>
  <si>
    <t>新漢</t>
    <phoneticPr fontId="2" type="noConversion"/>
  </si>
  <si>
    <t>華宏</t>
    <phoneticPr fontId="2" type="noConversion"/>
  </si>
  <si>
    <t>菱光</t>
    <phoneticPr fontId="2" type="noConversion"/>
  </si>
  <si>
    <t>朋程</t>
    <phoneticPr fontId="2" type="noConversion"/>
  </si>
  <si>
    <t>富鼎</t>
    <phoneticPr fontId="2" type="noConversion"/>
  </si>
  <si>
    <t>宇瞻</t>
    <phoneticPr fontId="2" type="noConversion"/>
  </si>
  <si>
    <t>全景軟體</t>
    <phoneticPr fontId="2" type="noConversion"/>
  </si>
  <si>
    <t>商丞</t>
    <phoneticPr fontId="2" type="noConversion"/>
  </si>
  <si>
    <t>生展</t>
    <phoneticPr fontId="2" type="noConversion"/>
  </si>
  <si>
    <t>三竹</t>
    <phoneticPr fontId="2" type="noConversion"/>
  </si>
  <si>
    <t>泰藝</t>
    <phoneticPr fontId="2" type="noConversion"/>
  </si>
  <si>
    <t>尚茂</t>
    <phoneticPr fontId="2" type="noConversion"/>
  </si>
  <si>
    <t>群聯</t>
    <phoneticPr fontId="2" type="noConversion"/>
  </si>
  <si>
    <t>日友</t>
    <phoneticPr fontId="2" type="noConversion"/>
  </si>
  <si>
    <t>益張</t>
    <phoneticPr fontId="2" type="noConversion"/>
  </si>
  <si>
    <t>恒耀</t>
    <phoneticPr fontId="2" type="noConversion"/>
  </si>
  <si>
    <t>冠好</t>
    <phoneticPr fontId="2" type="noConversion"/>
  </si>
  <si>
    <t>金居</t>
    <phoneticPr fontId="2" type="noConversion"/>
  </si>
  <si>
    <t>建新國際</t>
    <phoneticPr fontId="2" type="noConversion"/>
  </si>
  <si>
    <t>羅昇</t>
    <phoneticPr fontId="2" type="noConversion"/>
  </si>
  <si>
    <t>千附</t>
    <phoneticPr fontId="2" type="noConversion"/>
  </si>
  <si>
    <t>金益鼎</t>
    <phoneticPr fontId="2" type="noConversion"/>
  </si>
  <si>
    <t>白紗科</t>
    <phoneticPr fontId="2" type="noConversion"/>
  </si>
  <si>
    <t>盛弘</t>
    <phoneticPr fontId="2" type="noConversion"/>
  </si>
  <si>
    <t>百和興業-KY</t>
    <phoneticPr fontId="2" type="noConversion"/>
  </si>
  <si>
    <t>商之器</t>
    <phoneticPr fontId="2" type="noConversion"/>
  </si>
  <si>
    <t>森田</t>
    <phoneticPr fontId="2" type="noConversion"/>
  </si>
  <si>
    <t>福貞-KY</t>
    <phoneticPr fontId="2" type="noConversion"/>
  </si>
  <si>
    <t>大國鋼</t>
    <phoneticPr fontId="2" type="noConversion"/>
  </si>
  <si>
    <t>實威</t>
    <phoneticPr fontId="2" type="noConversion"/>
  </si>
  <si>
    <t>旭源</t>
    <phoneticPr fontId="2" type="noConversion"/>
  </si>
  <si>
    <t>可寧衛*</t>
    <phoneticPr fontId="2" type="noConversion"/>
  </si>
  <si>
    <t>保綠-KY</t>
    <phoneticPr fontId="2" type="noConversion"/>
  </si>
  <si>
    <t>惠普</t>
    <phoneticPr fontId="2" type="noConversion"/>
  </si>
  <si>
    <t>紅木-KY</t>
    <phoneticPr fontId="2" type="noConversion"/>
  </si>
  <si>
    <t>金麗-KY</t>
    <phoneticPr fontId="2" type="noConversion"/>
  </si>
  <si>
    <t>匯鑽科</t>
    <phoneticPr fontId="2" type="noConversion"/>
  </si>
  <si>
    <t>東生華</t>
    <phoneticPr fontId="2" type="noConversion"/>
  </si>
  <si>
    <t>弘帆</t>
    <phoneticPr fontId="2" type="noConversion"/>
  </si>
  <si>
    <t>鉅邁</t>
    <phoneticPr fontId="2" type="noConversion"/>
  </si>
  <si>
    <t>大江</t>
    <phoneticPr fontId="2" type="noConversion"/>
  </si>
  <si>
    <t>大地-KY</t>
    <phoneticPr fontId="2" type="noConversion"/>
  </si>
  <si>
    <t>昶昕</t>
    <phoneticPr fontId="2" type="noConversion"/>
  </si>
  <si>
    <t>綠電</t>
    <phoneticPr fontId="2" type="noConversion"/>
  </si>
  <si>
    <t>威宏-KY</t>
    <phoneticPr fontId="2" type="noConversion"/>
  </si>
  <si>
    <t>阿瘦</t>
    <phoneticPr fontId="2" type="noConversion"/>
  </si>
  <si>
    <t>綠河-KY</t>
    <phoneticPr fontId="2" type="noConversion"/>
  </si>
  <si>
    <t>華研</t>
    <phoneticPr fontId="2" type="noConversion"/>
  </si>
  <si>
    <t>霹靂</t>
    <phoneticPr fontId="2" type="noConversion"/>
  </si>
  <si>
    <t>富邦媒</t>
    <phoneticPr fontId="2" type="noConversion"/>
  </si>
  <si>
    <t>大拓-KY</t>
    <phoneticPr fontId="2" type="noConversion"/>
  </si>
  <si>
    <t>柏文</t>
    <phoneticPr fontId="2" type="noConversion"/>
  </si>
  <si>
    <t>潤泰材</t>
    <phoneticPr fontId="2" type="noConversion"/>
  </si>
  <si>
    <t>億豐</t>
    <phoneticPr fontId="2" type="noConversion"/>
  </si>
  <si>
    <t>美吉吉-KY</t>
    <phoneticPr fontId="2" type="noConversion"/>
  </si>
  <si>
    <t>波力-KY</t>
    <phoneticPr fontId="2" type="noConversion"/>
  </si>
  <si>
    <t>夠麻吉</t>
    <phoneticPr fontId="2" type="noConversion"/>
  </si>
  <si>
    <t>山林水</t>
    <phoneticPr fontId="2" type="noConversion"/>
  </si>
  <si>
    <t>台境*</t>
    <phoneticPr fontId="2" type="noConversion"/>
  </si>
  <si>
    <t>創業家</t>
    <phoneticPr fontId="2" type="noConversion"/>
  </si>
  <si>
    <t>東哥遊艇</t>
    <phoneticPr fontId="2" type="noConversion"/>
  </si>
  <si>
    <t>政伸</t>
    <phoneticPr fontId="2" type="noConversion"/>
  </si>
  <si>
    <t>商億-KY</t>
    <phoneticPr fontId="2" type="noConversion"/>
  </si>
  <si>
    <t>愛爾達-創</t>
    <phoneticPr fontId="2" type="noConversion"/>
  </si>
  <si>
    <t>吉源-KY</t>
    <phoneticPr fontId="2" type="noConversion"/>
  </si>
  <si>
    <t>三貝德</t>
    <phoneticPr fontId="2" type="noConversion"/>
  </si>
  <si>
    <t>鼎炫-KY</t>
    <phoneticPr fontId="2" type="noConversion"/>
  </si>
  <si>
    <t>裕國</t>
    <phoneticPr fontId="2" type="noConversion"/>
  </si>
  <si>
    <t>花王</t>
    <phoneticPr fontId="2" type="noConversion"/>
  </si>
  <si>
    <t>欣雄</t>
    <phoneticPr fontId="2" type="noConversion"/>
  </si>
  <si>
    <t>光隆</t>
    <phoneticPr fontId="2" type="noConversion"/>
  </si>
  <si>
    <t>欣泰</t>
    <phoneticPr fontId="2" type="noConversion"/>
  </si>
  <si>
    <t>沈氏</t>
    <phoneticPr fontId="2" type="noConversion"/>
  </si>
  <si>
    <t>時報</t>
    <phoneticPr fontId="2" type="noConversion"/>
  </si>
  <si>
    <t>大田</t>
    <phoneticPr fontId="2" type="noConversion"/>
  </si>
  <si>
    <t>台汽電</t>
    <phoneticPr fontId="2" type="noConversion"/>
  </si>
  <si>
    <t>北基</t>
    <phoneticPr fontId="2" type="noConversion"/>
  </si>
  <si>
    <t>鉅明</t>
    <phoneticPr fontId="2" type="noConversion"/>
  </si>
  <si>
    <t>富堡</t>
    <phoneticPr fontId="2" type="noConversion"/>
  </si>
  <si>
    <t>青鋼</t>
    <phoneticPr fontId="2" type="noConversion"/>
  </si>
  <si>
    <t>大汽電</t>
    <phoneticPr fontId="2" type="noConversion"/>
  </si>
  <si>
    <t>智通*</t>
    <phoneticPr fontId="2" type="noConversion"/>
  </si>
  <si>
    <t>愛地雅</t>
    <phoneticPr fontId="2" type="noConversion"/>
  </si>
  <si>
    <t>邦泰</t>
    <phoneticPr fontId="2" type="noConversion"/>
  </si>
  <si>
    <t>國統</t>
    <phoneticPr fontId="2" type="noConversion"/>
  </si>
  <si>
    <t>合騏</t>
    <phoneticPr fontId="2" type="noConversion"/>
  </si>
  <si>
    <t>明安</t>
    <phoneticPr fontId="2" type="noConversion"/>
  </si>
  <si>
    <t>新天地</t>
    <phoneticPr fontId="2" type="noConversion"/>
  </si>
  <si>
    <t>關中</t>
    <phoneticPr fontId="2" type="noConversion"/>
  </si>
  <si>
    <t>森鉅</t>
    <phoneticPr fontId="2" type="noConversion"/>
  </si>
  <si>
    <t>高力</t>
    <phoneticPr fontId="2" type="noConversion"/>
  </si>
  <si>
    <t>美德醫療-DR</t>
    <phoneticPr fontId="2" type="noConversion"/>
  </si>
  <si>
    <t>康師傅-DR</t>
    <phoneticPr fontId="2" type="noConversion"/>
  </si>
  <si>
    <t>泰金寶-DR</t>
    <phoneticPr fontId="2" type="noConversion"/>
  </si>
  <si>
    <t>神州-DR</t>
    <phoneticPr fontId="2" type="noConversion"/>
  </si>
  <si>
    <t>越南控-DR</t>
    <phoneticPr fontId="2" type="noConversion"/>
  </si>
  <si>
    <t>明輝-DR</t>
    <phoneticPr fontId="2" type="noConversion"/>
  </si>
  <si>
    <t>泰聚亨-DR</t>
    <phoneticPr fontId="2" type="noConversion"/>
  </si>
  <si>
    <t>同方友友-DR</t>
    <phoneticPr fontId="2" type="noConversion"/>
  </si>
  <si>
    <t>晨訊科-DR</t>
    <phoneticPr fontId="2" type="noConversion"/>
  </si>
  <si>
    <t>巨騰-DR</t>
    <phoneticPr fontId="2" type="noConversion"/>
  </si>
  <si>
    <t>鈺齊-KY</t>
    <phoneticPr fontId="2" type="noConversion"/>
  </si>
  <si>
    <t>台火</t>
    <phoneticPr fontId="2" type="noConversion"/>
  </si>
  <si>
    <t>寶成</t>
    <phoneticPr fontId="2" type="noConversion"/>
  </si>
  <si>
    <t>大華</t>
    <phoneticPr fontId="2" type="noConversion"/>
  </si>
  <si>
    <t>欣巴巴</t>
    <phoneticPr fontId="2" type="noConversion"/>
  </si>
  <si>
    <t>統一實</t>
    <phoneticPr fontId="2" type="noConversion"/>
  </si>
  <si>
    <t>大台北</t>
    <phoneticPr fontId="2" type="noConversion"/>
  </si>
  <si>
    <t>豐泰</t>
    <phoneticPr fontId="2" type="noConversion"/>
  </si>
  <si>
    <t>櫻花</t>
    <phoneticPr fontId="2" type="noConversion"/>
  </si>
  <si>
    <t>偉聯</t>
    <phoneticPr fontId="2" type="noConversion"/>
  </si>
  <si>
    <t>美利達</t>
    <phoneticPr fontId="2" type="noConversion"/>
  </si>
  <si>
    <t>中保科</t>
    <phoneticPr fontId="2" type="noConversion"/>
  </si>
  <si>
    <t>欣天然</t>
    <phoneticPr fontId="2" type="noConversion"/>
  </si>
  <si>
    <t>康那香</t>
    <phoneticPr fontId="2" type="noConversion"/>
  </si>
  <si>
    <t>巨大</t>
    <phoneticPr fontId="2" type="noConversion"/>
  </si>
  <si>
    <t>福興</t>
    <phoneticPr fontId="2" type="noConversion"/>
  </si>
  <si>
    <t>新保</t>
    <phoneticPr fontId="2" type="noConversion"/>
  </si>
  <si>
    <t>新海</t>
    <phoneticPr fontId="2" type="noConversion"/>
  </si>
  <si>
    <t>泰銘</t>
    <phoneticPr fontId="2" type="noConversion"/>
  </si>
  <si>
    <t>中視</t>
    <phoneticPr fontId="2" type="noConversion"/>
  </si>
  <si>
    <t>秋雨</t>
    <phoneticPr fontId="2" type="noConversion"/>
  </si>
  <si>
    <t>中聯資源</t>
    <phoneticPr fontId="2" type="noConversion"/>
  </si>
  <si>
    <t>欣高</t>
    <phoneticPr fontId="2" type="noConversion"/>
  </si>
  <si>
    <t>中鼎</t>
    <phoneticPr fontId="2" type="noConversion"/>
  </si>
  <si>
    <t>成霖</t>
    <phoneticPr fontId="2" type="noConversion"/>
  </si>
  <si>
    <t>慶豐富</t>
    <phoneticPr fontId="2" type="noConversion"/>
  </si>
  <si>
    <t>全國</t>
    <phoneticPr fontId="2" type="noConversion"/>
  </si>
  <si>
    <t>百和</t>
    <phoneticPr fontId="2" type="noConversion"/>
  </si>
  <si>
    <t>宏全</t>
    <phoneticPr fontId="2" type="noConversion"/>
  </si>
  <si>
    <t>信義</t>
    <phoneticPr fontId="2" type="noConversion"/>
  </si>
  <si>
    <t>裕融</t>
    <phoneticPr fontId="2" type="noConversion"/>
  </si>
  <si>
    <t>茂順</t>
    <phoneticPr fontId="2" type="noConversion"/>
  </si>
  <si>
    <t>好樂迪</t>
    <phoneticPr fontId="2" type="noConversion"/>
  </si>
  <si>
    <t>新麗</t>
    <phoneticPr fontId="2" type="noConversion"/>
  </si>
  <si>
    <t>潤泰新</t>
    <phoneticPr fontId="2" type="noConversion"/>
  </si>
  <si>
    <t>三發地產</t>
    <phoneticPr fontId="2" type="noConversion"/>
  </si>
  <si>
    <t>琉園</t>
    <phoneticPr fontId="2" type="noConversion"/>
  </si>
  <si>
    <t>萬國通</t>
    <phoneticPr fontId="2" type="noConversion"/>
  </si>
  <si>
    <t>皇田</t>
    <phoneticPr fontId="2" type="noConversion"/>
  </si>
  <si>
    <t>佳龍</t>
    <phoneticPr fontId="2" type="noConversion"/>
  </si>
  <si>
    <t>世紀鋼</t>
    <phoneticPr fontId="2" type="noConversion"/>
  </si>
  <si>
    <t>邁達康</t>
    <phoneticPr fontId="2" type="noConversion"/>
  </si>
  <si>
    <t>有益</t>
    <phoneticPr fontId="2" type="noConversion"/>
  </si>
  <si>
    <t>2330</t>
    <phoneticPr fontId="2" type="noConversion"/>
  </si>
  <si>
    <t>2454</t>
    <phoneticPr fontId="2" type="noConversion"/>
  </si>
  <si>
    <t>2338</t>
    <phoneticPr fontId="2" type="noConversion"/>
  </si>
  <si>
    <t>2449</t>
    <phoneticPr fontId="2" type="noConversion"/>
  </si>
  <si>
    <t>3680</t>
    <phoneticPr fontId="2" type="noConversion"/>
  </si>
  <si>
    <t>2308</t>
    <phoneticPr fontId="2" type="noConversion"/>
  </si>
  <si>
    <t>3711</t>
    <phoneticPr fontId="2" type="noConversion"/>
  </si>
  <si>
    <t>1711</t>
    <phoneticPr fontId="2" type="noConversion"/>
  </si>
  <si>
    <t>1727</t>
    <phoneticPr fontId="2" type="noConversion"/>
  </si>
  <si>
    <t>1717</t>
    <phoneticPr fontId="2" type="noConversion"/>
  </si>
  <si>
    <t>格式：一般排行///文字///日期//否//否</t>
    <phoneticPr fontId="2" type="noConversion"/>
  </si>
  <si>
    <t>基準日:最近一日</t>
    <phoneticPr fontId="2" type="noConversion"/>
  </si>
  <si>
    <t>更新標題:否</t>
    <phoneticPr fontId="2" type="noConversion"/>
  </si>
  <si>
    <t>表格欄位/代號種類^=^S^;^週期編號^=^D^;^AllCMenuIDs^=^M009,M009^;^是否轉置^=^False^;^檢視方式^=^2^;^AllFields^=^單月合併營收月變動(%),單月合併營收年成長(%)^;^MainTable^=^^;^ListType^=^^;^SelectDate^=^TOP 6|TOP 6^;^SelectCMenuID^=^M009^;^SelectDate種類^=^1|1^;^AllFieldsNO^=^,^;^自訂欄位公式^=^|^;^自訂欄位Where條件^=^|^;^多期數值處理方式^=^1|1^;^多欄指定個股方式^=^^;^多欄指定個股^=^^;^多欄指定群組名稱^=^^;^欄位顯示狀態^=^1|1^;^欄位轉換日期方式^=^月|月^;^欄位排序方式^=^|^;^欄位採用各期最新^=^|^;^樣本表系統定義全部代號^=^^;^單項目比較欄位^=^^;^單項目比較欄位編號^=^^;^表格類型^=^</t>
    <phoneticPr fontId="2" type="noConversion"/>
  </si>
  <si>
    <t>資料日期/</t>
    <phoneticPr fontId="2" type="noConversion"/>
  </si>
  <si>
    <t>參考標題</t>
    <phoneticPr fontId="2" type="noConversion"/>
  </si>
  <si>
    <t>股票代號</t>
    <phoneticPr fontId="2" type="noConversion"/>
  </si>
  <si>
    <t>股票名稱</t>
    <phoneticPr fontId="2" type="noConversion"/>
  </si>
  <si>
    <t>月營收(成長與達成率).單月合併營收月變動(%)/每一期/最近/6/遞增/月//</t>
    <phoneticPr fontId="2" type="noConversion"/>
  </si>
  <si>
    <t>202508單月合併營收月變動(%)</t>
  </si>
  <si>
    <t>月營收(成長與達成率).單月合併營收月變動(%)</t>
    <phoneticPr fontId="2" type="noConversion"/>
  </si>
  <si>
    <t>202509單月合併營收月變動(%)</t>
  </si>
  <si>
    <t>202510單月合併營收月變動(%)</t>
  </si>
  <si>
    <t>202601單月合併營收月變動(%)</t>
  </si>
  <si>
    <t>月營收(成長與達成率).單月合併營收年成長(%)/每一期/最近/6/遞增/月//</t>
    <phoneticPr fontId="2" type="noConversion"/>
  </si>
  <si>
    <t>202508單月合併營收年成長(%)</t>
  </si>
  <si>
    <t>月營收(成長與達成率).單月合併營收年成長(%)</t>
    <phoneticPr fontId="2" type="noConversion"/>
  </si>
  <si>
    <t>202509單月合併營收年成長(%)</t>
  </si>
  <si>
    <t>202510單月合併營收年成長(%)</t>
  </si>
  <si>
    <t>202601單月合併營收年成長(%)</t>
  </si>
  <si>
    <t>代碼/</t>
  </si>
  <si>
    <t>股名</t>
  </si>
  <si>
    <t>Cmoney
產業分類</t>
  </si>
  <si>
    <t>研究部
分類
次產業</t>
  </si>
  <si>
    <t>個服部
分類
次產業</t>
  </si>
  <si>
    <t>指標
股</t>
  </si>
  <si>
    <t>市值</t>
  </si>
  <si>
    <t>資料庫
更新
時間</t>
  </si>
  <si>
    <t>是否為0050</t>
  </si>
  <si>
    <t>個服部
產業分類</t>
  </si>
  <si>
    <t>繪圖特用</t>
  </si>
  <si>
    <t>詳細業務</t>
  </si>
  <si>
    <t>概念標籤</t>
  </si>
  <si>
    <t>備用1</t>
  </si>
  <si>
    <t>備用2</t>
  </si>
  <si>
    <t>個服部
分類
次產業(加未分類)</t>
    <phoneticPr fontId="8" type="noConversion"/>
  </si>
  <si>
    <t>1101</t>
    <phoneticPr fontId="8" type="noConversion"/>
  </si>
  <si>
    <t>傳產-水泥</t>
  </si>
  <si>
    <t>水泥營建</t>
  </si>
  <si>
    <t>YES</t>
  </si>
  <si>
    <t>水泥建材</t>
  </si>
  <si>
    <t>水泥、電廠開發(火力、太陽能、 風力、地熱)、储能、充電樁、鋰電池</t>
  </si>
  <si>
    <t/>
  </si>
  <si>
    <t>食品</t>
  </si>
  <si>
    <t>水泥、電廠開發(天然氣)</t>
  </si>
  <si>
    <t>塑膠</t>
  </si>
  <si>
    <t>水泥、生產、銷售</t>
  </si>
  <si>
    <t>營建與營造</t>
  </si>
  <si>
    <t>營建與
營造</t>
  </si>
  <si>
    <t>水泥及預拌混凝土之製造與銷售、石膏板之生產、加工及銷售與進、出口、代理銷售、其餘請參考本公司登記營業項目、</t>
  </si>
  <si>
    <t>汽機車零組件</t>
  </si>
  <si>
    <t>汽機車
零組件</t>
  </si>
  <si>
    <t>有關水泥及水泥製品之工業及相關事業</t>
  </si>
  <si>
    <t>製鞋與紡纖</t>
  </si>
  <si>
    <t>製鞋與
紡纖</t>
  </si>
  <si>
    <t>有關水泥及水泥製品之生產及運銷</t>
  </si>
  <si>
    <t>觀光餐飲</t>
  </si>
  <si>
    <t>(1)水泥製造與買賣(2)石灰石之開採及銷售、(3)水泥加工製品及預拌混凝土之製造及銷售、(4)廠房及大樓出租業(5)廢棄物處理業</t>
  </si>
  <si>
    <t>傳產-食品</t>
  </si>
  <si>
    <t>消費觀光</t>
  </si>
  <si>
    <t>物流倉儲</t>
  </si>
  <si>
    <t>食品製造及販賣</t>
  </si>
  <si>
    <t>供電與變壓</t>
  </si>
  <si>
    <t>味精醬油罐頭調理速食品飲料等製造及營銷有關進出口業務、洋菸酒類及飲料之進口及經銷、汽車檢驗及修理</t>
  </si>
  <si>
    <t>電機</t>
  </si>
  <si>
    <t>飼料、大宗油脂、肉品</t>
  </si>
  <si>
    <t>運動健身器材</t>
  </si>
  <si>
    <t>運動健身
器材</t>
  </si>
  <si>
    <t>製造蘋果汽水礦泉水及各種汽水飲料等之批發、經銷各國及國內有關飲料之產品副產品加工產品、百貨批發</t>
  </si>
  <si>
    <t>工具機與機械元件</t>
  </si>
  <si>
    <t>工具機與
機械元件</t>
  </si>
  <si>
    <t>各種飼料生產加工配製銷售進口及買賣、各種禽畜育種、電動屠宰業務及各種禽畜加工品製品銷售、各種肉類加工品與調理食品及蛋品生產銷售等業務</t>
  </si>
  <si>
    <t>鋼鐵金屬</t>
  </si>
  <si>
    <t>食品、便利商店、流通、包裝容器</t>
  </si>
  <si>
    <t>汽機車電子</t>
  </si>
  <si>
    <t>汽機車
電子</t>
  </si>
  <si>
    <t>公共工程</t>
  </si>
  <si>
    <t>各種食用油脂之精製及批發零售各種清涼飲料冷凍調理食品、各種禽畜魚類飼料之加工製造及買賣</t>
  </si>
  <si>
    <t>半導體
設備</t>
  </si>
  <si>
    <t>食用油脂、動物飼料、穀物食品、寵物食品、有機肥料等生產及銷售、進出口國際貿易、大宗穀物進口與銷售</t>
  </si>
  <si>
    <t>資訊機構件</t>
  </si>
  <si>
    <t>飼料製造販賣、果糖製造販賣、玉米澱粉製造販賣</t>
  </si>
  <si>
    <t>新能源</t>
  </si>
  <si>
    <t>麵粉，飼料，黃豆油，黃豆粉，大麥片，玉米粉之製造與銷售、家畜，家禽之養殖及肉類之加工銷售、一般進口貿易業務(許可業務除外)、</t>
  </si>
  <si>
    <t>電線電纜</t>
  </si>
  <si>
    <t>嬰兒麥粉，麥片及相關產品之生產製造、食用油及滋養飲料粉之分裝，加工，銷售業務、一般進出口貿易</t>
  </si>
  <si>
    <t>傢俱家電</t>
  </si>
  <si>
    <t>麵粉</t>
  </si>
  <si>
    <t>LED</t>
  </si>
  <si>
    <t>藥品製造</t>
  </si>
  <si>
    <t>黃豆油、粉加工，製造及銷售</t>
  </si>
  <si>
    <t>醫美保健通路</t>
  </si>
  <si>
    <t>醫美保健
通路</t>
  </si>
  <si>
    <t>茶葉製造加工、茶葉製品買賣、茶相關製品</t>
  </si>
  <si>
    <t>化工</t>
  </si>
  <si>
    <t>碳酸飲料，酒類，果蔬汁，咖啡飲料，運動飲料等</t>
  </si>
  <si>
    <t>醫材</t>
  </si>
  <si>
    <t>飼料</t>
  </si>
  <si>
    <t>新藥研發</t>
  </si>
  <si>
    <t>糖果、餅乾、巧克力之製造、加工及買賣、月餅、西點、麵包糕餅等食品之製造、加工及買賣、七七巧克力、禮坊名店、</t>
  </si>
  <si>
    <t>橡膠</t>
  </si>
  <si>
    <t>果汁、果粒、果粉類等產品之生產與銷售</t>
  </si>
  <si>
    <t>傳產-塑膠</t>
  </si>
  <si>
    <t>塑化橡</t>
  </si>
  <si>
    <t>紙業</t>
  </si>
  <si>
    <t>聚氯乙烯(PVC)、氯乙烯、液(石咸)、聚丙烯、高密度聚乙烯、聚乙烯醋酸乙烯酯、低密度聚乙烯、線性低密度聚乙烯、丙烯酸酯、高吸水性樹脂、碳素纖維、丙烯睛、甲基丙烯酸甲酯及環氧氯丙烷等</t>
  </si>
  <si>
    <t>汽機車製造或代理</t>
  </si>
  <si>
    <t>汽機車製造
或代理</t>
  </si>
  <si>
    <t>各種塑膠加工品、塑膠原料、電子材料、聚酯纖維之製銷、及染整加工、配電盤</t>
  </si>
  <si>
    <t>散熱</t>
  </si>
  <si>
    <t>塑膠原料之製造、加工及銷售、電子材料、其他</t>
  </si>
  <si>
    <t>IC代工</t>
  </si>
  <si>
    <t>從事生產與銷售塑膠布，塑膠皮，塑膠管，塑膠粒、塑膠粉，鹼氯品及其它有關產品為主要業務</t>
  </si>
  <si>
    <t>影像與監控</t>
  </si>
  <si>
    <t>影像與
監控</t>
  </si>
  <si>
    <t>聚氨基甲酸加工品之製銷事項不織布起毛布加工品製銷染整事項、聚氯乙烯加工之製銷事項塑膠加工品生產技術研究改良事項、各種皮革加工之製銷事項有關事業之投資經營事項</t>
  </si>
  <si>
    <t>EMS</t>
  </si>
  <si>
    <t>低密度聚乙烯及乙烯醋酸乙烯酯共聚合樹脂之生產及銷售、高密度聚乙烯及線型低密度聚乙烯之銷售、分解性塑膠原料之製造及銷售</t>
  </si>
  <si>
    <t>PCB製造</t>
  </si>
  <si>
    <t>聚苯乙烯及加工品之製銷，丙烯(月青)、丁二烯、苯乙烯共聚體樹脂、ABS之製銷，﹝丙烯(月青)、苯乙烯共聚合樹脂﹞SAN之製銷、玻璃棉及其有關產品之製銷，塑膠原料及加工品之製銷</t>
  </si>
  <si>
    <t>網通</t>
  </si>
  <si>
    <t>苯乙烯單體、對二乙苯、甲苯乙苯</t>
  </si>
  <si>
    <t>電腦週邊</t>
  </si>
  <si>
    <t>資訊週邊</t>
  </si>
  <si>
    <t>石油化工原料製造業、合成樹脂及塑膠製造業、國際貿易業(除許可業務外得經營法令非禁止或限制之業務)</t>
  </si>
  <si>
    <t>被動元件</t>
  </si>
  <si>
    <t>有機酸及其衍生物、塑膠增韌劑、樹脂及塑膠原料</t>
  </si>
  <si>
    <t>連接元件</t>
  </si>
  <si>
    <t>石油化學產品CPLAN之製造及銷售</t>
  </si>
  <si>
    <t>塑膠雨衣、什加工、PP瓦楞板、成衣等製品、傢俱、文具、護貝、皮件等製品、醫療器材製造、批發、零售</t>
  </si>
  <si>
    <t>傳產-營建</t>
  </si>
  <si>
    <t>NB MB</t>
  </si>
  <si>
    <t>房地銷售、PU合成樹酯</t>
  </si>
  <si>
    <t>傳產-汽車零組件</t>
  </si>
  <si>
    <t>汽車</t>
  </si>
  <si>
    <t>記憶體</t>
  </si>
  <si>
    <t>售後維修(塑膠件、鈑金件、車燈)、OEM</t>
  </si>
  <si>
    <t>功率半導體</t>
  </si>
  <si>
    <t>功率
半導體</t>
  </si>
  <si>
    <t>塑膠原料之製造及銷售、塑膠製品之製造及銷售、塑膠工業附帶原料之製造及銷售</t>
  </si>
  <si>
    <t>電子通路</t>
  </si>
  <si>
    <t>製瓶廠製品31.61%、束帶廠製品28.01%、射出廠製品18.35%、軟管廠製品13.31%、其他8.72%(各種塑膠製品製造批發、各種塑膠模具及機械零件之加工製造及買賣、塑膠原料染色之加工業務)</t>
  </si>
  <si>
    <t>儀器設備</t>
  </si>
  <si>
    <t>各種黏膠帶電報紙防水紙防蝕漆防蝕膠帶等之製造加工買賣業務、機械設計之製造加工按裝修護買賣及電子產品之製造加工買賣業務、禮品雜貨等之買賣業務</t>
  </si>
  <si>
    <t>顯示觸控驅動IC</t>
  </si>
  <si>
    <t>顯示觸控
驅動IC</t>
  </si>
  <si>
    <t>各類不織布之產銷</t>
  </si>
  <si>
    <t>未分類-傳產</t>
    <phoneticPr fontId="8" type="noConversion"/>
  </si>
  <si>
    <t>網通IC</t>
  </si>
  <si>
    <t>純對苯二甲酸、聚苯乙烯、苯乙烯、鄰二甲苯、對二甲苯、苯、、合成酚、丙酮、聚丙烯、二甲基甲醯胺、ABS、嫘縈棉、、合成纖維紗、布、耐隆絲、耐隆絲布及其染整加工等製銷</t>
  </si>
  <si>
    <t>PCB材料</t>
  </si>
  <si>
    <t>以廢塑膠再生運用以產製EVA之共混發泡製品之製造及銷售</t>
  </si>
  <si>
    <t>工業電腦</t>
  </si>
  <si>
    <t>汽車內飾件之曲面印刷、表面塗裝及射出成型等製造及銷售、汽車內飾件之模具製造及銷售、其他</t>
  </si>
  <si>
    <t>MCU</t>
  </si>
  <si>
    <t>汽車零組件之製造及銷售</t>
  </si>
  <si>
    <t>面板製造或代工</t>
  </si>
  <si>
    <t>面板製造
或代工</t>
  </si>
  <si>
    <t>從事高分子複合材料之研發與應用，目前主要應用於各式鞋底材料</t>
  </si>
  <si>
    <t>電信媒體</t>
  </si>
  <si>
    <t>乳膠皮、膠布、及柔軟皮等PVC皮革與環保PU皮革之生產銷售</t>
  </si>
  <si>
    <t>電聲元件</t>
  </si>
  <si>
    <t>高端醫療、救生、航太及戶外用機能性布料及成品</t>
  </si>
  <si>
    <t>傳產-紡織纖維</t>
  </si>
  <si>
    <t>紡織纖維</t>
  </si>
  <si>
    <t>軟體與韌體</t>
  </si>
  <si>
    <t>聚酯化纖</t>
  </si>
  <si>
    <t>光電材料</t>
  </si>
  <si>
    <t>聚酯事業部69.27%、金融證券部16.04%、光電事業部14.56%(各種合成纖維及各種合成纖維假撚絲之製造及銷售、各種工程用塑膠及其加工品之製造及銷售、各種合成薄膜、膠片及有關合成薄膜原料及加工品之製造及銷售、)</t>
  </si>
  <si>
    <t>光通訊</t>
  </si>
  <si>
    <t>絲棉毛合成化學纖維織品之印染及樹脂加工定型整理業務、前各項有關產品及原材料之買賣，進出口布匹業務、工業廠房開發租售，廠房出租，倉庫出租，辦公大樓出租業</t>
  </si>
  <si>
    <t>百貨零售</t>
  </si>
  <si>
    <t>POY87.42%、CHIPS12.58%、加工絲%、熔噴不織布%(合成化學纖維之製造及加工買賣業務、塑膠抽絲品之製造及加工買賣業務)</t>
  </si>
  <si>
    <t>航運</t>
  </si>
  <si>
    <t>天然纖維紡織及其加工業務、</t>
  </si>
  <si>
    <t>傳產-其他</t>
  </si>
  <si>
    <t>其他傳產</t>
  </si>
  <si>
    <t>航太</t>
  </si>
  <si>
    <t>家用紡織品進出口銷售業務、委託興建國民住宅，商業大樓出租出售業務</t>
  </si>
  <si>
    <t>油電氣</t>
  </si>
  <si>
    <t>男女成衣</t>
  </si>
  <si>
    <t>金融租賃</t>
  </si>
  <si>
    <t>聚丙烯青合成纖維聚丙烯青梳毛條之製造及內外銷、生產聚丙烯青紗內外銷、聚尿酯系纖維及其原料之製造加工及內外銷</t>
  </si>
  <si>
    <t>光學鏡片</t>
  </si>
  <si>
    <t>紡織商品49.33%、品牌成衣37.33%、租賃收入13.34%(紡織品之製造、加工買賣業務、紡織品成衣加工、製造、買賣及門市零售業務、委託營造廠興建商業大樓及國民住宅出租出售業務)</t>
  </si>
  <si>
    <t>高速介面</t>
  </si>
  <si>
    <t>毛條(包括炭化羊毛)之製造及銷售業務、其他羊毛之防縮、染整加工業務、前列各款所列有關業務之進出口業務</t>
  </si>
  <si>
    <t>傳產-百貨</t>
  </si>
  <si>
    <t>IP</t>
  </si>
  <si>
    <t>商場開發、休閒育樂、策略事業</t>
  </si>
  <si>
    <t>IC載板</t>
  </si>
  <si>
    <t>尼龍多富達布、聚酯布、傘骨槽骨、輪胎簾布、棉紗、人造棉紗、合成纖維紗、混紡紗、織布染整、成衣、被單、床單等及其相關製品、製造高分子聚合物製品、防彈衣背心、夾克、工業用工作服</t>
  </si>
  <si>
    <t>面板觸控零組件</t>
  </si>
  <si>
    <t>面板觸控
零組件</t>
  </si>
  <si>
    <t>倉儲業、國際貿易，服飾批發，煙酒零售、電信器材批發業，電子材料批發業</t>
  </si>
  <si>
    <t>類比與管理IC</t>
  </si>
  <si>
    <t>類比與
管理IC</t>
  </si>
  <si>
    <t>住宅及大樓開發租售業、休閒活動場館業、餐館業</t>
  </si>
  <si>
    <t>光感測</t>
  </si>
  <si>
    <t>一般投資業</t>
  </si>
  <si>
    <t>晶圓製造</t>
  </si>
  <si>
    <t>委託營造廠商興建商業大樓、工業大樓及住宅出租出售業務、紡織工業之產銷及其附屬事業暨投資金融與其他經濟事業、</t>
  </si>
  <si>
    <t>電池</t>
  </si>
  <si>
    <t>委託營造廠商興建商業大樓、國民住宅及廠辦等不動產之出租及出售、建築材料之買賣製造代理、工業廠房開發租售業</t>
  </si>
  <si>
    <t>遊戲</t>
  </si>
  <si>
    <t>各種紡織品之製造加工及販賣、有關合成纖維製品之製造及販賣、委託營造廠興建國民住宅、商業大樓出租、出售業務</t>
  </si>
  <si>
    <t>棉紗，混紡紗，化纖紗、布</t>
  </si>
  <si>
    <t>營建99.81%、其他0.19%(營建)</t>
  </si>
  <si>
    <t>傳產-航運</t>
  </si>
  <si>
    <t>倉儲、物流、理貨加工、電子商務、棉紡、貿易、委託營造廠商興建商業大樓及國民住宅出租出售</t>
  </si>
  <si>
    <t>聚酯加工絲、聚酯原絲+粒、瓶用酯粒</t>
  </si>
  <si>
    <t>紡織事業部51.77%、假撚事業部47.09%、能源部1.14%(各種紡織品之製造，加工染整及營銷、有關前項有關原料，材料及成品之進出口貿易業務、委託營造廠商興建商業大樓，國民住宅之出租出售事業)</t>
  </si>
  <si>
    <t>紡織、成衣</t>
  </si>
  <si>
    <t>尼龍粒、平(針)織布、尼龍絲</t>
  </si>
  <si>
    <t>纖維紡織品之加工及買賣、紡織品及機械之進出口及買賣、委託興建商業大樓等</t>
  </si>
  <si>
    <t>紡紗業、織布業、成衣業</t>
  </si>
  <si>
    <t>聚酯加工絲100%(聚酯加工絲)</t>
  </si>
  <si>
    <t>租金收入100%(營建、紡織)</t>
  </si>
  <si>
    <t>成品布46.81%、紗42.64%、胚布10.54%、其他0.01%(特多龍布、特多龍紗)</t>
  </si>
  <si>
    <t>各種纖維絲、人造棉絲、尼龍絲之紡製、、織造、染整、印花、加工、買賣、石油化學工業纖維原料生產、銷售及進出口買賣、</t>
  </si>
  <si>
    <t>住宅及大樓開發租售業務、工業廠房開發租售業務、纖維紡織品之加工及買賣、</t>
  </si>
  <si>
    <t>聚酯原絲34.38%、加工絲28.28%、平織布22.19%、聚酯粒7.67%、租金收入7.48%(各種人造纖維及其製品之假撚製造加工買賣、各種合成纖維伸縮尼龍絲特多龍絲之製造加工及內外銷、委託營造廠商興建國民住宅商業大樓之出租出售等、)</t>
  </si>
  <si>
    <t>各種棉麻毛及合成纖維、化學纖維織品之針織加工製造買賣業務、各種針織布、梭織布、染整、染紗、紡紗及紗之買賣、各種合成纖維及其原料及其加工品及化學纖維紗之製造加工及買賣、</t>
  </si>
  <si>
    <t>紡織部門100%(加工絲、追撚絲、胚布、成品布、染整等其他業務)</t>
  </si>
  <si>
    <t>強盛</t>
  </si>
  <si>
    <t>染整代工、成品布銷售</t>
  </si>
  <si>
    <t>各種紡織品之印染、整理加工製造及買賣業務、紗類原料之製造買賣、加工及進出口貿易業務</t>
  </si>
  <si>
    <t>長纖梭織布之織造、聚酯加工絲之生產及梭織布、針織布之買賣、各種伸縮合成纖維絲之製造加工及買賣、前各項有關業務進出口貿易業務及附帶事業之經營投資、</t>
  </si>
  <si>
    <t>尼龍絲67.63%、Lyocell長纖絲16.01%、聚酯絲7.57%、複合絲2.79%、P.P絲2.51%(尼龍原絲、假撚絲、仿棉絲製造、加工及買賣、聚酯原絲、假撚絲、空氣打節絲製造、加工及買賣、超細纖維、超細纖維布、彈性纖維、彈性纖維布製造、加工及買賣)</t>
  </si>
  <si>
    <t>染紗、織布、成衣</t>
  </si>
  <si>
    <t>各類纖維、極細及超極細纖維絲、各種纖維、極細與超極細布種之織、造、染色整理、加工及銷售、各類紡織品之製造加工及買賣</t>
  </si>
  <si>
    <t>染整代工業務、經編針織布織造業務、經編針織布圓編針織布成品貿易銷售業務</t>
  </si>
  <si>
    <t>電子中游-電源供應器</t>
  </si>
  <si>
    <t>加工絲、電子、交織布</t>
  </si>
  <si>
    <t>營建工程、營建工程</t>
  </si>
  <si>
    <t>成衣</t>
  </si>
  <si>
    <t>各種塑膠製品之加工製造買賣、各種棉毛絲纖維織品之製造代織，買賣，印染，整理及加工內外銷、有關行紀業務進出口貿易事業</t>
  </si>
  <si>
    <t>提花布織造、染整與銷售、紡織產品使用之染料及助劑銷售</t>
  </si>
  <si>
    <t>彈性針織布、成衣(主要為運動)</t>
  </si>
  <si>
    <t>成衣、布</t>
  </si>
  <si>
    <t>傳產-電機</t>
  </si>
  <si>
    <t>電力配電、車輛零件、自動化設備及零件</t>
  </si>
  <si>
    <t>機電系統、智慧能源事業、智慧生活事業</t>
  </si>
  <si>
    <t>車輛零組件83.34%、系統櫃16.66%(引擎、機車、汽車等及其零件之製造買賣、活塞、活塞肖、活塞環及其配件之製造及買賣、轉向系統零件之製造及買賣)</t>
  </si>
  <si>
    <t>一、電氣、機械、五金、工具及農機、車輛配件製造銷售、二、機車、裝配組立及其內外銷、三、家具及其配件之製造銷售、四、模具、治、具及飛機零配件之製造銷售、五、軌道車輛零配件之製造銷售、</t>
  </si>
  <si>
    <t>電機電力(GIS)、停車場設備、供電系統及電力監控工程</t>
  </si>
  <si>
    <t>配電盤、電機器材、電子產品、變壓器</t>
  </si>
  <si>
    <t>工具機及其零件之製造加工買賣、健身機及其零件之製造加工買賣</t>
  </si>
  <si>
    <t>國際貿易</t>
  </si>
  <si>
    <t>汽、機車、腳踏車零件之製造、加工及買賣、一般機械製造、加工及買賣</t>
  </si>
  <si>
    <t>變壓器、配電盤</t>
  </si>
  <si>
    <t>經營汽、機車、五金等零件之製造、銷售及進出口貿易業務、航空飛機零件及航海船舶之製造加工銷售業務、交通用機械及其零件之製造加工銷售業務等、</t>
  </si>
  <si>
    <t>車燈製造</t>
  </si>
  <si>
    <t>汽車零件</t>
  </si>
  <si>
    <t>車架39.91%、載台36.81%、零件22.09%(底盤、沖壓零組件、車架、大樑、木床後車身、模治具)</t>
  </si>
  <si>
    <t>各種腳踏車之零件機械五金之加工製造買賣業務</t>
  </si>
  <si>
    <t>氣動打釘機及各種氣動機械等之製造加工，裝配買賣、建材加工，裝配買賣業務、前各項有關產品零組件及五金零件之進出口貿易業務</t>
  </si>
  <si>
    <t>金屬及非金屬電腦數控加工中心、PCB電子機械、刀具板材及其他</t>
  </si>
  <si>
    <t>高低壓配電盤自動控制盤馬達起動盤及試驗儀器設計製造安裝及買賣、各種電工(含變比器)電機電子器材設計製造及買賣、各種電力(含太陽能)及水管系統工程設計承包</t>
  </si>
  <si>
    <t>CNCC型加工中心機66.72%、CNC龍門加工中心機29.71%(專用機及自動化設備，電腦控制工具機之設計，製造及銷售、精密元組件製造及銷售、有關上項產品，零件，原料之進出口貿易買賣業務)</t>
  </si>
  <si>
    <t>各種縫紉機及其零件之加工製造﹑裝配買賣業務、銑類製品鑄造加工及買賣、縫紉機零件之鑄造加工及買賣業務、</t>
  </si>
  <si>
    <t>傳產-鋼鐵</t>
  </si>
  <si>
    <t>鋼鐵</t>
  </si>
  <si>
    <t>電子汽車零件85.46%、電動工具13.74%、電動巴士0.8%(電子零組件製造業(電子點火器、電壓調整器、整流器)；、電動工具製造業(電鑽、打釘機等)、機車及其零件製造業；一般儀器製造業；)</t>
  </si>
  <si>
    <t>機電工程56.15%、維護及代營運27.97%、環保工程14.88%(環保工程、機電工程、代營運及機電維護)</t>
  </si>
  <si>
    <t>汽機車傳動齒輪及軸類</t>
  </si>
  <si>
    <t>各種蓄電池極板製造、買賣、內外銷、汽、機車蓄電池、密閉式照明電池製造、裝配、加工、買賣、前項原料之買賣</t>
  </si>
  <si>
    <t>電動工具及其零件製造買賣、汽車燈具及其零件製造買賣</t>
  </si>
  <si>
    <t>自動刨木機42.1%、圓鋸機30.33%、其他原物料15.73%、手動刨木機8.9%、其他製成品1.96%(鑽床車床銑床自動鉋床等機械及其零件五金工具製造買賣、馬達及其零件製造買賣、有關國內外廠商產品之進出口貿易)</t>
  </si>
  <si>
    <t>各種工作母機及其零配件製造加工買賣、軌道車輛及其零件製造業、代理前各項有關國內外廠商產品報價投標及經銷、</t>
  </si>
  <si>
    <t>主要經營手工具、電腦機械、馬達、電動工具、自動控制系統、電動測試儀器、木工機械及五金零件之製造加工及買賣業務、</t>
  </si>
  <si>
    <t>縫紉機52.5%、精密金屬零件41.04%、吸塵器1%(家用/工業用縫紉機及相關半成品、零件、吸塵器及相關半成品、零件)</t>
  </si>
  <si>
    <t>沙輪、鑽石碟、再生晶圓</t>
  </si>
  <si>
    <t>汽車及其零件製造業(汽車零組件)、汽機車零件配備批發業、汽機車零件配備零售業</t>
  </si>
  <si>
    <t>電子上游-連接元件</t>
  </si>
  <si>
    <t>螢幕架樞紐</t>
  </si>
  <si>
    <t>電腦數值控制車床製造加工買賣、各種自動化機械五金工具及零件製造買賣、各種工作母機及其零件製造加工買賣</t>
  </si>
  <si>
    <t>汽車水箱</t>
  </si>
  <si>
    <t>主要從事球狀石墨鑄鐵/灰口鑄鐵之高級鑄件產品之製造及銷售業務</t>
  </si>
  <si>
    <t>氣動元件</t>
  </si>
  <si>
    <t>微型及標準型線性滑軌之研究開發製造及銷售、線性馬達之研究開發製造及銷售、機器手臂及軟體PLC之研究開發製造及銷售</t>
  </si>
  <si>
    <t>傳產-生技</t>
  </si>
  <si>
    <t>生技醫療</t>
  </si>
  <si>
    <t>健身器材</t>
  </si>
  <si>
    <t>傳產-電線電纜</t>
  </si>
  <si>
    <t>鋁線、鋁電線電纜、交連聚乙烯電纜及其配件等製造及買賣等業務、鋁門窗、鋁型材、帷幕牆之設計、製造、按裝及買賣等業務、其他、</t>
  </si>
  <si>
    <t>電子下游-消費電子</t>
  </si>
  <si>
    <t>其他電子</t>
  </si>
  <si>
    <t>電子電化等製品之製造加工承攬批發零售等業務、電子電化等製品及汽車之買賣、保養、修理等業務、倉儲業務之經營，有關進出口業務</t>
  </si>
  <si>
    <t>不鏽鋼、電線電纜</t>
  </si>
  <si>
    <t>電力電纜、銅線、銅片</t>
  </si>
  <si>
    <t>電線電纜、漆包線</t>
  </si>
  <si>
    <t>電器、照明產品等之製造與銷售及進出口貿易業務、、代理廠商產品之報價經銷及投標，委託廠商從事電器、加工製造及銷售，陶瓷及陶瓷製品製造業、衛浴批發</t>
  </si>
  <si>
    <t>電力電纜</t>
  </si>
  <si>
    <t>電化產品90.88%、租賃收入3.92%、無線產品2.5%(電冰箱、冷氣機、洗衣機、電視機等家電製品製造販賣、壓縮機、鑄造零件、通信器材之製造販賣、一般進出口貿易業務、)</t>
  </si>
  <si>
    <t>各項電線電纜之配件、絕緣材料、銅線之製造、加工及銷售、前各項有關機械及其配件之製造、加工及銷售、E601011電器承裝業、</t>
  </si>
  <si>
    <t>裸銅線，鍍錫線，電子線，電源線，電腦線，隔離線，同軸電纜，PVC電線、電纜，交連聚乙稀高低壓電力電纜及通信電纜，光纖光纜，區域網路、電纜，數位電纜，低煙無毒電纜，防火，耐熱電纜等製造，加工及買賣</t>
  </si>
  <si>
    <t>漆包線、鍍錫銅線、電子線、偏向軛、馳返變壓器、消磁線圈、線圈、一般進出口貿易業務(許可業務除外)、代理國內外有關產品之經銷、投標及報價業務</t>
  </si>
  <si>
    <t>電風扇、電暖器及各式小家電之研發、生產及銷售</t>
  </si>
  <si>
    <t>1701</t>
  </si>
  <si>
    <t>中化</t>
  </si>
  <si>
    <t>醫藥品、農畜藥品、個人衛生保健用品、醫療儀器之進口、買賣</t>
  </si>
  <si>
    <t>藥品製劑、成藥及原料、醫療器材等之製造與買賣、雜項食品製造、冬蟲夏草食品之類似藥品劑型食品、飲料製造業、菌種業、生物技術服務業等、</t>
  </si>
  <si>
    <t>傳產-化學工業</t>
  </si>
  <si>
    <t>硫酸鉀，鹽酸之製造及買賣業務、純鹼，小蘇打之買賣業務、混合磷酸鈣，氯化鈣，鹽之買賣業務、</t>
  </si>
  <si>
    <t>烷基苯、正烯烴、壬酚、石油樹脂及其衍生物之製造及加工買賣、</t>
  </si>
  <si>
    <t>環氧乙烷及乙二醇產品62.01%、特化產品31.49%、氣體產品6.3%、其他0.21%(乙二醇，二乙二醇及環氧乙烷製造與買賣、氣氧，液氧，氣氮，液氮，液氬及壓縮空氣之製造與買賣、乙醇胺，碳酸乙烯脂，聚乙二醇及脂肪醇聚氧乙烯醚之製造與買賣)</t>
  </si>
  <si>
    <t>色料化學品36.05%、特用化學品28.01%、電子化學品18.74%、碳粉13.98%、醫藥化學品3.22%(色料化學品，特用化學品，醫藥化學品，電子化學品)</t>
  </si>
  <si>
    <t>植物保護59.81%、超市百貨21.88%、家用品團膳14.07%、其他4.24%(農藥、其他)</t>
  </si>
  <si>
    <t>基本化學工業、化學原料批發(零售)業、化妝品製(批)業、國際貿易業、除許可業務外、得經營法令非限制或禁止之業務</t>
  </si>
  <si>
    <t>石油化工原料製造業、其他石油及煤製品製造業、清潔用品製造業、其他化學製品批發業、清潔用品批發業、國際貿易業</t>
  </si>
  <si>
    <t>合成樹脂48.95%、電子材料25.64%、特用材料24.94%、其他0.48%(各種工業用合成樹脂之產銷、印刷電路基板、光阻材料之產銷、特殊化學品)</t>
  </si>
  <si>
    <t>人造纖維、聚胺纖維、聚脂纖維、化學品及其原料之製造加工、乙二醇、環氧乙烷、氮氣及有關石油化學工業產品之製造買賣、委託營造廠興建國民住宅與商業大樓之出租出售業務</t>
  </si>
  <si>
    <t>人用藥品、健康食品</t>
  </si>
  <si>
    <t>特用化學70.68%、植物保護用藥18.03%、TPU7.14%、樹脂3.89%(其他化學製品製造、合成樹脂及塑膠製造、農藥製造)</t>
  </si>
  <si>
    <t>肥料化工、不動產開發投資</t>
  </si>
  <si>
    <t>1煤化學品；、2鋰電池負極材料；、3半導體相關精密碳材、</t>
  </si>
  <si>
    <t>化工原料物流</t>
  </si>
  <si>
    <t>油漆之製造及內外銷、油漆工程之包辦、合成樹脂之買賣業務</t>
  </si>
  <si>
    <t>硫酸等及各化學工業原料製造暨零售與成品之買賣、前項有關化學工程之設計、各工業投資及化學原料及進出口貿易及代理經銷、</t>
  </si>
  <si>
    <t>驅塵潔淨系列52.88%、芳香消臭系列24.77%、除濕系列18.83%、廚具類2.03%、其他1.49%(家庭日用化學品工業類、玻璃陶瓷餐具)</t>
  </si>
  <si>
    <t>醫藥用品銷售、美髮、護髮與肌膚清潔用品銷售</t>
  </si>
  <si>
    <t>清潔用品、化粧品製造批發及零售;輔助食品批發、國際貿易、雜項化學及其他雜項工業製品製造、西藥、環境衛生用藥及家庭日常用品批發零售</t>
  </si>
  <si>
    <t>測試片77.69%、測試儀18.45%(生物技術醫療器材設備製造業)</t>
  </si>
  <si>
    <t>西藥，抗生素，化妝品之製造加工買賣、醫療器材之製造加工買賣，藥品原料之合成、中藥批發，農業服務業，其他工商服務業(菌種育種之研發)</t>
  </si>
  <si>
    <t>PU樹脂</t>
  </si>
  <si>
    <t>醫療器材設備製造業、批發業及零售業、心肺復甦健身機及重量訓練機系列產品製造、批發與零售業、其他電機及電子機械器材製造業(馬達)</t>
  </si>
  <si>
    <t>鹽產品、包裝飲用水、美容保養品</t>
  </si>
  <si>
    <t>西藥、醫療器材、動物藥品、飼料添加物、化妝品之製造加工買賣、塑膠原料、塑膠瓶之製造加工買賣、食品製造加工買賣業務及前項有關進出口貿易業務、</t>
  </si>
  <si>
    <t>藥品之製造與銷售、化妝品之製造與銷售、配方食品之製造與銷售</t>
  </si>
  <si>
    <t>外銷製品97.8%、內銷製品2.2%(原料藥製造銷售)</t>
  </si>
  <si>
    <t>溶劑產品83.12%、貿易13.41%、甲醛產品0.91%(醋酸丁酯、醋酸丙酯、丙二醇甲醚醋酸酯、丙二醇甲醚丙酸酯、、甲醛、尿素甲醛樹脂、有機化學溶劑等製造、加工、買賣及外銷等)</t>
  </si>
  <si>
    <t>溶劑型PU樹脂，水性PU樹脂，無溶劑PU樹脂，聚異氰酸酯、熱可塑性聚氨酯(TPU塑粒)、</t>
  </si>
  <si>
    <t>生物高分子材料應用於生物醫材及醫美保養品的研發、製造及銷售</t>
  </si>
  <si>
    <t>透明質酸(玻尿酸)醫療器材產品研發製造及銷售、透明質酸(玻尿酸)保養品研發製造及銷售</t>
  </si>
  <si>
    <t>原料藥、針劑製劑之研發、產銷及相關產品之諮詢及技術服務業務、生物技術服務、國際貿易業</t>
  </si>
  <si>
    <t>腫瘤和免疫學及中樞神經系統藥品製造</t>
  </si>
  <si>
    <t>傳產-玻璃陶瓷</t>
  </si>
  <si>
    <t>平板玻璃、玻璃纖維、玻璃器皿</t>
  </si>
  <si>
    <t>委託營造廠商興建國民住宅及商業大樓出租出售業務、</t>
  </si>
  <si>
    <t>陶瓷及陶瓷製品製造業、石材製品製造業、特定專業區開發業、新市鎮、新社區開發業、耐火材料製造業、其他化學製品製造業、除許可業務外，得經營法令非禁止或限制之業務、</t>
  </si>
  <si>
    <t>色釉料71.82%、玉晶石4.29%(色釉料、精密陶瓷，結晶化玻璃製品、陶瓷及陶瓷製品，其他化學材料)</t>
  </si>
  <si>
    <t>住宅設備之製造及銷售</t>
  </si>
  <si>
    <t>各種衛浴設備、周邊製品之銷售</t>
  </si>
  <si>
    <t>傳產-紙業</t>
  </si>
  <si>
    <t>紙類之生產及運銷、紙類加工品之製造、紙業重要原料之產銷</t>
  </si>
  <si>
    <t>紙業98.92%、0%、0%、0%、0%(紙類之製銷及買賣、紙器及紙類加工品之製銷、委託營造商興建國民住宅及商業大樓出售，出租)</t>
  </si>
  <si>
    <t>闊(針)葉樹漂白漿，道林紙，微塗紙，化工藥品，肥料</t>
  </si>
  <si>
    <t>紙類之批發零售及國內外採購運銷業務</t>
  </si>
  <si>
    <t>工商民生用紙、民生清潔用品</t>
  </si>
  <si>
    <t>紙器及紙類之製造、印刷、加工、買賣、代理及進出口業務、造紙原料之製造、加工、買賣、代理及進出口業務、紙器及紙類加工設備之買賣、</t>
  </si>
  <si>
    <t>線材</t>
  </si>
  <si>
    <t>鋼管、鍍鋅鋼管、鋼管樁、冷軋鋼捲(板)、熱軋鋼捲(板)、塗面鋼捲(板)</t>
  </si>
  <si>
    <t>鋼板貨櫃部材特殊鋼矽鋼特帶鋼結構、車身衝壓倉儲設備</t>
  </si>
  <si>
    <t>螺絲，螺帽，攻牙螺絲，磨光線材及球狀化線材製造買賣、一般事業，有害事業廢棄物清除，處理業務、工業機械，電訊設備，汽機車及醫療器材零件製造買賣，國貿業務、</t>
  </si>
  <si>
    <t>各類型鋼鋼構架機械體及水工機械之設計製造安裝及技術服務、金屬製品及加工用化學品之生產進出口及買賣業務、各類環保工程(包含焚化爐、污染防治設備)之設計製造安裝、</t>
  </si>
  <si>
    <t>鋼捲、鋼管</t>
  </si>
  <si>
    <t>鋼筋53.16%、條線26.13%、型鋼20.35%(製鋼及軋鋼製造修理並加工買賣、各種角鋼扁鋼槽鋼鋼板工字鋼等製造及加工買賣、各種鋼筋圓鋼等特殊鋼製造及加工買賣)</t>
  </si>
  <si>
    <t>鋼鐵產品82.54%、餐旅收入17.34%(盤元線材、球化線材、鍍鋅鐵線及螺絲之生產及買賣)</t>
  </si>
  <si>
    <t>鋼管(板)製造及銷售</t>
  </si>
  <si>
    <t>螺絲、球化線材、機械零件</t>
  </si>
  <si>
    <t>酸洗鋼捲、軋延鋼捲、鍍鋅鋼捲、烤漆鋼捲、鋼構工程、起重機</t>
  </si>
  <si>
    <t>鋼線、鋼棒、製造加工及買賣</t>
  </si>
  <si>
    <t>不銹鋼捲</t>
  </si>
  <si>
    <t>鋼筋鋼胚棒鋼盤元廢鋼等鋼製品之製造加工買賣業務、大鋼胚小鋼胚鋼錠等特殊鋼之製造加工買賣業務、廢鐵進口輪船解體急舊船買賣業務</t>
  </si>
  <si>
    <t>冷軋、鍍鋅及烤漆鋼捲之製造、加工及銷售、</t>
  </si>
  <si>
    <t>鋼鐵治鍊業鋼鐵軋延及擠型業鋼鐵鑄造業鋼材二次加工業、其他金屬製品製造業熱處理業表面處理業再生能源自用發電設備、五金批發業國際貿易業產品設計業除許可業務外，得經營法令非</t>
  </si>
  <si>
    <t>各種鋼鐵整平裁剪加工買賣、各種鋼構構件製作加工買賣、各種鋼鐵代理報價買賣</t>
  </si>
  <si>
    <t>不銹鋼板、捲裁切、不銹鋼板表面處理</t>
  </si>
  <si>
    <t>預力鋼絞線、一般鋼線、預力鋼線</t>
  </si>
  <si>
    <t>不銹鋼捲(板)裁切及買賣、不銹鋼焊接鋼管之製造加工及買賣、不銹鋼角鋼，扁鐵及槽鐵等之製造加工及買賣</t>
  </si>
  <si>
    <t>竹節鋼筋96.61%、線材0.13%(鋼筋製造買賣、鋼胚製造買賣)</t>
  </si>
  <si>
    <t>傳動系統元件</t>
  </si>
  <si>
    <t>電子中游-其他</t>
  </si>
  <si>
    <t>導軌</t>
  </si>
  <si>
    <t>水龍頭零配件54.63%、水龍頭組裝件37.89%(水管開關配件、閘門凡而、考克、水道衛生器材、各種銅器等之製造加工及買賣)</t>
  </si>
  <si>
    <t>不銹鋼板、捲裁切、不銹鋼捲分條、不銹鋼板表面處理</t>
  </si>
  <si>
    <t>傳產-橡膠</t>
  </si>
  <si>
    <t>輪胎</t>
  </si>
  <si>
    <t>製造汽車輪胎、三角膠帶、平面膠帶、運輸膠帶、環型帶、軍用戰、車履帶、帆布特種膠帶、橡膠管以及其他橡膠製品、並批發、零售、之運銷業務、</t>
  </si>
  <si>
    <t>SBR、BR、TPE、TPR橡膠、上述產品之製造及其有關原物料及加工製品之進出口及銷售、生產及銷售汽電共生所產生之蒸汽及工商業用電、</t>
  </si>
  <si>
    <t>各類橡膠輪胎之製造、批發、零售</t>
  </si>
  <si>
    <t>營建56.63%、橡膠皮20.57%、倉儲收入11.62%、綠塑皮5.16%、塑膠皮4.62%(生產銷售橡膠皮、生產銷售塑膠皮、生產銷售乳膠皮)</t>
  </si>
  <si>
    <t>乳膠製造買賣、橡膠製造買賣、熱可塑性橡膠製造買賣、鞋中底製造買賣</t>
  </si>
  <si>
    <t>橡膠塑膠製品之製造加工及內外銷、有關上項之進出口業務、經營上項附帶業務</t>
  </si>
  <si>
    <t>橡膠輸送帶及其他橡膠製品</t>
  </si>
  <si>
    <t>各式氣門嘴之製造及銷售</t>
  </si>
  <si>
    <t>傳產-汽車</t>
  </si>
  <si>
    <t>汽車製造或代理(自有品牌Luxgen)</t>
  </si>
  <si>
    <t>汽車製造或代理(代理MG)</t>
  </si>
  <si>
    <t>機車、汽車製造及銷售(機車品牌SYM、代理現代汽車)</t>
  </si>
  <si>
    <t>汽車代理(Toyota、Hino)、汽車零件銷售與保養、汽車租賃</t>
  </si>
  <si>
    <t>造船艦73.49%(船艦建造及維修、大型鋼構及機械製造、海工及其他營業工程)</t>
  </si>
  <si>
    <t>車輛86.16%、零件13.73%、其他0.12%(汽車銷售與研發)</t>
  </si>
  <si>
    <t>CD01030汽車及其零件製造業、F401010國際貿易業、除許可業務外，得經營法令非禁止或限制之業務</t>
  </si>
  <si>
    <t>汽車及其零件製造、汽、機車零件配備批發、汽、機車零件配備零售</t>
  </si>
  <si>
    <t>精密金屬零件100%(精密金屬零件之機械加工、製造及買賣)</t>
  </si>
  <si>
    <t>生產銷售汽車、機車沖壓零組件及沖壓生產線設備等、</t>
  </si>
  <si>
    <t>生產汽車零組件、沖壓產品、熱壓成型產品、模具設計</t>
  </si>
  <si>
    <t>逆變器散熱模組及其零組件(主要為油電混合車、電車)</t>
  </si>
  <si>
    <t>汽車鈑金模具</t>
  </si>
  <si>
    <t>汽車零售業務、汽、機車零件配備零售業務、汽車修理業務</t>
  </si>
  <si>
    <t>汽車零部件製造及銷售、衛浴設備零部件製造及銷售、事務機器零部件製造及銷售</t>
  </si>
  <si>
    <t>電子中游-EMS</t>
  </si>
  <si>
    <t>OEM/EMS</t>
  </si>
  <si>
    <t>伺服器、消費性電子、電源供應器、光電元件</t>
  </si>
  <si>
    <t>電子上游-LED及光元件</t>
  </si>
  <si>
    <t>LED/Panel</t>
  </si>
  <si>
    <t>各種電子整流二極體及半導體零件，一般精密電子器材製造及銷售、代理國內外廠商電子產品銷售等業務、</t>
  </si>
  <si>
    <t>未分類-電子</t>
    <phoneticPr fontId="8" type="noConversion"/>
  </si>
  <si>
    <t>電子上游-IC-代工</t>
  </si>
  <si>
    <t>電子下游-掃描器</t>
  </si>
  <si>
    <t>光電子設備66.28%、影像掃描器33.72%(智慧型影像掃瞄器)</t>
  </si>
  <si>
    <t>電源零組件、電源及系統、風扇與散熱、電車電力系統、工業與樓宇自動化、資通訊基礎設施、能源基礎設施</t>
  </si>
  <si>
    <t>消費性電子、網路通訊、影像產品</t>
  </si>
  <si>
    <t>電子上游-PCB-製造</t>
  </si>
  <si>
    <t>電子中游-通訊設備</t>
  </si>
  <si>
    <t>衛星通訊及地面微波通訊系統及器材100%(衛星通訊系統及器材、地面微波通訊系統及器材)</t>
  </si>
  <si>
    <t>PCB製造、PCB組裝</t>
  </si>
  <si>
    <t>智慧型裝置、伺服器、網通、桌電、連接器、線纜組件</t>
  </si>
  <si>
    <t>局用傳輸設備、用戶端交換系統、代理行動電話系列產品</t>
  </si>
  <si>
    <t>電子下游-光碟片</t>
  </si>
  <si>
    <t>光碟片、Flash</t>
  </si>
  <si>
    <t>電子下游-筆記型電腦</t>
  </si>
  <si>
    <t>筆電、智慧型裝置</t>
  </si>
  <si>
    <t>國巨</t>
  </si>
  <si>
    <t>電子上游-被動元件</t>
  </si>
  <si>
    <t>積層陶瓷電容(MLCC)、磁性元件、鉭質電容、晶片電阻，主要應用在工業、消費性、通訊、車用電子</t>
  </si>
  <si>
    <t>線纜、連接器及連接線、PCB，主要應用在消費性電子、汽車、通訊、工控</t>
  </si>
  <si>
    <t>電子上游-IC-封測</t>
  </si>
  <si>
    <t>IC封測(主要為NAND Flash)、EMS</t>
  </si>
  <si>
    <t>電子中游-主機板</t>
  </si>
  <si>
    <t>主機板、桌電、筆電、電腦週邊產品</t>
  </si>
  <si>
    <t>電子中游-網通</t>
  </si>
  <si>
    <t>銷售自有品牌之網路產品</t>
  </si>
  <si>
    <t>電子上游-IC-製造</t>
  </si>
  <si>
    <t>NOR Flash(主要為車用、電腦、工業、通訊)、ROM</t>
  </si>
  <si>
    <t>電子上游-IC-其他</t>
  </si>
  <si>
    <t>IT通路及其他</t>
  </si>
  <si>
    <t>有關光電半導體元件製造與銷售、有關半導體電子元件製造與銷售、以上各項目及其系統產品之研發設計製造銷售推廣及售後服務、</t>
  </si>
  <si>
    <t>電子上游-DRAM銷售</t>
  </si>
  <si>
    <t>1研究、設計、發展、測試、製造及銷售各種大型、超大型積體電、路及其相關之零組件及系統產品、2太陽能電池及相關系統與產品</t>
  </si>
  <si>
    <t>Serial NOR Flash、DRAM</t>
  </si>
  <si>
    <t>網路交換器、網路應用設備、網路接取設備</t>
  </si>
  <si>
    <t>電子下游-資訊通路</t>
  </si>
  <si>
    <t>3C產品及半導體產品通路商</t>
  </si>
  <si>
    <t>光碟片、影碟片、組裝機器、光電產品</t>
  </si>
  <si>
    <t>半導體導線架、五金文具用品</t>
  </si>
  <si>
    <t>顯示器、投影機、醫療服務</t>
  </si>
  <si>
    <t>筆電、桌電、伺服器、工業電腦</t>
  </si>
  <si>
    <t>電子中游-機殼</t>
  </si>
  <si>
    <t>遊戲機組裝(任天堂)、散熱模組、金屬機構件(主要為5G產品、iphone及ipad機殼)</t>
  </si>
  <si>
    <t>1電子用印刷線路板及電子材料之製造加工買賣業務;、2沖床及鋼鐵類之電子用印刷線路板模具之製造加工買賣;、3絕緣板之製造加工買賣;4前項有關進出口貿易業務</t>
  </si>
  <si>
    <t>筆電、智慧型裝置、伺服器</t>
  </si>
  <si>
    <t>筆電、桌電、主機板、顯卡、伺服器</t>
  </si>
  <si>
    <t>2358</t>
  </si>
  <si>
    <t>廷鑫</t>
  </si>
  <si>
    <t>電子下游-顯示器</t>
  </si>
  <si>
    <t>鋁合金產品</t>
  </si>
  <si>
    <t>電子下游-其他</t>
  </si>
  <si>
    <t>AI視覺軟體開發、機器人代理、工業控制產品代理、燃氣沼氣發電機代理、柴油發電機組代理</t>
  </si>
  <si>
    <t>電子中游-儀器設備工程</t>
  </si>
  <si>
    <t>精密電子量測儀器、自動化量測系統</t>
  </si>
  <si>
    <t>筆電、電腦周邊設備</t>
  </si>
  <si>
    <t>電子上游-IC-設計</t>
  </si>
  <si>
    <t>投射式電容觸控面板IC設計</t>
  </si>
  <si>
    <t>製造買賣筆記型電腦</t>
  </si>
  <si>
    <t>行車紀錄器、滑鼠、鍵盤</t>
  </si>
  <si>
    <t>PCB製造(主要為手機)</t>
  </si>
  <si>
    <t>PCB製造(主要為伺服器、網通、筆電)</t>
  </si>
  <si>
    <t>積體電路封裝積體電路測試、發光二極體顯示燈、一般進出口貿易(許可業務除外)</t>
  </si>
  <si>
    <t>機電能源系統、家電</t>
  </si>
  <si>
    <t>辦公室自動化設備、系統辦公家具等</t>
  </si>
  <si>
    <t>電子下游-數位相機</t>
  </si>
  <si>
    <t>數位電子照相機、光學產品</t>
  </si>
  <si>
    <t>電子電機製品及其生產設備器材零件類；通信器材零件類；、光學之電子器材零件類；電容器生產設備類；、電容器及其零件材料類；電阻及其零件材料類、</t>
  </si>
  <si>
    <t>主機板、顯卡、伺服器</t>
  </si>
  <si>
    <t>主機板、顯卡、伺服器、桌電、筆電</t>
  </si>
  <si>
    <t>網通IC設計</t>
  </si>
  <si>
    <t>數位辦公設備</t>
  </si>
  <si>
    <t>筆電、伺服器、智慧型裝置</t>
  </si>
  <si>
    <t>電子上游-PCB-材料設備</t>
  </si>
  <si>
    <t>銅箔基板、黏合片、多層壓合板</t>
  </si>
  <si>
    <t>鍵盤、電源供應器、DV</t>
  </si>
  <si>
    <t>電子中游-NB與手機零組件</t>
  </si>
  <si>
    <t>電腦及其附屬設備軟硬體之設計製造加工買賣、各項鍵盤塑膠射出字鍵及模具設計製造內外銷、系統、應用軟體及電腦通訊控制器之設計開發製造買賣</t>
  </si>
  <si>
    <t>智能解決方案(車載、工業、建築、邊緣計算)、x86 CPU、USB傳輸IC、IC設計</t>
  </si>
  <si>
    <t>電子下游-安全監控</t>
  </si>
  <si>
    <t>IPC/安全監控</t>
  </si>
  <si>
    <t>智慧型居家安控系統產品、智能照明燈具產品、智能感應器警報器產品</t>
  </si>
  <si>
    <t>連接線與連接器、電源管理模組、能源服務管理(工程及機房服務與建置；太陽能、風力及水力電廠工程)</t>
  </si>
  <si>
    <t>LED封裝</t>
  </si>
  <si>
    <t>電子下游-工業電腦</t>
  </si>
  <si>
    <t>嵌入式電腦、工業自動化、智能系統與服務</t>
  </si>
  <si>
    <t>電腦主機板、工業用電腦及特殊專用平台(ACP)</t>
  </si>
  <si>
    <t>電腦主機板、工業電腦、電腦VGA卡</t>
  </si>
  <si>
    <t>車用娛樂IC、ADAS、多媒體IC</t>
  </si>
  <si>
    <t>PCB製造(主要為車用)、機構整合元件(主要為車用)</t>
  </si>
  <si>
    <t>無塵室、機電系統整合工程</t>
  </si>
  <si>
    <t>準系統電腦、工業電腦</t>
  </si>
  <si>
    <t>電子下游-太陽能</t>
  </si>
  <si>
    <t>太陽能導電銲帶、太陽能電廠工程服務</t>
  </si>
  <si>
    <t>電子上游-IC-DRAM製造</t>
  </si>
  <si>
    <t>DRAM</t>
  </si>
  <si>
    <t>電子中游-LCD-TFT面板</t>
  </si>
  <si>
    <t>TFT-LCD、OLED</t>
  </si>
  <si>
    <t>電子下游-電信服務</t>
  </si>
  <si>
    <t>通訊服務</t>
  </si>
  <si>
    <t>電磁零件、交換式電源供應器、資訊通訊產品、光通訊產品、其他電子零組件之製造加工及內外銷</t>
  </si>
  <si>
    <t>主機64.84%、週邊35.16%(電腦及電腦週邊產品之通路經營)</t>
  </si>
  <si>
    <t>製造銷售事業部74.92%、金融證券事業部25.08%(生產銷售揚聲器零件)</t>
  </si>
  <si>
    <t>電子中游-PC介面卡</t>
  </si>
  <si>
    <t>數位視訊產品(主要為會議、教學)</t>
  </si>
  <si>
    <t>通訊、電信產品</t>
  </si>
  <si>
    <t>微動開關、電源供應器</t>
  </si>
  <si>
    <t>散熱風扇、散熱模組，主要應用在通訊與伺服器、IT、醫療、汽車</t>
  </si>
  <si>
    <t>儀器、通訊、其他</t>
  </si>
  <si>
    <t>衛星影像事業、衛星事業、其他</t>
  </si>
  <si>
    <t>一、電腦零組件、週邊設備製造加工及買賣</t>
  </si>
  <si>
    <t>砷化鎵，紅外線，發光二極體，雷射二極體，光電晶體，光二極體、單晶，磊晶，晶粒之研發，製造，銷售兼營相關之進出口貿易、光電系統之研究開發，製造，銷售</t>
  </si>
  <si>
    <t>軟體-系統整合</t>
  </si>
  <si>
    <t>軟體</t>
  </si>
  <si>
    <t>金融自動化服務機器之銷售、租賃及維護、系統整合業務之軟、硬體規劃、開發建置及維護、</t>
  </si>
  <si>
    <t>機械陶瓷熱敏電阻變阻體陶瓷電容器製造加工買賣、精密電子儀器電子零件之製造加工買賣</t>
  </si>
  <si>
    <t>光學面板</t>
  </si>
  <si>
    <t>零售3C(家電、通訊、電腦)百貨商品、電熨斗，咖啡壺，煎烤器及馬達類產品研發設計、零組件及模具銷售，技術報酬金等</t>
  </si>
  <si>
    <t>電子中游-變壓器與UPS</t>
  </si>
  <si>
    <t>電源供應器</t>
  </si>
  <si>
    <t>事務機器電腦傳真機之買賣進出口修理及出租業務、電子及機械零組件買賣業務、有(無)線通信傳輸設備之買賣及工程承包、裝設</t>
  </si>
  <si>
    <t>電子零組件製造業、電腦及其週邊設備製造業、國際貿易業、除許可業務外，得經營法令非禁止或限制之業務</t>
  </si>
  <si>
    <t>研發生產銷售數位類比混合式特殊應用IC、研發生產銷售數位式積體電路、類比式IC、兼營與本公司業務相關之進出口貿易業務、</t>
  </si>
  <si>
    <t>光學面板、彩色濾光片基板等加工及產銷、其他</t>
  </si>
  <si>
    <t>耳機、揚聲器</t>
  </si>
  <si>
    <t>3C產品用線、3C連接組裝產品、銅材</t>
  </si>
  <si>
    <t>各種積體電路之封裝、測試及相關業務</t>
  </si>
  <si>
    <t>不動產買賣、租賃及營建開發、不動產買賣、租賃及營建開發、</t>
  </si>
  <si>
    <t>2443</t>
  </si>
  <si>
    <t>昶虹</t>
  </si>
  <si>
    <t>電腦軟硬體及週邊設備、光碟片製造加工及買賣業務、CC01050資料儲存及處理設備製造業CC01080電子零組件製造業、C601040加工紙業F109020文具批發業</t>
  </si>
  <si>
    <t>製造及銷售網路卡、Wifimodule、、(續業務1)電力線通信、無線藍芽通信服務等產品、記憶體模組、WaferDie</t>
  </si>
  <si>
    <t>IC測試</t>
  </si>
  <si>
    <t>通訊產品之代理及買賣、行動電話及相關配件之代理及買賣</t>
  </si>
  <si>
    <t>SSD、記憶卡、DRMA模組、多媒體產品(行車紀錄器、穿戴式攝影機)、硬碟產品(行動硬碟、NAS)</t>
  </si>
  <si>
    <t>電腦系統之出租與銷售、電腦系統整合及電腦軟硬體維護等</t>
  </si>
  <si>
    <t>無線通訊及網通IC設計</t>
  </si>
  <si>
    <t>砷化鎵磊晶</t>
  </si>
  <si>
    <t>POWER(不含EV)67.22%、EV32.78%、其他%(電源供應器)</t>
  </si>
  <si>
    <t>觸控螢幕IC、觸控板模組、指紋辨識IC</t>
  </si>
  <si>
    <t>電子零組件之買賣、安全規格、電磁相容測試與驗證、精密模具及射出成型生產製造、車用電子零組件及電子零組件製造</t>
  </si>
  <si>
    <t>精密電子產品及其零件、電器類機器之製造、加工、銅之原、廢料買賣、電鍍加工、煉銅、前述有關產品進出口貿易業務</t>
  </si>
  <si>
    <t>全像術及光電相關產品</t>
  </si>
  <si>
    <t>電腦系統及電器類電源傳輸線組資訊週邊產品訊號聯結線、通訊系統高效連接線組智能電動車充電線纜</t>
  </si>
  <si>
    <t>智能自動化系統、半導體設備系統、光電面板自動化系統</t>
  </si>
  <si>
    <t>繪圖卡、虛擬桌面系統、工作站電腦系統、HPC系統</t>
  </si>
  <si>
    <t>光電繼電器、光耦合器、磁簧繼電器、磁簧感應器、固態繼電器、、精密電容器等電子零組件製造買賣、發電、輸電、配電機械工程、前各項有關進出口貿易業務、</t>
  </si>
  <si>
    <t>印刷電路板製程設備、半導體設備</t>
  </si>
  <si>
    <t>銷貨收人75.8%、勞務收入24.2%(資訊系統整合業務之軟、硬體規劃、開發及維運、文件數位化服務、企業應用軟體之規劃及服務、公／私有雲基礎架構建置規劃)</t>
  </si>
  <si>
    <t>應用套裝軟體之分析設計修改安裝及維護等業務、各型電腦設備網路設備及其相關軟體之買賣、有關前項之系統整合網路規劃資料庫管理及應用軟體設計等</t>
  </si>
  <si>
    <t>各種電子器材之製造、裝配及買賣業務、各種機械批發及買賣業務、有關前各項進出口業務</t>
  </si>
  <si>
    <t>機殼及內構件</t>
  </si>
  <si>
    <t>沖壓精密金屬零件與模具</t>
  </si>
  <si>
    <t>家用、車用、多媒體及專業用影音電子產品之設計研發、製造及買賣、前項有關產品及其原料進出口及代理業務</t>
  </si>
  <si>
    <t>厚膜晶片電阻、電阻網路、積體電路等零阻件製造加工、買賣業務、有關前產品及原料之進出口貿易業務、代理國內外有關廠商產品之報價投標及經銷買賣等業務、</t>
  </si>
  <si>
    <t>電腦系統、電腦週邊、網路產品及電腦軟體之規劃、銷售及整合、系統整合及諮詢與維修等、</t>
  </si>
  <si>
    <t>功率元件及其他IC產品98.19%、太陽能1.81%(功率分離式元件之生產製造，銷售及進出口業務、一般精密電子材料及零組件之製造加工配置買賣進出口業務)</t>
  </si>
  <si>
    <t>電子下游-商業自動化</t>
  </si>
  <si>
    <t>讀卡機及銷售點終端機之製造、銷售及買賣業務、IC卡讀卡機設備及其週邊設備、零配件之製造、銷售與買賣業務、視訊會議設備及其週邊設備及零配件之製造、銷售、按裝與買賣、</t>
  </si>
  <si>
    <t>半導體導線架、程式開關、步進馬達</t>
  </si>
  <si>
    <t>石英晶體之製造加工買賣、石英晶體振盪器之製造加工買賣</t>
  </si>
  <si>
    <t>數位有線視訊傳輸系統、數位衛星通訊傳輸系統、數位視訊轉換器產品</t>
  </si>
  <si>
    <t>LED導線架、均熱片、TV背光模組</t>
  </si>
  <si>
    <t>電器製造業照明設備製造業資料儲存及處理設備製造業、無線通信機械器材製造業電子零組件製造業、國際貿易業產品設計業資訊軟體服務業</t>
  </si>
  <si>
    <t>TFT-LCD(主要為電視)</t>
  </si>
  <si>
    <t>光學資訊相關產品</t>
  </si>
  <si>
    <t>積層陶瓷電容(MLCC)、晶片電阻、高頻與射頻元件</t>
  </si>
  <si>
    <t>印刷電路板(PCB)製程、檢測設備及製程用各式化學藥水、液晶顯示器(LCD)製程、檢測設備、半導體製程、檢測設備、材料及製程用各式化學品</t>
  </si>
  <si>
    <t>個人電腦及週邊設備設計研究開發，製造及買賣業務．、通訊網路設備設計開發，製造及買賣業務．、電腦軟體程式系統分析設計及電腦資料處理業務．</t>
  </si>
  <si>
    <t>短期補習班及教育諮詢服務</t>
  </si>
  <si>
    <t>汽車電子97.77%(汽車電子、其他)</t>
  </si>
  <si>
    <t>電子下游-手機製造</t>
  </si>
  <si>
    <t>虛擬實境產品、5G Hub、手機</t>
  </si>
  <si>
    <t>拌混凝土廠</t>
  </si>
  <si>
    <t>營建收入99.01%、租賃收入0.99%(委託營造廠商興建國民住宅、商業大樓出租出售、建築材料之買賣製造代理、工業廠房開發租售業)</t>
  </si>
  <si>
    <t>承攬代辦土木建築工程、土地開發興建房屋、H701010住宅及大樓開發租售業</t>
  </si>
  <si>
    <t>建築業、其他營業收入</t>
  </si>
  <si>
    <t>國民住宅及商業大樓等之委託興建及經營租售</t>
  </si>
  <si>
    <t>委託營造廠商興建國民住宅，商業大樓出租出售業務、投資興闢都市計劃範圍內之市場，公園等公共設施、接受委託辦理市地重劃</t>
  </si>
  <si>
    <t>土木工程：承辦各種道路橋樑隧道運河等土木工程、建築工程：承辦各種辦公大樓住宅學校廠房醫院運動館等工程、工廠工程：核能電廠及各種工廠之建廠工程</t>
  </si>
  <si>
    <t>H701010住宅及大樓開發租售業、J901020一般旅館業、F501060餐館業、</t>
  </si>
  <si>
    <t>委託營造廠商興建國民住宅及商業大樓出租出售業務、買賣各種建材及進出口業務、室內設計裝潢工程(營造業除外)</t>
  </si>
  <si>
    <t>委託營造廠商興建商業大樓及國民住宅出租、出售業務、投資興闢都市計劃範圍內之停車場、餐廳、咖啡廳、旅館業務之經營</t>
  </si>
  <si>
    <t>委託營造廠商興建商業大樓出租出售業務、委託營造廠商興建國民住宅出租出售業務、房屋租售之介紹業務</t>
  </si>
  <si>
    <t>委託營造廠興建國民住宅及商業大樓出售出租業務、房屋租售之介紹業務、室內裝潢之設計及施工業務(現場僅作辦公室使用)</t>
  </si>
  <si>
    <t>集合住宅商辦大樓等建築工程總承包、晶圓廠、封測廠等高科技廠房工程總承包、捷運、道路等交通工程統包及總承包</t>
  </si>
  <si>
    <t>營建</t>
  </si>
  <si>
    <t>委託營造廠商興建商業大樓及國民住宅出售、出租業務(營造廠除外)、企業管理、財務管理及投資計劃之諮詢分析顧問業務、廢棄物處理業及其他環保服務業(廢棄土處理)</t>
  </si>
  <si>
    <t>委託營造廠商興建住宅、商業大樓出租出售業務、有關建材之買賣及進出口業務</t>
  </si>
  <si>
    <t>土木、建築、水利及整地工程之承攬、各項基礎工程之承攬、橋樑、隧道工程之承攬、</t>
  </si>
  <si>
    <t>委託營造廠商興建住宅、商辦大樓，以供出租或出售為主要業務</t>
  </si>
  <si>
    <t>建築土木工程之承攬;機電承裝工程自來水承裝工程冷凍空調工程、土木之預鑄樑柱樓版外牆與各式預鑄房屋結構構件之生產與銷售、土木及預鑄工程之規劃、設計與顧問</t>
  </si>
  <si>
    <t>百貨零售業、經營國內外航運及有關之附屬業務、船舶及其零件批發業、設備及小客車租賃業、經營國內外投資業務住宅及大樓開發租售業務</t>
  </si>
  <si>
    <t>貨櫃航運</t>
  </si>
  <si>
    <t>散裝航運、油輪</t>
  </si>
  <si>
    <t>散裝航運</t>
  </si>
  <si>
    <t>船舶運送及出租業、汽車貨櫃貨運業、貨櫃集散站經營業</t>
  </si>
  <si>
    <t>貨運運輸83.67%、倉儲物流14.4%、其他1.93%(汽車貨運業、汽車路線貨運業、汽車貨櫃貨運業、倉儲業務、快遞業務、宅配業務、冷凍車、冷凍櫃、冷凍庫出租業務及商品分類配送處理業務)</t>
  </si>
  <si>
    <t>空運(客運、貨運)</t>
  </si>
  <si>
    <t>運輸、營建、觀光休閒、貿易商品買賣業務</t>
  </si>
  <si>
    <t>海運運費收入70.08%、陸運運費收入20.85%、倉儲物流收入8.87%、空運收入0.14%、銷售收入0.05%(散裝貨輪運輸業(百分之百轉投資海外子公司)、汽車貨櫃貨運業、民用航空總代理)</t>
  </si>
  <si>
    <t>港埠碼頭貨櫃集散站</t>
  </si>
  <si>
    <t>穀倉、網路媒體事業、貿易零售事業</t>
  </si>
  <si>
    <t>汽車貨櫃貨運業、汽車修理業及其零件買賣、加油站業務及倉儲業務</t>
  </si>
  <si>
    <t>海運服務業、委託營造廠商興建住宅及商業大樓出租出售業務</t>
  </si>
  <si>
    <t>航空器與有關裝備之維修、租賃與買賣、航空配件裝備之製造與裝配、精密工業設備之修理、以及上述各項業務之代理與顧問</t>
  </si>
  <si>
    <t>高速鐵路之經營</t>
  </si>
  <si>
    <t>航空器、航空器零組件、引擎、引擎零組件，主要應用在國防、民用</t>
  </si>
  <si>
    <t>台驊投控</t>
  </si>
  <si>
    <t>海運貨運承攬、空運貨運承攬</t>
  </si>
  <si>
    <t>宅配收入68.27%、物流收入30.99%、物販收入0.75%(汽車貨運及宅配、倉儲物流、理貨包裝)</t>
  </si>
  <si>
    <t>航空器機體、零組件及發動機維修、航空器零組件製造及組裝、除許可業務外，得經營非法令禁止或限制之業務</t>
  </si>
  <si>
    <t>傳產-觀光</t>
  </si>
  <si>
    <t>租金收入59.93%、電影院票房收入30.58%、機動玩具部收入6.15%、養護費收入3.34%(育樂、租賃)</t>
  </si>
  <si>
    <t>一般旅館業、餐館業、食品什貨、飲料零售業</t>
  </si>
  <si>
    <t>國際觀光大飯店附設餐飲等業務</t>
  </si>
  <si>
    <t>國際觀光旅館餐飲電影院主題遊樂園</t>
  </si>
  <si>
    <t>觀光旅館業務、商場出租業務</t>
  </si>
  <si>
    <t>經營國際觀光旅館;附中西餐廳咖啡廳夜總、會酒吧會議廳健身房三溫暖商店等;停車場、經營;旅館管理;休閒育樂產業設施諮詢顧問</t>
  </si>
  <si>
    <t>客房部門55.14%、餐飲部門42.08%、其他部門2.78%(經營觀光旅館及餐廳業務、經營商品之銷售、健身房之經營)</t>
  </si>
  <si>
    <t>客房收入74.95%、餐飲收入24.16%、其他收入0.89%(一般旅館業、餐館業、商品銷售)</t>
  </si>
  <si>
    <t>咖啡飲料及烘培產品製造販售</t>
  </si>
  <si>
    <t>餐館業</t>
  </si>
  <si>
    <t>旅行業</t>
  </si>
  <si>
    <t>經營國際觀光旅館、附設中西餐廳咖啡廳酒吧會議廳健身房三溫暖美容商店及停車場經營、旅館管理諮詢顧問及休閒育樂產業設施經營諮詢診斷分析顧問</t>
  </si>
  <si>
    <t>國際觀光旅館、餐館經營、其他</t>
  </si>
  <si>
    <t>餐飲銷售及連鎖加盟</t>
  </si>
  <si>
    <t>金融-銀行</t>
  </si>
  <si>
    <t>銀行</t>
  </si>
  <si>
    <t>2809</t>
  </si>
  <si>
    <t>京城銀</t>
  </si>
  <si>
    <t>金融-保險</t>
  </si>
  <si>
    <t>火險、水險、汽車險、承保其他損失責任及再保險、代理其他公司、委託之保險業務、各種生產事業投資、依法辦理之事項</t>
  </si>
  <si>
    <t>手續費淨收益54.33%、透過其他綜合損益按公允價值衡量之金融資產已實現損益25.4%、利息淨收益15.06%、透過損益按公允價值衡量之金融資產及負債損益5.79%(H102011票券金融業、H301011證券商（不含營業廳）)</t>
  </si>
  <si>
    <t>產物保險</t>
  </si>
  <si>
    <t>利息淨收益53.14%、透過其他綜合損益按公允價值衡量之金融資產已實現淨利益17.71%、手續費淨收益16.15%、透過損益按公允價值衡量之金融資產及負債淨利益11.26%、其他利息以外淨利益5.11%(代理市庫，存款，授信，外匯，信託，投資等金融業務)</t>
  </si>
  <si>
    <t>利息淨收益58.15%、手續費淨收益28.26%、透過損益按公允價值衡量之金融資產及負債損益25.99%、其他利息以外淨損益0.23%、透過其他綜合損益按公允價值衡量之金融資產已實現損益0.17%(經營銀行法規定之商業銀行業務、經營信託法及信託業法規定之信託業務)</t>
  </si>
  <si>
    <t>財產保險</t>
  </si>
  <si>
    <t>H501031再保險業</t>
  </si>
  <si>
    <t>金融-證券</t>
  </si>
  <si>
    <t>營業證券出售淨利益(損失)72.02%、其他營業收入67.49%、經紀手續費收入37.59%、利息收入8.87%、股利收入8.33%(承銷有價證券自行買賣有價證券受託買賣有價證券、股務代理有價證券融資融券業務期貨業務輔助期貨自營、其它經證期會核准之有關證券業務)</t>
  </si>
  <si>
    <t>保險</t>
  </si>
  <si>
    <t>金融-金控</t>
  </si>
  <si>
    <t>金控</t>
  </si>
  <si>
    <t>開發金</t>
  </si>
  <si>
    <t>台新金</t>
  </si>
  <si>
    <t>2888</t>
  </si>
  <si>
    <t>新光金</t>
  </si>
  <si>
    <t>H101021商業銀行業、H301011證券商、H601011人身保險代理人、H601021財產保險代理人</t>
  </si>
  <si>
    <t>百貨業、超市、電影院</t>
  </si>
  <si>
    <t>百貨零售銷貨89.09%、不動產租金5.8%、其他2.64%、廣告及促銷2.47%(買賣環球百貨及經營超級市場)</t>
  </si>
  <si>
    <t>港埠石化品之裝卸及儲轉業務、進出口貿易業務及其有關之國內外買賣業務</t>
  </si>
  <si>
    <t>壽險81.86%、民生用品10.99%、餐飲3.73%、資訊服務2.02%、製藥0.79%(一般投資業、)</t>
  </si>
  <si>
    <t>國際貿易、進口服飾零售、生技醫療產業</t>
  </si>
  <si>
    <t>一般進出口貿易業務及其有關之國內外買賣業務(許可業務除外)、代理國內外廠商產品之銷售及投標業務、代理國內外廠商之採購及投標業務</t>
  </si>
  <si>
    <t>百貨事業部100%、建設事業部%(百貨零售業)</t>
  </si>
  <si>
    <t>成衣服飾製造及買賣業務、各種家具、鞋襪、飾品等百貨之製造及買賣業務、各種玩具之製造及買賣</t>
  </si>
  <si>
    <t>便利商店、流通事業群(菲律賓7-11、康是美、統一速達、博客來)</t>
  </si>
  <si>
    <t>茶葉及相關休閒產業、貿易、土地開發</t>
  </si>
  <si>
    <t>紡織業格子布/疋染布、零售成衣</t>
  </si>
  <si>
    <t>自有品牌童裝及配飾之設計開發及銷售</t>
  </si>
  <si>
    <t>凱羿-KY</t>
  </si>
  <si>
    <t>衛星電視購物及購物台購物通路商品開發、製造及銷售、郵購網購及InStoreTV店中店通路商品開發、製造及銷售</t>
  </si>
  <si>
    <t>電源及雲端智慧管理裝置、電路保護元件、博弈機觸控螢幕及周邊設備</t>
  </si>
  <si>
    <t>端子</t>
  </si>
  <si>
    <t>航太扣件61.37%、航太車削件26.42%、工業扣件12.2%、航太其他%(飛機用及船舶用扣件、結構件之製造、加工、代理及買賣業務、車輛用及工業用扣件、結構件之製造、加工、代理及買賣業務、產品設計業)</t>
  </si>
  <si>
    <t>強固型電腦、機構件、航太扣件</t>
  </si>
  <si>
    <t>DRAM、SRAM、Flash</t>
  </si>
  <si>
    <t>電子中游-光學鏡片</t>
  </si>
  <si>
    <t>手機鏡頭</t>
  </si>
  <si>
    <t>電子上游-IC-通路</t>
  </si>
  <si>
    <t>半導體前段製程材料與化學品代理</t>
  </si>
  <si>
    <t>有關電腦及其週邊產品、電子消費性與通訊用產品之連接線</t>
  </si>
  <si>
    <t>PC及伺服器機殼</t>
  </si>
  <si>
    <t>IO控制IC(主要為PC、工業電腦)、電子紙控制IC、高速傳輸介面IC(主要為PC、投影機)</t>
  </si>
  <si>
    <t>POWER57.39%、ADAPTER24.41%、OPENFRAME10%、INVERTER0.38%(電源供應器之製造銷售)</t>
  </si>
  <si>
    <t>矽磊晶、化合物半導體磊晶晶圓之開發、製造與銷售</t>
  </si>
  <si>
    <t>散熱風扇、散熱模組、水冷板，主要應用在通訊與伺服器、PC、電車、儲能</t>
  </si>
  <si>
    <t>機電系統整合工程</t>
  </si>
  <si>
    <t>光學鏡片及鏡頭(主要為相機、手機)、CIS影像感測元件、光學零組件</t>
  </si>
  <si>
    <t>連接器連接線組，電子元件產品之研發生產及銷售、家電空調汽車事務機器設備相關接線組之研發生產及銷售、電腦資訊系統整合及維護服務</t>
  </si>
  <si>
    <t>本公司為全球工業電腦之供應廠商，專門設計、生產、及銷售各種網、路通訊與自動化設備產品、主要產品類有單板/嵌入型/液晶顯示電腦、、伺服器、網路儲存設備、工業機箱、介面卡、工作站、電源供應器</t>
  </si>
  <si>
    <t>連接線與連接器，主要應用在汽車、航太、工控、醫材、消費性電子</t>
  </si>
  <si>
    <t>電子製造事業體系、流通服務事業體系、倉儲物流事業體系</t>
  </si>
  <si>
    <t>網路存取設備產品群</t>
  </si>
  <si>
    <t>被動元件、系統模組、主動元件</t>
  </si>
  <si>
    <t>通訊產品設計製造及銷售(路由器、車載及工業網通等)、電源暨能源管理設計製造及銷售(客製化電源及儲能代工等)、綠能事業(儲能及太陽能解決方案提供及太陽能電廠與儲能電站投資)</t>
  </si>
  <si>
    <t>各種電子零件、組件之進出口業務</t>
  </si>
  <si>
    <t>網路軟體硬體產品之代理製造及開發、產品分類：1網路暨資訊安全、2IT基礎架構、、3雲平台與應用、4大數據與應用、5其他、</t>
  </si>
  <si>
    <t>自動光學檢測設備、電路板測試機</t>
  </si>
  <si>
    <t>電子工業</t>
  </si>
  <si>
    <t>電腦機殼產品、電源供應器等資訊產品</t>
  </si>
  <si>
    <t>電子零組件暨周邊設備之代理</t>
  </si>
  <si>
    <t>LCD驅動IC、TV SoC</t>
  </si>
  <si>
    <t>ASIC(主要為醫療、車用、AI)、NRE</t>
  </si>
  <si>
    <t>PCB、IC載板</t>
  </si>
  <si>
    <t>電子中游-LCD-STN面板</t>
  </si>
  <si>
    <t>LCD液晶顯示器及電容式觸控面板及模組、LCM液晶顯示器模組、電子零組件製造、電腦與其週邊設備製造及電子材料批發</t>
  </si>
  <si>
    <t>租賃服務收入、教育相關電子產品及軟件</t>
  </si>
  <si>
    <t>數位機上盒晶片等相關晶片設計業務</t>
  </si>
  <si>
    <t>石英元件、感測器元件</t>
  </si>
  <si>
    <t>不斷電電源供應器</t>
  </si>
  <si>
    <t>電腦系統、其他電腦周邊產品</t>
  </si>
  <si>
    <t>商用及消費性通訊設備，電信商通訊設備，通訊服務</t>
  </si>
  <si>
    <t>電子中游-LCD-零組件</t>
  </si>
  <si>
    <t>觸控式液晶顯示器之研究、開發、生產、製造及銷售業務、</t>
  </si>
  <si>
    <t>光碟服務產品</t>
  </si>
  <si>
    <t>偏光板</t>
  </si>
  <si>
    <t>營建工程、機電、儀電工程、電子零組件之銷售、光電產品之製造及銷售</t>
  </si>
  <si>
    <t>生技產品銷售、電子產品銷售</t>
  </si>
  <si>
    <t>半導體設備代理、技術諮詢與維修服務</t>
  </si>
  <si>
    <t>營建收入</t>
  </si>
  <si>
    <t>研究開發生產製造銷售電腦儲存設備高效能控制卡及系統，電腦高效、能網路及圖型系統，多媒體軟硬體套件及系統，電腦電話整合技術相關、產品，暨前項產品之管理顧問諮詢技術移轉等業務，及相關之貿易業務</t>
  </si>
  <si>
    <t>交換式電源供應器，變壓器及電源轉換器之生產銷售及買賣、電信器材批發，零售、電子材料批發，零售</t>
  </si>
  <si>
    <t>數位影像IC、數位影像系統(車載影像、社群分享、直播、VR、人臉辨識、安全監控)</t>
  </si>
  <si>
    <t>硬碟零組件</t>
  </si>
  <si>
    <t>無線寬頻網路設備</t>
  </si>
  <si>
    <t>電子零件組件及其材料之製造加工及買賣業務、電腦週邊設備之製造加工買賣及軟體程式設計業務、前各項有關產品之進出口貿易業務、</t>
  </si>
  <si>
    <t>連接線99.54%、不動產租賃0.46%(製造、銷售各種電腦訊號線，連接器，連接線)</t>
  </si>
  <si>
    <t>設計研究開發生產製造銷售網路控制晶片、設計研究開發生產製造銷售數據機晶片組、設計研究開發生產製造銷售USB系列晶片</t>
  </si>
  <si>
    <t>軟體-其他</t>
  </si>
  <si>
    <t>一般廣告服務業、電子資訊、就業服務</t>
  </si>
  <si>
    <t>射頻應用產品之天線研發製造及相關進出口貿易業務、人體手持、穿戴與植入系統的安全性與電磁相容之評估服務、代理精密量測儀器及國內外廠商產品之投標報價經銷業務、</t>
  </si>
  <si>
    <t>光電玻璃及玻璃製品製造業、電子零組件製造業、國際貿易業、</t>
  </si>
  <si>
    <t>西藥製造業、生物技術服務業、未分類其他食品製造業</t>
  </si>
  <si>
    <t>各種機器之設計製造加工及買賣、各種模具之設計製造加工及買賣、上項有關業務之進出口貿易業務</t>
  </si>
  <si>
    <t>國際貿易業、資訊軟體服務業、電子資訊供應服務業</t>
  </si>
  <si>
    <t>印刷電路板製造</t>
  </si>
  <si>
    <t>筆電、伺服器、智慧型裝置、顯示器</t>
  </si>
  <si>
    <t>功率積體電路(PowerIC)、電源模組(PowerModule)、場效電晶體(MOSFET)</t>
  </si>
  <si>
    <t>住宅及大樓開發租售業、不動產買賣業、都市更新重建業</t>
  </si>
  <si>
    <t>有線及無線通信機械器材製造買賣、電子零組件製造買賣、電機與電子機械器材製造買賣</t>
  </si>
  <si>
    <t>銲錫絲、銲錫棒、BGA錫球、銲錫膏</t>
  </si>
  <si>
    <t>交換式電源供應器，無停電裝置，變壓器等之加工製造買賣業務、電子零件，電機儀器，科學儀表，各式半導體裝置之加工及買賣業務、各種有無線電通訊機件，器材，電音儀器之修護裝配買賣業務</t>
  </si>
  <si>
    <t>按鍵及模組產品、機構整合元件</t>
  </si>
  <si>
    <t>電子零組件代理(主要為數位通訊、儲存裝置)</t>
  </si>
  <si>
    <t>多層及軟式印刷電路板之製造加工及買賣業務、電子零組件之製造加工及買賣業務、CC01050資料儲存及處理設備製造業</t>
  </si>
  <si>
    <t>散熱模組、水冷散熱器，主要應用在PC、伺服器、電車</t>
  </si>
  <si>
    <t>電子材料批發業、國際貿易業(限工廠產品)、電子零組件製造業</t>
  </si>
  <si>
    <t>數位監控系統</t>
  </si>
  <si>
    <t>樞紐(主要為穿戴及配件、NB、螢幕)</t>
  </si>
  <si>
    <t>電信管制射頻器材製造業、無線通信機械器材製造業</t>
  </si>
  <si>
    <t>光學鏡片及鏡頭(主要為手機、相機、平板、比電)、LED製品(主要為路燈、平板燈)</t>
  </si>
  <si>
    <t>半導體設備、LCD設備</t>
  </si>
  <si>
    <t>強固型工業用行動電腦、強固型顯示器、其他</t>
  </si>
  <si>
    <t>工業用塑膠製品製造業、電線及電纜製造業、電子零組件製造、批發、零售業、</t>
  </si>
  <si>
    <t>連接器</t>
  </si>
  <si>
    <t>LED晶粒研發、製造、封裝、模組及銷售</t>
  </si>
  <si>
    <t>ASIC(主要為消費性電子、網通、AI)、NRE</t>
  </si>
  <si>
    <t>光資訊及光通訊產品、功率半導體封裝測試</t>
  </si>
  <si>
    <t>有線無線通信機械器材製造及銷售、電子零組件及電信器材製造及銷售、資訊軟體，資料處理及電子資訊服務及銷售</t>
  </si>
  <si>
    <t>TFT-LCD</t>
  </si>
  <si>
    <t>相片印表機及週邊耗材研發批發零售之經營、事務性機器設備批發零售、國際貿易</t>
  </si>
  <si>
    <t>電子、資訊、電機及電器類電源線組、插座、插頭、轉接頭、組合式插頭、其他</t>
  </si>
  <si>
    <t>電子零組件製造業；光學儀器製造業；其他設計業；國際貿易業、研究/開發/設計/製造/銷售各式顯像或取像之光源、光學元件、研究/開發/設計/製造/銷售各式顯像或取像之模組、光機引擎</t>
  </si>
  <si>
    <t>個人電腦主機板、個人電腦主機板之零配件</t>
  </si>
  <si>
    <t>PVD外觀鍍膜表面處理</t>
  </si>
  <si>
    <t>電腦設備安裝業、電子材料批發業、電腦及事務性機器設備批發業</t>
  </si>
  <si>
    <t>互補金氧半導體影像感測積體電路之研究、開發、設計、生產及銷售</t>
  </si>
  <si>
    <t>8吋及12吋矽晶圓製造</t>
  </si>
  <si>
    <t>連接線與連接器(主要為伺服器、PC、工控、汽車、醫材</t>
  </si>
  <si>
    <t>自動光學檢測機</t>
  </si>
  <si>
    <t>光電電子零組件、模具、金屬傢俱及醫療用品製造加工與進出口業務</t>
  </si>
  <si>
    <t>研究、開發、設計、製造及銷售手持式行動裝置應用晶片</t>
  </si>
  <si>
    <t>資訊、通訊及消費性電子用訊號傳輸線材及線組之研發、製造及銷售、醫療、工業及自動化設備用訊號傳輸線材及線組之研發、製造及銷售、汽車、伺服器用訊號傳輸線材及線組與塑膠製品之研發、製造及銷售</t>
  </si>
  <si>
    <t>各式餐具、廚具用品等家居用品設計、生產及銷售</t>
  </si>
  <si>
    <t>非接觸式機械視覺檢測系統設備</t>
  </si>
  <si>
    <t>研究、開發、設計、製造及銷售(1)太陽能電池及相關系統、(2)太陽能發電模組及晶圓、(3)兼營與本公司產品相關之進出口貿易業務</t>
  </si>
  <si>
    <t>代理與製造前段濕式製程機、12吋再生晶圓</t>
  </si>
  <si>
    <t>CC01080電子零組件製造業、I501010產品設計業</t>
  </si>
  <si>
    <t>LED照明元件模組、LED車用照明模組及光傳輸元件之研發製造銷售</t>
  </si>
  <si>
    <t>螢幕驅動IC</t>
  </si>
  <si>
    <t>電子零組件、消費性電子產品</t>
  </si>
  <si>
    <t>無線區域網路產品、整合性數位家庭及行動辦公室之多媒體閘道器、無線影音產品</t>
  </si>
  <si>
    <t>電子、電腦、車用、網通、消費性電子、工業、醫療等連接器及配件、電子線連接線組、無線通訊射頻連接器線組、金屬沖壓件、前各項及各式零組件等產品之研發、生產及銷售等業務</t>
  </si>
  <si>
    <t>各種模具、金屬零件之製造加工及買賣、各種塑膠成型製品及其零件之製造加工及買賣、各種電子、電機及其零件之開發製造加工及買賣</t>
  </si>
  <si>
    <t>不斷電電源供應系統、電源保護與電源管理系統、電力電子設備</t>
  </si>
  <si>
    <t>電線電纜、觸控面板</t>
  </si>
  <si>
    <t>聚醯亞胺薄膜之製造與銷售、電子零組件製造業</t>
  </si>
  <si>
    <t>工規行動電腦46.74%、條碼掃描器11.66%(自動辨識資料收集產品研發、設計、製造、全球銷售)</t>
  </si>
  <si>
    <t>均熱片、LED導線架、CPU機構扣件</t>
  </si>
  <si>
    <t>NRE(主要為HPC)、ASIC</t>
  </si>
  <si>
    <t>連接線束(主要為工業、車用、資料中心)</t>
  </si>
  <si>
    <t>視訊傳播產品系列74.82%、教育整合產品系列24.4%、其他0.78%(簡報及視訊會議產品等系列設計、製造、加工及買賣)</t>
  </si>
  <si>
    <t>觸控模組</t>
  </si>
  <si>
    <t>精密塑膠模具之設計開發、塑膠射出零組件</t>
  </si>
  <si>
    <t>電子零組件製造業、電子材料批發業、電子材料零售業</t>
  </si>
  <si>
    <t>無線網路通訊模組產品之研究開發、生產製造及銷售、數位影像處理模組產品之研究開發、生產製造及銷售</t>
  </si>
  <si>
    <t>H201010一般投資業</t>
  </si>
  <si>
    <t>電子零組件代理</t>
  </si>
  <si>
    <t>伺服器、GPS</t>
  </si>
  <si>
    <t>環保耐蝕材料、環保綠能材料</t>
  </si>
  <si>
    <t>太陽能及風力電廠開發與能源服務、雲端影像掃描器、影像辨識裝置、光通訊及光學零組件</t>
  </si>
  <si>
    <t>H201010一般投資業、IH01010產業控股公司業</t>
  </si>
  <si>
    <t>血液透析相關醫療耗材、外科設備及耗材，血袋，造口、健康家電及保養品系列產品</t>
  </si>
  <si>
    <t>醫療用褥瘡氣墊床組、福祉器材、醫療電子產品</t>
  </si>
  <si>
    <t>天然植物、中草藥成分、萃取分離技術、生化科技之研發、中草藥、原料藥及化學藥品之研發、醫藥品之顧問服務</t>
  </si>
  <si>
    <t>原料藥70.95%、中間體28.23%(原料藥，原料藥中間體，特殊及精密化學品之加工，製造及銷售)</t>
  </si>
  <si>
    <t>單株抗體、多株抗體、蛋白質、醫療檢測儀器及檢驗試劑</t>
  </si>
  <si>
    <t>美容產品與護理套組之研發、製造及銷售業務、特許經營美容連鎖加盟店之經營與推廣業務、除許可業務外，得經營法令非禁止或限制之業務</t>
  </si>
  <si>
    <t>血清、疫苗、檢驗試劑、生物製劑及其菌液、原料等之加工製造買賣、有關西藥、動物用藥品、化學品及飼料添加物等之加工製造買賣、前各項產品之進出口貿易與代理</t>
  </si>
  <si>
    <t>微生物研發及量產、微生物有機複合肥、生化有機複合肥</t>
  </si>
  <si>
    <t>醫療器材製造業、醫療器材設備業、醫療器材零售業</t>
  </si>
  <si>
    <t>放射腫瘤、神經科學、影像醫學、眼科及外科/手術等儀器設備銷售、維修保養、出租及其相關零配件、耗材之銷售及藥品銷售、一般投資業</t>
  </si>
  <si>
    <t>美容美體產品、美容美體SPA課程</t>
  </si>
  <si>
    <t>電子級化學品純化與循環再利用及綠色能源之開發建置、土地開發及商辦、住宅、飯店之營造興建、OPP、PVC、PE、汽車線束、雷射切割及特殊膠帶之產銷</t>
  </si>
  <si>
    <t>成衣製造、加工、買賣及進出口業務、成衣附屬品之加工、買賣及進出口業務、代理國內外廠商有關前各項業務之投標、報價、採購、經銷</t>
  </si>
  <si>
    <t>針織布</t>
  </si>
  <si>
    <t>成衣加工、成衣製造、成衣買賣</t>
  </si>
  <si>
    <t>成衣服裝布料之織造、印染、整理加工製造及買賣業務、前項產品及有關紗類原料之買賣，加工及進出口貿易業務</t>
  </si>
  <si>
    <t>切削加工設備、印刷電路板加工機、雷射加工機、基層製造設備</t>
  </si>
  <si>
    <t>其他機械製造業(壓縮機、機械零組件)、發電、輸電、配電機械製造業、電器製造業、製造輸出業</t>
  </si>
  <si>
    <t>運動休閒產品、航太醫療產品、原物料及其他</t>
  </si>
  <si>
    <t>滾珠螺桿、線性滑軌及滾珠花鍵等產品之製造及銷售</t>
  </si>
  <si>
    <t>電子產品沖壓零組件39.44%、硬碟機沖壓零組件28.93%、塑膠件21.59%、自動化機台6.48%(音圈馬達上下板、硬碟機沖壓零組件、其他)</t>
  </si>
  <si>
    <t>精密金屬零件之機械加工、製造及買賣</t>
  </si>
  <si>
    <t>以自營品牌專業研發、製造及銷售通用型空氣壓縮機</t>
  </si>
  <si>
    <t>氣動執行元件、氣動控制元件、氣源處理元件及氣動輔助元件之研發，生產及銷售</t>
  </si>
  <si>
    <t>售後市場汽車剎車系統零組件之製造、生產及銷售、汽機車原廠煞車片之製造、生產及銷售、二輪機車及自行車油壓碟式煞車組之製造、生產及銷售、</t>
  </si>
  <si>
    <t>工業縫紉機配件</t>
  </si>
  <si>
    <t>金屬彎管機、切管機、工具機</t>
  </si>
  <si>
    <t>各式迷你高壓充氣鋼瓶(charger)及各式高壓容器、CA02990其他金屬製品製造業、C114010食品添加物製造業</t>
  </si>
  <si>
    <t>精密金屬零件生產及加工(主要為車用、工業、航太)</t>
  </si>
  <si>
    <t>齒輪、齒輪箱、精密金屬零組件、諧波減速器、中置電機、及工業機器人等智能傳動核心零組件之研發、生產及銷售</t>
  </si>
  <si>
    <t>大型飛機機身結構零組件、大型飛機引擎及起落架結構零組件、特殊模治具</t>
  </si>
  <si>
    <t>精密運動及控制元件之研究開發製造及銷售、微米與奈米級定位系統之研究開發製造及銷售</t>
  </si>
  <si>
    <t>精密金屬加工</t>
  </si>
  <si>
    <t>減速機、客房及餐飲服務、其他</t>
  </si>
  <si>
    <t>熱熔膠等黏劑塗劑填縫劑脫模劑等化學品之加工製造買賣業務、醫療器材買賣業務、迴流設備振動機產品標示設備等自動化設備之設計組合維修買賣業務</t>
  </si>
  <si>
    <t>光固化材料59.61%、不飽和聚酯樹脂19.34%、塗料樹脂12.46%、電子化學材料6.55%、其他2.05%(各種工業用合成樹脂，及其他有關化學品之製造、加工、銷售、各種人造樹脂之原物料買賣及工業用合成樹脂之進出口業務、玻纖強化塑膠製品之製造、加工及相關原物料之買賣進出口業務、)</t>
  </si>
  <si>
    <t>醫療器材設備製造</t>
  </si>
  <si>
    <t>血糖檢測儀，血糖檢測試片</t>
  </si>
  <si>
    <t>氧化觸媒生產製造買賣及進出口業務、先進材料生產製造買賣及進出口業務、動力電池材料生產製造買賣及進出口業務</t>
  </si>
  <si>
    <t>膽固醇磷酸鹽結合劑28.71%、維他命D衍生物17.63%、中樞神經系統用藥10.6%、委託研發代工生產(CDMO/勞務)10.56%、呼吸系統用藥8.48%(原料藥、委託研發代工)</t>
  </si>
  <si>
    <t>精密化學品、基礎化學品、其他</t>
  </si>
  <si>
    <t>材料-KY</t>
  </si>
  <si>
    <t>醋酸纖維絲束</t>
  </si>
  <si>
    <t>塑膠添加劑及UV光固化產品等產品之研發、製造與銷售</t>
  </si>
  <si>
    <t>黏著劑</t>
  </si>
  <si>
    <t>氟素樹脂應用材料之製造、加工及買賣、氟素樹脂內襯設備之製造、加工及買賣、各式化學品儲存槽、運送管道及輸送設備等系統工程設計與製造、</t>
  </si>
  <si>
    <t>珠寶首飾之設計、製造及銷售</t>
  </si>
  <si>
    <t>無線區域網路產品類</t>
  </si>
  <si>
    <t>精密金屬模具設計及生產、五金沖壓件生產</t>
  </si>
  <si>
    <t>智慧聲控音響、藍芽音響、鍵盤、滑鼠、相機模組(行動裝置、ADAS)</t>
  </si>
  <si>
    <t>博奕及工業電腦、航太及國防工業</t>
  </si>
  <si>
    <t>MCU(主要為車用、工業用、電源管理)</t>
  </si>
  <si>
    <t>雙面與多層印刷電路板之製造與銷售</t>
  </si>
  <si>
    <t>小家電之製造及銷售、其他</t>
  </si>
  <si>
    <t>太陽能電池</t>
  </si>
  <si>
    <t>導光板應用之光電產品零組件研發製造及進出口買賣業務、電子零組件製造及進出口買賣業務、模具製造批發及進出口買賣業務</t>
  </si>
  <si>
    <t>筆電、桌電、智慧型裝置</t>
  </si>
  <si>
    <t>光電資訊電子零組件、模具及精密儀器等製造加工買賣業務、及相關產品之進出口業務</t>
  </si>
  <si>
    <t>電子接插件(連接器)、聲學元件</t>
  </si>
  <si>
    <t>I501010產品設計業、CC01080電子零組件製造業、I301020資料處理服務業</t>
  </si>
  <si>
    <t>(一)超高亮度發光二極體藍綠光磊晶片及晶粒、(二)超高亮度發光、二極體紅黃橙光磊晶片及晶粒、(三)超高亮度發光二極體封裝模組、及相關應用產品、(四)兼營前述相關產品之國際貿易、</t>
  </si>
  <si>
    <t>PCB製造(主要為行動通訊、電腦)</t>
  </si>
  <si>
    <t>偏光板、其他、無</t>
  </si>
  <si>
    <t>LCD驅動IC、電源管理IC</t>
  </si>
  <si>
    <t>DRAM模組、NAND Flash模組</t>
  </si>
  <si>
    <t>射頻IC設計</t>
  </si>
  <si>
    <t>車載相機安控視訊行動穿戴工業辨識醫療等鏡頭開發製作、各類塑膠成型機構部品開發及製作、精密模具研磨皿傘具計測具組裝等、</t>
  </si>
  <si>
    <t>設計、研發、生產及銷售光收發模組</t>
  </si>
  <si>
    <t>電解銅箔之製造及銷售</t>
  </si>
  <si>
    <t>軟體-遊戲</t>
  </si>
  <si>
    <t>遊戲收入98.16%、權利金收入1.84%(電子資訊供應服務業、資訊處理服務業、資訊軟體服務業、除許可業務外，得經營法令非禁止或限制之業務)</t>
  </si>
  <si>
    <t>樞紐組件</t>
  </si>
  <si>
    <t>螺帽52.88%、螺絲28.41%、模具8.79%、鏵司6.12%、其他1.74%(螺絲、螺帽、汽車零件、鋼棒、鋼鐵線材等之製造、加工及買賣、有關前項產品之機械及機械零件、工具之製造、加工及買賣、各種金屬模具之製造、加工及買賣、)</t>
  </si>
  <si>
    <t>多媒體影音軟體之開發與銷售</t>
  </si>
  <si>
    <t>薄膜觸控開關之製造銷售</t>
  </si>
  <si>
    <t>揚聲器系統及耳機之製造及銷售、高階/智慧型揚聲器及影音電子家庭娛樂系統之設計、製造及銷售、系統架構/新產品概念/創新產品及聲學技術之研發</t>
  </si>
  <si>
    <t>光電及半導體化學材料</t>
  </si>
  <si>
    <t>模具、塑膠及五金製品之設計、研發、生產及銷售</t>
  </si>
  <si>
    <t>電腦及週邊設備製造業、資訊軟體服務業、產品設計業</t>
  </si>
  <si>
    <t>高速介面控制晶片、裝置端高速控制晶片之設計</t>
  </si>
  <si>
    <t>電子零組件製造業、電器批發業及其他等相關產業</t>
  </si>
  <si>
    <t>金屬精密機構件</t>
  </si>
  <si>
    <t>導線架、模具及其它</t>
  </si>
  <si>
    <t>汽機車零組件之製造、加工、買賣、五金零組件、機械零組件及裝配、醫療器材之製造、加工、買賣、五金零組件、機械零組件及裝配、休閒車輛零組件之製造、加工、買賣</t>
  </si>
  <si>
    <t>傳產-自行車</t>
  </si>
  <si>
    <t>運動</t>
  </si>
  <si>
    <t>自行車鏈條及機車鏈條、鏈輪之製造與銷售</t>
  </si>
  <si>
    <t>有線及無線網路產品</t>
  </si>
  <si>
    <t>電子零組件代理、環保工程及廠務系統</t>
  </si>
  <si>
    <t>PCB製造(主要為電腦、網通、伺服器)</t>
  </si>
  <si>
    <t>消費性IC54.53%、多媒體IC45.45%、其他0.01%(1半導體之研發、設計製造、買賣經銷及進出口貿易業務2電腦程、式設計開發3電子、化工、機械設備及化工原料買賣及進出口貿易、4其他設計業(積體電路設計、測試)5除許可業務外，得經營法令非)</t>
  </si>
  <si>
    <t>CCD電子攝影機、影像處理器</t>
  </si>
  <si>
    <t>設計監修承造各種大小工程、買賣建築材料</t>
  </si>
  <si>
    <t>房地收入88.78%、工程收入10.45%、租賃收入0.78%、客房收入0.01%、商品收入%(住宅、大樓及工業廠房開發租售業、營造業、投資興建公共建設業、不動產租賃業)</t>
  </si>
  <si>
    <t>道路、橋樑、隧道、碼頭、捷運等土木工程及房屋建築工程營造、地質鑽探工程承攬、前項工程有關材料之買賣及進出口、</t>
  </si>
  <si>
    <t>經營委託營造廠商興建國民住宅及商業大樓之出租出售業務、工業廠房開發出租辦公大樓出租等業務、各種廣告企劃代理及其策劃製作業務</t>
  </si>
  <si>
    <t>委託營造廠興建國民住宅、商業大樓出租或出售</t>
  </si>
  <si>
    <t>興建國民住宅、商業大樓及工業廠房之出租及出售</t>
  </si>
  <si>
    <t>專營不銹鋼緊固件及不銹鋼線材生產與銷售、特殊緊固件的國際貿易、</t>
  </si>
  <si>
    <t>預拌商品混凝土、其他</t>
  </si>
  <si>
    <t>船務代理業、船舶運送業、船舶及其零件批發/零售業、</t>
  </si>
  <si>
    <t>接受客戶委託代辦國內外觀光旅遊安排食宿及相關服務等</t>
  </si>
  <si>
    <t>租賃</t>
  </si>
  <si>
    <t>品牌男女裝之設計開發、製造及銷售業務、百貨買賣</t>
  </si>
  <si>
    <t>服飾、珠寶、化妝品、鞋類、運動用品、家用及其他等百貨零售商品、</t>
  </si>
  <si>
    <t>證券</t>
  </si>
  <si>
    <t>期貨經紀、自營業務、期貨顧問事業、期貨經理事業、證券交易輔助人、證券投資顧問事業、證券業(自營)、槓桿交易商、其他經主管機關核准之項目</t>
  </si>
  <si>
    <t>印刷電路板製造及買賣</t>
  </si>
  <si>
    <t>資通訊基礎架構數據運算及運用數位化整合雲端應用軟體及服務、其他產品</t>
  </si>
  <si>
    <t>資訊、通訊及消費性電子產品之電源線連接器、電源傳輸線、網路線、電子訊號線、延長線</t>
  </si>
  <si>
    <t>平面顯示器製造及買賣、監視器製造及買賣、零組件製造及買賣</t>
  </si>
  <si>
    <t>電腦機殼、伺服器</t>
  </si>
  <si>
    <t>液晶顯示器及模組代工、光電科技產品及週邊零組件</t>
  </si>
  <si>
    <t>感光鼓齒輪，碳粉匣等資訊週邊事務機器相關零組件耗材</t>
  </si>
  <si>
    <t>連接器及連接線(組)、其他</t>
  </si>
  <si>
    <t>通信網路業、資訊服務業、資訊軟體服務業、資訊軟體批發業</t>
  </si>
  <si>
    <t>工業機電系統整合工程、生化無菌室、電子業無塵室及相關機電製程管線之設計及建造</t>
  </si>
  <si>
    <t>1研發、生產、製造、加工等及銷售電腦網路系統設備及其零組件、2前項產品之進出口貿易業務、3電信管制設頻器材製造業及輸入業</t>
  </si>
  <si>
    <t>有線通信機械器材製造業、無線通信機械器材製造業、電信管制射頻器材製造業及輸入業</t>
  </si>
  <si>
    <t>軟性電路板(FPC)之設計、研究、開發、製造、加工及買賣之業務</t>
  </si>
  <si>
    <t>磁鐵心、氧化鐵心、偏向軛及偏向軛磁鐵心、排感、收斂線圈、延遲線濾波器、電磁組件、共模抗流線圈、天線棒、積層晶片、電感晶片、磁珠、</t>
  </si>
  <si>
    <t>照明應用產品68.12%、發光二極體元件31.88%(照明應用產品、發光二極體元件)</t>
  </si>
  <si>
    <t>各種精密機械、零件及儀器之裝配加工、製造、買賣、及文化創意之業務</t>
  </si>
  <si>
    <t>通訊暨電腦產品、量測及自動化產品</t>
  </si>
  <si>
    <t>表面黏著發光二極體之生產與銷售</t>
  </si>
  <si>
    <t>背光模組</t>
  </si>
  <si>
    <t>專案承包服務48.49%、電子資料交換服務48.22%、地籍地價資料查詢1.27%、設備設施管理服務1.19%、租金收入0.82%(電子資料交換服務、專案承包、設備設施管理)</t>
  </si>
  <si>
    <t>有線電視系統之經營、電視接收機、發射機之研究設計、製造、銷售與修護、電視機械設備及材料之買賣、進口業務及電信事業</t>
  </si>
  <si>
    <t>PCB製造(主要為電腦、車用)</t>
  </si>
  <si>
    <t>程控儀器買賣及程控系統整合工程、提供電子及通信元件之經銷代理</t>
  </si>
  <si>
    <t>提供高科技產業廠務及製程系統規劃整合服務，並搭配半導體及光電、客製化設備研發、組裝、製造等業務，且擁有半導體、光電等高科技、技產業製程所需材料與設備之代理銷售、安裝、售後服務與技術支援</t>
  </si>
  <si>
    <t>連接線與連接器、光收發模組，主要應用在通訊、邊緣運算、資料中心</t>
  </si>
  <si>
    <t>專業音訊產品、小家電產品醫療器材產品、電子零組件製造業</t>
  </si>
  <si>
    <t>各種積體電路之研究、設計開發、製造及銷售、</t>
  </si>
  <si>
    <t>各種電子零件(連接器、電子線)等製造加工買賣業務、一般進出口貿易業務(期貨除外)、有關前項業務之代理經銷報價及投標業務</t>
  </si>
  <si>
    <t>端點銷售系統POSSYSTEM、平板電腦PANELPC、資訊服務系統KIOSK</t>
  </si>
  <si>
    <t>光學鏡片、光學鏡頭之製造、光學鏡片、光學鏡頭之買賣</t>
  </si>
  <si>
    <t>銅箔基板、玻璃纖維膠片</t>
  </si>
  <si>
    <t>資訊軟體服務業、電子資訊供應服務業、資料處理服務業、電腦及事務性機器設備零售業、資訊軟體零售業</t>
  </si>
  <si>
    <t>SMT後製程設備、半導體製程設備</t>
  </si>
  <si>
    <t>製造及銷售有線無線通信機械器材、電信器材及資訊軟體服務</t>
  </si>
  <si>
    <t>高分子正溫度係數熱敏電阻</t>
  </si>
  <si>
    <t>微型投影機/數位相機/數位攝影機/彩色電子童書、無線壓力電磁感應筆式輸入系統與ASIC模組、微型光電模組</t>
  </si>
  <si>
    <t>發光二極體、房地銷售</t>
  </si>
  <si>
    <t>散熱模組、散熱片、熱導管及微均熱板，主要應用在PC、伺服器、電源供應器</t>
  </si>
  <si>
    <t>鎂合金成型件(主要為3C、車用)</t>
  </si>
  <si>
    <t>積體電路設計，研究，開發，製造，銷售</t>
  </si>
  <si>
    <t>IC封測(主要為PMIC、RF)</t>
  </si>
  <si>
    <t>PCB製造(主要為通訊產品、筆電、平板)</t>
  </si>
  <si>
    <t>影像感測器封測、混合積體電路模組、陶瓷電路板、高頻無線通訊模組</t>
  </si>
  <si>
    <t>IT架構管理解決方案產品67.87%、其他17.7%、視訊產品14.43%(智慧製造與物聯網應用方案之研發、製造及銷售、資訊暨專業影音設備連接管理方案之研發、製造及銷售)</t>
  </si>
  <si>
    <t>PCB基板加工製造(主要為LCD顯示器)</t>
  </si>
  <si>
    <t>電視機等家用電器通訊器材燈具及其有關器材零組件之買賣業務、電腦及其週邊自動化事務機器及其器材零組件之裝配及買賣業務、前各項產品之維修及保養服務業務及電器安裝業務</t>
  </si>
  <si>
    <t>車用鏡頭研發製造、先進駕駛輔助系統整合開發、汽車輕量化工程模、檢、治具研發製造，智能產線規劃、各式薄膜線路與按鍵之製造加工代理國內外廠商產品經銷服務</t>
  </si>
  <si>
    <t>無線通訊產品、衛星通訊產品</t>
  </si>
  <si>
    <t>6288</t>
  </si>
  <si>
    <t>聯嘉</t>
  </si>
  <si>
    <t>LED車燈模組及元件、LED號誌燈、路燈、節能照明產品及模組、LED背光源元件及模組</t>
  </si>
  <si>
    <t>光電薄化玻璃</t>
  </si>
  <si>
    <t>不斷電系統、太陽光變頻器</t>
  </si>
  <si>
    <t>電源供應器、鍵盤、影像產品</t>
  </si>
  <si>
    <t>廠務系統及機電系統服務、資訊系統、產業電腦軟硬體，主要應用在智能工控、智能城市、智能醫療</t>
  </si>
  <si>
    <t>電源管理IC(主要為消費性電子、工業、NB)</t>
  </si>
  <si>
    <t>電腦及其週邊設備製造業、資訊軟體服務業、除許可業務外，得經營法令非禁止或限制之業務</t>
  </si>
  <si>
    <t>薄膜濾光片及光學鍍膜</t>
  </si>
  <si>
    <t>化妝品及保養品製造銷售</t>
  </si>
  <si>
    <t>自動化設備及其相關產品</t>
  </si>
  <si>
    <t>光通信元件及模組、高頻連接器</t>
  </si>
  <si>
    <t>太陽能模組、太陽能電池</t>
  </si>
  <si>
    <t>血液疾病藥物</t>
  </si>
  <si>
    <t>捲繞固態電容、晶片型導電高分子固態電容，主要應用在MB、NB、伺服器、HPC、電源供應器、網通</t>
  </si>
  <si>
    <t>高速光纖收發模組、SiP及感測器</t>
  </si>
  <si>
    <t>觸控及顯示模組之生產及銷售業務</t>
  </si>
  <si>
    <t>有線電視系統之投資及控股、頻道版權代理、顧問諮詢</t>
  </si>
  <si>
    <t>中樞神經藥品、抗生素、腸胃藥、保健品、CDMO</t>
  </si>
  <si>
    <t>太陽能電池模組設計、生產及銷售、能源技術服務、其他</t>
  </si>
  <si>
    <t>隱形眼鏡</t>
  </si>
  <si>
    <t>衛材不織布67.3%、生技產品32.53%、口罩0.14%、其他不織布0.03%(水針不織布，水針木漿複合布，無塵擦拭布，家庭用擦拭布，地板拖布、熱風、熱壓不織布、嬰兒柔濕巾，美顏面膜，卸妝棉，乳劑，液劑保養品)</t>
  </si>
  <si>
    <t>石油、石油化學品</t>
  </si>
  <si>
    <t>測試治具、探針卡、接觸元件</t>
  </si>
  <si>
    <t>功率半導體封裝測試</t>
  </si>
  <si>
    <t>PSRAM、SDRAM、LPDDR</t>
  </si>
  <si>
    <t>IP授權(主要為RISC-V；應用在消費性電子、AI、存儲)</t>
  </si>
  <si>
    <t>生物相似藥及新藥之研發、製造及銷售、</t>
  </si>
  <si>
    <t>抗癌藥物</t>
  </si>
  <si>
    <t>捲帶式高階覆晶薄膜IC基板</t>
  </si>
  <si>
    <t>CC01090電池製造業、F401010國際貿易業</t>
  </si>
  <si>
    <t>設計、研發、製造、銷售半導體整流功率分離式元件</t>
  </si>
  <si>
    <t>工業系統產品、單板電腦及週邊裝置</t>
  </si>
  <si>
    <t>廢棄物清除再利用、銷售氧化鋅</t>
  </si>
  <si>
    <t>醫材及其他用途之合成乳膠原料、加工用接著劑、其他</t>
  </si>
  <si>
    <t>散熱風扇</t>
  </si>
  <si>
    <t>車貸</t>
  </si>
  <si>
    <t>自動化多元檢測儀器及試劑之研發、銷售</t>
  </si>
  <si>
    <t>汽車車燈、汽車百貨零件</t>
  </si>
  <si>
    <t>演唱會製作、硬體設備租賃</t>
  </si>
  <si>
    <t>環保設備製造、環保設備銷售、環保工藝技術服務</t>
  </si>
  <si>
    <t>塗裝木皮板、KD木地板、其他木材相關產品之製造及銷售</t>
  </si>
  <si>
    <t>面部類美容保養品</t>
  </si>
  <si>
    <t>模具製造、研發及買賣、數位鏡頭組裝及鏡片鍍膜</t>
  </si>
  <si>
    <t>伺服器</t>
  </si>
  <si>
    <t>傳產-高爾夫球</t>
  </si>
  <si>
    <t>高爾夫球桿頭等各項金屬製品之製造加工裝配買賣業務、高爾夫球具(桿、握把、頭)之裝配及買賣業務</t>
  </si>
  <si>
    <t>各式烘焙器具之研發、製造與銷售</t>
  </si>
  <si>
    <t>生產與銷售印刷電路板所需使用之黏合片、銅箔基板和鋁基板</t>
  </si>
  <si>
    <t>研究、開發及銷售智慧閘道器、數位機上盒、及無線寬頻分享器等通訊產品、</t>
  </si>
  <si>
    <t>高科技廠房無塵室及機電空調統包工程與建議服務、節能技術服務</t>
  </si>
  <si>
    <t>高精細金屬遮罩製作銷售、精密洗淨及再生處理</t>
  </si>
  <si>
    <t>點測機及分選機設備製造、雷射精密機械設備製造、LED晶粒點測及分類代工</t>
  </si>
  <si>
    <t>高速電/光傳輸線及連接器相關產品之研發、生產與銷售</t>
  </si>
  <si>
    <t>電源管理IC(主要為PC、電池)</t>
  </si>
  <si>
    <t>耳機產品設計及製造、消費性電子產品塑膠零組件設計及製造</t>
  </si>
  <si>
    <t>室內設計及裝修工程、專案管理、傢俱製造，售後服務</t>
  </si>
  <si>
    <t>USB及USBType–C系列相關控制晶片</t>
  </si>
  <si>
    <t>代工鞋類產品製造為主要業務，鞋類為運動鞋、休閒鞋及客製化鞋等</t>
  </si>
  <si>
    <t>系統資訊及數位娛樂產品、電腦軟體、其他</t>
  </si>
  <si>
    <t>鋰電池模組</t>
  </si>
  <si>
    <t>拋棄式隱形眼鏡製造及銷售</t>
  </si>
  <si>
    <t>CIS、光學元件，主要應用在手機、安防、車用</t>
  </si>
  <si>
    <t>紙品、清潔用品</t>
  </si>
  <si>
    <t>太陽能及風電工程開發、售電</t>
  </si>
  <si>
    <t>通信網路相關產品、電信服務收入、工程收入</t>
  </si>
  <si>
    <t>螢幕驅動IC(主要為物聯網裝置、工控、車用)、感測器</t>
  </si>
  <si>
    <t>電子線路板專用微型鑽針及銑刀之產銷、電子線路板製程加工、電腦數值控制工具機專用切削刀具及加工週邊設備之產銷</t>
  </si>
  <si>
    <t>晶圓再生及晶圓薄化代工服務</t>
  </si>
  <si>
    <t>精密醫療器材製造與買賣、中大型無人載具製造與買賣、無線電遙控模型飛機、車、船、直昇機及其零配件等製造與買賣</t>
  </si>
  <si>
    <t>電子材料91.93%、其他8.07%(高分子薄膜銅箔積層板、保護膠片)</t>
  </si>
  <si>
    <t>半導體封裝材料、設備、技術服務</t>
  </si>
  <si>
    <t>監視防盜系統製造、按裝、銷售及進口貿易業務</t>
  </si>
  <si>
    <t>類比IC100%(研究開發生產製造及銷售數位與類比混合IC及特殊應用IC)</t>
  </si>
  <si>
    <t>無線通信機械器材之製造及銷售、電信管制射頻器材之製造及銷售、電子零組件之製造及銷售</t>
  </si>
  <si>
    <t>連接器69.2%、線纜組件27.24%、電子配件2.08%、物聯網1.39%、新零售電商0.09%(各種電子零件(連接器、電子線)等製造加工及買賣業務、一般進出口貿易業務(許可業務除外)、代理國內外廠商有關商品投標報價業務)</t>
  </si>
  <si>
    <t>有機電激發光顯示器〈OLED〉之製造加工及買賣業務</t>
  </si>
  <si>
    <t>液晶顯示器85.85%、TFT型大對組合品6.1%、TFT型液晶顯示面板5.31%、STN型大對組合品%、STN液晶顯示面板%(研發生產及銷售液晶顯示器(STN型及TFT型)，液晶顯示面板及模組、研發生產及銷售液晶顯示器測試儀器，液晶顯示器零組件，多晶片模組)</t>
  </si>
  <si>
    <t>CC01080電子零組件製造業</t>
  </si>
  <si>
    <t>電子零組件代理(主要為記憶體元件)</t>
  </si>
  <si>
    <t>端點銷售管理系統(POS)及其週邊設備和服務、資訊服務系統整體解決方案</t>
  </si>
  <si>
    <t>接受委託各型積體電路之封裝、測試與模組之加工及研究開發業務、CC01080電子零組件製造業</t>
  </si>
  <si>
    <t>研究開發生產製造銷售高集積度高精密度記憶體之封裝及測試服務、顯示器驅動IC封裝測試(含金凸塊)業務、混合訊號IC封裝測試業務</t>
  </si>
  <si>
    <t>電子零組件、電腦週邊產品</t>
  </si>
  <si>
    <t>商品銷售、勞務收入</t>
  </si>
  <si>
    <t>伺服器機殼</t>
  </si>
  <si>
    <t>印刷電路板99.59%(CC01080電子零組件製造業、F219010電子材料零售業、F401010國際貿易業、)</t>
  </si>
  <si>
    <t>電腦及週邊設備製造業、其他化學材料製造業、醫療產品製造業</t>
  </si>
  <si>
    <t>各型航空器及其零件之製造、修理及買賣業務、航空合金材料及五金之買賣業務、發電、輸電、配電機械及其零配件之製造及買賣業務</t>
  </si>
  <si>
    <t>影像感測器100%(電子零組件製造業、資料儲存及處理設備製造業、有線通信機械器材製造業)</t>
  </si>
  <si>
    <t>電子零組件製造業、電子元件設計、電子元件等電子測試服務</t>
  </si>
  <si>
    <t>記憶體模組、快閃記憶體、其他</t>
  </si>
  <si>
    <t>醫療廢棄物焚化處理，有害事業廢棄物焚化、物化、固化及掩埋處理、一般事業廢棄物、垃圾、污泥及油泥焚化處理、小型焚化爐設計、規劃及建造、承攬興建焚化廠或掩埋場</t>
  </si>
  <si>
    <t>船舶裝卸業、運輸業、報關業</t>
  </si>
  <si>
    <t>變頻器/自動化驅動控制系統、自動化傳動系列、控制器及監控系統</t>
  </si>
  <si>
    <t>成衣、鞋類及運動用品之輔料黏扣帶、織帶(鞋帶)之產製及銷售、成衣、鞋類及運動用品之鬆緊帶、針織緹花網布等材料之產製及銷售</t>
  </si>
  <si>
    <t>馬口鐵、鋁罐及相關產品製造與銷售，充填代工生產</t>
  </si>
  <si>
    <t>可寧衛</t>
  </si>
  <si>
    <t>開挖收入37.85%、掩埋收入25.66%、紙業收入13.6%、發電收入11.53%、固化收入6.9%(有害事業廢棄物清除處理業務)</t>
  </si>
  <si>
    <t>自有品牌休閒鞋、休閒服飾(牛仔服飾)及配件之設計、生產及銷售</t>
  </si>
  <si>
    <t>生產各類型運動用手套、護具等專業運動醫療防護用品、專業生產精品手袋、錢包、拉杆箱及休閒袋等各類箱包</t>
  </si>
  <si>
    <t>鞋類商品之批發與零售、其他</t>
  </si>
  <si>
    <t>網路購物平台</t>
  </si>
  <si>
    <t>經營會員制連鎖健身中心及休閒運動場館、健身課程等服務</t>
  </si>
  <si>
    <t>水泥產品製造及銷售、預拌式泥作材料等建築材料之開發，製造與銷售</t>
  </si>
  <si>
    <t>窗簾</t>
  </si>
  <si>
    <t>片材型塑膠地板生產與銷售</t>
  </si>
  <si>
    <t>碳纖維複材用品、非碳纖維複材用品</t>
  </si>
  <si>
    <t>水處理操作維護收入46.59%、服務特許權收入27.75%、事業廢棄物處理收入17.53%、水處理承攬工程收入7.41%、其他營業收入0.73%(環境保護工程營造業、廢(污)水處理業)</t>
  </si>
  <si>
    <t>台境</t>
  </si>
  <si>
    <t>環境保護工程顧問與施工、土方資源再利用處理、環境檢測採樣及檢驗</t>
  </si>
  <si>
    <t>豪華遊艇及其零配件製造及銷售、</t>
  </si>
  <si>
    <t>自行車及零配件貼標產品及銷售、運動器材貼標產品及銷售、其他各項網版印刷產品及銷售</t>
  </si>
  <si>
    <t>室內家具之研發、設計及生產</t>
  </si>
  <si>
    <t>馬口鐵罐、鋁罐等金屬包裝材料之製造及銷售</t>
  </si>
  <si>
    <t>ELECTRONICSCALES電子秤、ELECTRONICMATERIALS電子材料</t>
  </si>
  <si>
    <t>非屬公用之發電業務、汽電廠運維及經營(汽電廠主要產出為電力、蒸汽)、研究諮詢及技術服務</t>
  </si>
  <si>
    <t>各種果汁飲料雜貨食品及生鮮魚肉海鮮冷凍食品買賣、各種餐具用品之進口買賣及餐廳業務之經營、前各項有關產品之加工製造及進出口業務</t>
  </si>
  <si>
    <t>燃料電池、板式熱交換器</t>
  </si>
  <si>
    <t>醫療耗材製造與銷售、醫療耗材配送及被服租賃等醫療系統後勤管理服務、代理銷售醫療器材及其它</t>
  </si>
  <si>
    <t>電腦週邊及通訊產品之加工及製造、主要產品為印表機、傳真機、硬碟、、PCBA、無線電話、手機、藍芽耳機、機上盒、</t>
  </si>
  <si>
    <t>生產製造機車、生產製造機車零組件、製造金屬零件自行開發模具</t>
  </si>
  <si>
    <t>生產及銷售筆記本型電腦外殼、生產及銷售手持設備外殼</t>
  </si>
  <si>
    <t>運動鞋及戶外鞋之代工生產、銷售</t>
  </si>
  <si>
    <t>國際貿易業、住宅及大樓開發租售業、特定專業區開發業、</t>
  </si>
  <si>
    <t>運動鞋、運動用品零售</t>
  </si>
  <si>
    <t>各種金屬之印刷塗漆，容器，模具之製造加工及買賣、罐裝啤酒包裝，碳酸飲料包裝設備製造買賣、各種塑膠製品製造業</t>
  </si>
  <si>
    <t>營建收入100%、租賃收入0%(委託營造廠商興建商業大樓及國民住宅出租、出售業務、室內裝潢設計施工承包業務、其他)</t>
  </si>
  <si>
    <t>各種鐵皮印花製罐及其原料鍍製鋼片加工製造原料鋼板加工製造、製罐及馬口鐵機器進出口馬口鐵罐及鍍製鋼片原料鋼板加工製造、其他批發業(氧化鐵、脂肪酸、錫製品、氧化錫)</t>
  </si>
  <si>
    <t>瓦斯收入68.48%、裝置收入19.3%、租金收入8.81%、通信收入2.41%、器具收入0.63%(1瓦斯之供應2瓦斯設備裝置工程及有關器材製造及供應、3瓦斯器材之行紀業務4度量衡及瓦斯錶之修理輸入販賣業務、5其他有關事業之經營6-9租賃業等10電信事業)</t>
  </si>
  <si>
    <t>運動鞋</t>
  </si>
  <si>
    <t>除油煙機瓦斯爐熱水器系統廚具</t>
  </si>
  <si>
    <t>液晶顯示器96.58%、房租1.01%、醫療器材0.12%(液晶顯示器及其零組件之研發與銷售、醫療器材及健康照護產品之研發、製造及銷售等業務、不動產出租業務)</t>
  </si>
  <si>
    <t>自行車及其零組件</t>
  </si>
  <si>
    <t>保全業</t>
  </si>
  <si>
    <t>以導管輸送可燃天然氣供應非工業用燃料、天然氣用具及器材之製造銷售暨進出口代銷事項、有關瓦斯管工程之承裝</t>
  </si>
  <si>
    <t>衛生棉類49.55%、濕巾類24.71%、紙尿褲類13.83%、不織布及其他7.51%、口罩類2.76%(各類紙製品及棉料化學纖維加工製品之製造買賣業務、衛生棉、紙尿褲、濕紙巾及化妝棉等生產銷售及代理經銷業務、各種不織布製品之生產銷售及代理經銷業務)</t>
  </si>
  <si>
    <t>1表面處理業2製鎖業3其他金屬製品製造業4模具製造零售業、5電信管制射頻器材輸入製造業6金屬、鋁鑄造業、7除許可業務外，得經營法令非禁止或限制之業務</t>
  </si>
  <si>
    <t>防盜，防火，防災之安全維護、現金或其他貴重物品運送及人身之安全維護、門禁設備，數位影像監控之系統規劃，設計保養，修理按裝，及諮詢顧問</t>
  </si>
  <si>
    <t>天然氣之供應、燃氣導管安裝工程，相關器材之製造及供應、度量衡器批發及零售，進口及買賣業務、廚房器具批發及零售業、第一類電信事業、燃氣熱水器承裝業、</t>
  </si>
  <si>
    <t>鉛錠、鉛合金錠、紅丹粉、黃丹粉、氧化鉛等製造加工買賣、前各項有關國內外產品代理經銷報價、投標業務及進出口貿易業務、一般及事業廢棄物清除、回收處理業務</t>
  </si>
  <si>
    <t>設立與經營電視播送系統、製作播映並發行電視節目、製作及播映電視廣告</t>
  </si>
  <si>
    <t>印刷;製版;印刷品裝訂及加工業;攝影業、特定專業區開發業;投資興建公共建設業;新市鎮、新社區開發業;、區段徵收及市地重劃代辦業;都市更新重建業</t>
  </si>
  <si>
    <t>高爐水泥事業51.12%、資源再生事業46.06%、其他2.82%(爐石資源化應用有關產品之製造、加工、代工生產、買賣及進出口、廢棄物清除及處理業務、)</t>
  </si>
  <si>
    <t>以導管輸送天然氣、氣體導管裝置、石油氣(天然氣)具及器材製造及代銷</t>
  </si>
  <si>
    <t>工程服務(主要為煉油石化、高科技廠、電力)</t>
  </si>
  <si>
    <t>水龍頭、衛浴設備及其零件、機械零件製造加工及買賣與經銷業務、代理國內外廠商有關產品投標報價、業務、一般進出口貿易業務、其他非鐵金屬基本工業：錠、塊、條等製造、鍛造、擠型、軋壓等、</t>
  </si>
  <si>
    <t>窗簾94.87%、家飾品4.18%、其他0.95%(各種百葉窗百摺簾等窗簾製品及有關附屬零件製造加工內外銷、塑膠玩具塑膠建材之製造加工及內外銷、各項木製品(傢俱玩具藝品)之製造加工及買賣)</t>
  </si>
  <si>
    <t>九五無鉛汽油50.84%、超級柴油29.59%、九二無鉛汽油12.2%、九八無鉛汽油5.97%、勞務收入0.96%(經營加油站供售汽、柴油、汽、機車之潤滑保養、簡易檢驗、洗車及潤滑油脂之供應及零售、廣告看板之出租業務)</t>
  </si>
  <si>
    <t>生產及銷售各式黏扣帶、各式織帶(鞋帶)、鬆緊帶、生產及銷售射出金勾及各種面料等產品、銷售委託營造廠商興建之住宅</t>
  </si>
  <si>
    <t>塑蓋、鋁蓋、爪蓋、標籤、PET瓶、瓶胚、飲料充填代工業務</t>
  </si>
  <si>
    <t>房屋租售之居間仲介業務98.71%、營建收入1.29%(房屋買賣之居間仲介、住宅及大樓開發租售業)</t>
  </si>
  <si>
    <t>油封90.8%、其他密封件5.68%、混煉膠3.52%(汽車、機車、機械、交通器材用油封之加工製造及進出口業務、CQ01010模具製造業、CB01010機械設備製造業、F401030製造輸出業、C804020工業用橡膠製品製造業、F401010國際貿易業)</t>
  </si>
  <si>
    <t>提供伴唱視聽供人唱歌</t>
  </si>
  <si>
    <t>不織布之製造加工及買賣、寢具之製造加工及買賣、相關機械之製造加工及買賣</t>
  </si>
  <si>
    <t>住宅及大樓開發租售業，新市鎮，新社區開發業，不動產租賃業</t>
  </si>
  <si>
    <t>廢資訊品清運及處理、混合五金處理及銷售、貴金屬之銷售、資源再生品之銷售、五金、機械零件及零組件之買賣業務、其他等、</t>
  </si>
  <si>
    <t>風力發電鋼構工程、工業廠房鋼構工程、高樓建物鋼構工程</t>
  </si>
  <si>
    <t>家禽(雞鴨鵝)家畜(豬)各項飼料及其原料之製造加工買賣、倉庫租金收入，豬隻合作飼養肉豬銷售，有色雞合作飼養銷售</t>
  </si>
  <si>
    <t>連鎖速食餐飲</t>
  </si>
  <si>
    <t>專業進口烘焙原料銷售、各式烘焙食品、乳製品、各式包裝材料及器具之銷售、烘焙原料之預拌粉加工製造</t>
  </si>
  <si>
    <t>F501060餐館業、ZZ99999除許可業務外，得經營法令非禁止或限制之業務、</t>
  </si>
  <si>
    <t>精密模具治具之設計製造及買賣業務、電器製品運動器材文具用品等所需之塑膠零組件之製造及買賣業務、前述各項業務之進出口業務</t>
  </si>
  <si>
    <t>隱形眼鏡(軟片硬片)光學鏡片及其附屬用品之加工製造買賣、電腦軟硬體系統工程、週邊器材零組件買賣暨軟硬體裝備器材之買賣、有關前各項之進出口貿易業務、</t>
  </si>
  <si>
    <t>1資訊週邊產品，包括:NB金屬機殼及鍵盤，印表機及LCD之機構件等、2消費性電子產品，包括家庭劇院，環繞式音響及DVD之機構件等、3上述產品之模具開發、</t>
  </si>
  <si>
    <t>各種氣動工具、手動工具、電動工具、機械等製造加工買賣、各種雜貨買賣、有關前二項業務之進出口貿易、</t>
  </si>
  <si>
    <t>食品機器設備製造及買賣</t>
  </si>
  <si>
    <t>鈦合金棒材、特殊鋼棒材</t>
  </si>
  <si>
    <t>汽機車另件67.57%、硬碟機另件25.19%、其他7.25%(各類電子及汽車零件之加工製造買賣之產品業務)</t>
  </si>
  <si>
    <t>氣動式槍釘系列製造、生產、傢俬釘製造、生產</t>
  </si>
  <si>
    <t>運動健身器材用之零組件/成車製造及銷售</t>
  </si>
  <si>
    <t>電子零組件製造業、設計、研發、生產CCD自動對位曝光機</t>
  </si>
  <si>
    <t>機車及其零件製造及銷售、沙灘車及其零件製造及銷售、其他車輛及其零件製造及銷售</t>
  </si>
  <si>
    <t>軟蠟、硬蠟、凡士林原料、配方蠟及製蠟特用化學品之開發、製造、各種水產品批發銷售、太陽能光電設備建造買賣</t>
  </si>
  <si>
    <t>中西及動物藥品、環境衛生藥品及化妝品之製造加工及販賣業務、各種試藥食品添加物香料界面活性劑之製造加工及販賣業務</t>
  </si>
  <si>
    <t>電子血壓計、藥物微霧化器</t>
  </si>
  <si>
    <t>細胞治療、再生醫療、醫療大數據</t>
  </si>
  <si>
    <t>薄膜靶材與蒸鍍材、貴金屬產品與回收</t>
  </si>
  <si>
    <t>醫療器材、生化試藥及西藥之買賣業務</t>
  </si>
  <si>
    <t>生技食品、微生物發酵萃取專業代工</t>
  </si>
  <si>
    <t>學名藥/新藥100%、體溫量測產品%(通用醫藥成分及產品之開發、製造與銷售、醫療器材批發零售業、國際貿易業)</t>
  </si>
  <si>
    <t>鏡片、鏡框、清洗器具製造加工進出口買賣、磁碟光碟片、光學儀器研究開發製造加工進出口買賣、隱形眼鏡、清潔液、醫療器材進出口買賣</t>
  </si>
  <si>
    <t>玻璃纖維紗、玻璃纖維布</t>
  </si>
  <si>
    <t>不銹鋼品</t>
  </si>
  <si>
    <t>漆包線、三層絕緣線、FIW、絞線、絲包線、膜包線、、鐵氟龍線、無骨架線圈製造、一般貿易業務(許可業務除外)</t>
  </si>
  <si>
    <t>螺絲、螺帽、螺絲釘及鉚釘等製品製造業、金屬線製品製造業</t>
  </si>
  <si>
    <t>快削鋼、磨光鋼、棒鋼、中碳鋼、鋼線、鐵線、不鏽鋼材等買賣、鐵絲、鐵釘製品之製造加工、各項有關產品之買賣進出口貿易</t>
  </si>
  <si>
    <t>各種螺絲、木質螺絲普通木螺釘及有關固定物製造加工買賣、各種有關螺絲機械之製造及加工買賣、表面處理、熱處理及伸線製造及買賣業務、</t>
  </si>
  <si>
    <t>汽車、機械用之特殊零件、配件生產及研發、汽車用之標準扣件(有螺紋及無螺紋產品)、電子、建築、家具及其他產業用之有螺紋扣件產品</t>
  </si>
  <si>
    <t>各種鑄鐵之鑄造及加工買賣業、金屬原物料之買賣業務、前各項產品之進出口業務</t>
  </si>
  <si>
    <t>機器設備製造業、其他</t>
  </si>
  <si>
    <t>潔淨級管、管件、微接頭元件及潔淨閥類、化工級不鏽鋼(碳鋼)焊接管配件、</t>
  </si>
  <si>
    <t>引擎活塞環之製造與銷售暨引擎零組件及汽車零配件之買賣</t>
  </si>
  <si>
    <t>風扇、鼓風機、升降機</t>
  </si>
  <si>
    <t>住宅及大樓開發租售業務、工業廠房開發租售業務、特定專業區開發業</t>
  </si>
  <si>
    <t>計程車派遣業務及廣告服務</t>
  </si>
  <si>
    <t>船務代理業、海運承攬運送業、其他顧問服務業</t>
  </si>
  <si>
    <t>整合型物流服務</t>
  </si>
  <si>
    <t>晶悅</t>
  </si>
  <si>
    <t>住宅及大樓開發租售</t>
  </si>
  <si>
    <t>飯店業</t>
  </si>
  <si>
    <t>餐飲服務業</t>
  </si>
  <si>
    <t>經營連鎖餐飲品牌</t>
  </si>
  <si>
    <t>一般旅館業、餐飲</t>
  </si>
  <si>
    <t>提供國內外旅客團體旅遊商品或居間勞務銷售與服務</t>
  </si>
  <si>
    <t>餐飲業</t>
  </si>
  <si>
    <t>迴轉壽司連鎖餐飲服務</t>
  </si>
  <si>
    <t>連鎖餐飲之經營及相關產品銷售</t>
  </si>
  <si>
    <t>各種成衣針織品製造買賣業務、代理國內外廠商有關產品經銷投標報價業務、前項有關之進出口貿易業務</t>
  </si>
  <si>
    <t>童裝及嬰童產品之研發、童裝及嬰童產品之生產、童裝及嬰童產品之銷售</t>
  </si>
  <si>
    <t>商場之經營管理、各類食品之進口代理及零售、咖啡館及餐廳業務之經營等、各類餐旅用品設備之買賣進口與安裝</t>
  </si>
  <si>
    <t>各種電器製品、視聽音響組合、保養維修與其器材買賣業務、進出口貿易業務、代理國內外廠商之報價投標及經銷業務、醫療器材批發、文教育樂用品、電器、攝影器材零售業</t>
  </si>
  <si>
    <t>資料儲存及處理設備製造業、資訊軟體服務業、電子零組件製造業</t>
  </si>
  <si>
    <t>發光二極體指示燈、發光二極體顯示器、光電零組件</t>
  </si>
  <si>
    <t>專業音響之製造及全球行銷</t>
  </si>
  <si>
    <t>熱源處理及冷卻風扇</t>
  </si>
  <si>
    <t>能源技術服務、不動產租賃、單晶片微控制器及其他電子零組件買賣</t>
  </si>
  <si>
    <t>資訊用電源供應器制造買賣/工業用電源制造買賣、通訊用電源制造買賣/外接式電源、外接盒/機殼/投影機等產品制造買賣</t>
  </si>
  <si>
    <t>雷射二極體(LD)及檢光器(PD)磊晶片</t>
  </si>
  <si>
    <t>電子資訊供應服務業、資料處理服務業</t>
  </si>
  <si>
    <t>商品買賣、物流、網路電子商務</t>
  </si>
  <si>
    <t>電腦軟硬體程式之設計買賣、遊戲軟體之代理銷售、電子資訊服務</t>
  </si>
  <si>
    <t>智能物聯網產品、智能設計服務產品、博奕產品</t>
  </si>
  <si>
    <t>印刷電路板設備之銷售代理及售後服務、半導體封裝及電子組裝設備之銷售代理及售後服務、CD-R/DVD設備之銷售代理及售後服務、</t>
  </si>
  <si>
    <t>各種精密五金、塑膠電子零組件、精密嵌件(INSERTPARTS)之產製、五金模具、塑膠模具之設計、製造、上述相關材料之加工及買賣、</t>
  </si>
  <si>
    <t>砷化鎵晶圓代工</t>
  </si>
  <si>
    <t>電子零組件及週邊業務99.49%、設備銷售及週邊業務0.51%(電子零組件進出口代理及買賣業務、印刷電路板設備及相關化學品之代理、買賣業務、系統整合業務及相關產品維護業務)</t>
  </si>
  <si>
    <t>電子零組件製造業；電器及視聽電子產品製造業；模具製造業；、電子材料批發業；鋼鐵、鋁、銅及鎂基本工業；電子材料零售業、國際貿易業；其他金屬製品製造業；資訊軟體服務業；其他</t>
  </si>
  <si>
    <t>生物醫學相關產品代理、臨床前試驗服務</t>
  </si>
  <si>
    <t>研發、設計及銷售各種積體電路</t>
  </si>
  <si>
    <t>各種電子監視系統之製造加工、各種電子監視系統及其另件之買賣及安裝業務、前項有關產品及其原材料之進出口業務</t>
  </si>
  <si>
    <t>半導體後段封裝濕製程設備</t>
  </si>
  <si>
    <t>LCD驅動IC之設計與產銷</t>
  </si>
  <si>
    <t>各類電腦，資訊設備，軟硬體及其週邊設備之加工，裝配，買賣、電子自動化系統及電腦通信網路系統之設計，銷售、電腦程式設計買賣業務</t>
  </si>
  <si>
    <t>高頻整合元件及模組(研究、開發、生產、製造及銷售)、高頻晶片陶瓷元件(研究、開發、生產、製造及銷售)、電子材料及電信器材之零售之批發</t>
  </si>
  <si>
    <t>鎔煉鑄造擠型鍛造CNC精密加工及裝配等生產及製造、汽車零配件電工零配件機車零配件自行車零配件電腦零配件製造</t>
  </si>
  <si>
    <t>光波長分合產品、光能量分合產品、光纖連接產品</t>
  </si>
  <si>
    <t>通信及混合信號接收處理積體電路、資訊及多媒體繪圖，相關積體電路及繪圖板、非同步傳輸模式積體電路及模組</t>
  </si>
  <si>
    <t>新洲</t>
  </si>
  <si>
    <t>各類包裝材料，包含電子包材、綠色環保包材及包裝機台之買賣、禮贈品之設計銷售服務</t>
  </si>
  <si>
    <t>生物製藥研發業務、中、西藥之批發、零售業、醫療器材、動物用藥之批發、零售業及國際貿易業</t>
  </si>
  <si>
    <t>高科技與高端技術產業製程設備及所需之工模夾治具及關鍵零組件、模具零組件、自動化設備</t>
  </si>
  <si>
    <t>住宅及大樓開發租售業、建材批發業、一般廣告服務業</t>
  </si>
  <si>
    <t>電子零件，電子材料之製造加工及進出口貿易等業務、變壓器線架製造及銷售、NULL</t>
  </si>
  <si>
    <t>3202</t>
  </si>
  <si>
    <t>樺晟</t>
  </si>
  <si>
    <t>連接線組90.07%、天線4.57%、材料2.57%、FFC2.56%、能源0.21%(連接線組件研發及組裝、工程材料貿易)</t>
  </si>
  <si>
    <t>技術服務(生化科技產品(中西藥)研發)、中西藥品零售、食品飲料零售</t>
  </si>
  <si>
    <t>蜂鳴器、揚聲器、喇叭、麥克風、耳機之製造及銷售、通訊配件之製造及銷售</t>
  </si>
  <si>
    <t>電視/伺服器/工業用/Inverter/汽機車/綠能等各式變壓器與線圈</t>
  </si>
  <si>
    <t>電池組99.75%(電池製造業、電子零組件製造業、發電、輸電、配電機械製造業)</t>
  </si>
  <si>
    <t>各式電腦軟硬體之研究設計規劃製作銷售(特許業務除外)、各式電腦零組件之研究銷售、電腦主機及週邊設備零組件之製造加工及買賣業務</t>
  </si>
  <si>
    <t>電子零組件100%(各式連接器製造，設計及買賣業務、儲存裝置設備及其週邊裝置製造，設計，維修及零件買賣業務、電腦視覺系統設計製造維修買賣業務)</t>
  </si>
  <si>
    <t>光學眼鏡產品買賣、品牌授權、眼科儀器設備引進租賃、眼科藥品耗材銷售、商圈評估及展店規劃裝潢、醫療院所顧問諮詢服務</t>
  </si>
  <si>
    <t>自動化機械相關設備之設計、製造及銷售等</t>
  </si>
  <si>
    <t>有、無線電通信零組件及其系統設備之研發、設計、製造、銷售、電腦硬體及週邊設備零組件之研發、設計、製造、銷售、積體電路製造及封裝、</t>
  </si>
  <si>
    <t>電子材料零售業、生物技術服務業、西藥製造業(批發、零售業)、醫療器材製造業(批發、零售業)、資訊軟體服務業、化粧品製造業(批發、零售業)</t>
  </si>
  <si>
    <t>至寶電</t>
  </si>
  <si>
    <t>汽車車燈、車用週邊零組件</t>
  </si>
  <si>
    <t>CIS、電容觸控、影像感測器IC設計</t>
  </si>
  <si>
    <t>IC設計(主要為MCU、x86 SoC嵌入式IC)</t>
  </si>
  <si>
    <t>五金及鎂合金製品(LCD及NB等零組件)之製造加工買賣業務、塑膠射出成型製品製造加工買賣業務、TFTLCDTV&amp;Monitor之Base與Hinge之研究開發製造加工及買賣</t>
  </si>
  <si>
    <t>電子材料零售業、電子材料批發業、電子資訊供應服務業</t>
  </si>
  <si>
    <t>應用於光纖通訊、4G/5G基地台/雲端/3D感測使用之、垂直共振腔面射型雷射(VCSEL)、、FP/DFB、PIN/PINTIA之各型式產品、</t>
  </si>
  <si>
    <t>各種電感器、晶片電感、濾波器、變壓器之製造加工及買賣、轉換器、延遲線、收斂線圈及各種磁鐵芯之製造加工及買賣、電源供應器、電器電子零組件、電腦及其週邊設備等之製造及買賣、</t>
  </si>
  <si>
    <t>J901020一般旅館業、H701010住宅及大樓開發租賃業、H703090不動產買賣業</t>
  </si>
  <si>
    <t>DRAM模組、固態硬碟(SSD、HDD)、記憶卡與隨身碟</t>
  </si>
  <si>
    <t>晶圓測試</t>
  </si>
  <si>
    <t>消費性/多媒體/微控制器IC應用設計、方案整合與銷售</t>
  </si>
  <si>
    <t>USB萬用匯流埠等電腦週邊設備之研發、產製、居家智能應用之軟、韌、硬體之開發整合、前項有關產品及原料之進出口貿易業務</t>
  </si>
  <si>
    <t>電子零組件製造業、電子材料零售業、製造輸出業</t>
  </si>
  <si>
    <t>印刷預塗式平版及鋁版素材、感光呈像用光阻劑，顯影劑</t>
  </si>
  <si>
    <t>數位影音多媒體產品、液晶顯示器模組、其他</t>
  </si>
  <si>
    <t>多媒體視訊產品、視訊監控產品</t>
  </si>
  <si>
    <t>電子零組件製造業、研究、開發、生產、製造、銷售無刷式風扇馬達驅動晶片、研究、開發、生產、製造、銷售混和數位及類比晶片</t>
  </si>
  <si>
    <t>半導體檢測分析</t>
  </si>
  <si>
    <t>各種塑膠製品及模具製造、加工及買賣業務、電子零組件製造加工及買賣業務、有線通信機械器材製造及電信器材批發、零售</t>
  </si>
  <si>
    <t>線上遊戲(主要為博奕)、商用遊戲機</t>
  </si>
  <si>
    <t>精密塑膠零組件射出成型、精密模具開發、設計及製造、電子組裝、噴塗印刷</t>
  </si>
  <si>
    <t>網路攝影機、、網路影像錄放影機、、安全監控相關設備之開發、製造及銷售</t>
  </si>
  <si>
    <t>真空蒸鍍薄膜94.85%、光電材料5.15%(真空蒸鍍薄膜之製造加工、買賣及其原材料之買賣、電子膠帶、保護膜等光電材料之製造加工買賣、前各項相關產品之進出口貿易業務、)</t>
  </si>
  <si>
    <t>衛星定位系統(GPS)主機板、GPS資訊應用產品(CF-GPSG-MOUSE)</t>
  </si>
  <si>
    <t>各種連續沖壓模具及其另件、精密端子、五金另件、代理前項有關產品之進出口貿易業務、住宅及大樓開發租售</t>
  </si>
  <si>
    <t>住宅及大樓開發租售業務、建材批發、綜合營造</t>
  </si>
  <si>
    <t>類比積體整合電路產品設計</t>
  </si>
  <si>
    <t>線裝類(含連接器)、電子產品、天線</t>
  </si>
  <si>
    <t>電子零組件製造業，電池製造業，電器零售業、電子材料批發業，電子材料零售業，電器批發業、國際貿易業</t>
  </si>
  <si>
    <t>散熱模組(主要為PC、伺服器)</t>
  </si>
  <si>
    <t>電子產品及其零件、電源供應器之進出口買賣業務、電腦外殼、電腦週邊設備之研究開發、組裝加工及進出口買賣業務、電腦外殼沖壓機械及其零組件之進出口買賣業務</t>
  </si>
  <si>
    <t>電源供應器、電源轉換器、電池充電器、各式變壓器、塑膠射出成型加工及買賣業務、各種無線通訊器材之買賣、裝設及進出口業務</t>
  </si>
  <si>
    <t>氮化鎵發光二極體磊晶片與晶粒</t>
  </si>
  <si>
    <t>軟性銅箔基板、保護膠片、其他</t>
  </si>
  <si>
    <t>線圈、晶片、網路變壓器</t>
  </si>
  <si>
    <t>電子零組件與生產設備代理銷售技術解決方案整合與行銷、產品製造技術輔導與諮詢、產品通路銷售行銷與技術售後服務</t>
  </si>
  <si>
    <t>光學鏡片及鏡頭(主要為筆電、平板、手機)、指紋辨識模組</t>
  </si>
  <si>
    <t>光纖跳接線、微光學光纖元件</t>
  </si>
  <si>
    <t>IC封裝及測試</t>
  </si>
  <si>
    <t>紅外線精密溫度儀及紅外線精密熱像儀73.21%、耳溫槍、額溫槍等體溫量測產品15.18%(紅外線溫度量測儀、耳溫槍、額溫槍等體溫量測產品、其他)</t>
  </si>
  <si>
    <t>晶圓級尺寸封裝、晶圓測試、晶圓級後護層封裝，主要應用在影像感測器、環境感測器</t>
  </si>
  <si>
    <t>食品、飲料、生物科技之整廠自動化生產設備之系統整合及銷售業務、食品、化工、包裝之機械及原料、包材與香料等之買賣及進出口業務、代理國內外廠商報價投標業務及前項各工程之規劃設計安裝試車業務</t>
  </si>
  <si>
    <t>化學品86.27%、一般貿易13.07%、其他0.67%(代理銷售特用化學材料、特殊設備及一般貿易業)</t>
  </si>
  <si>
    <t>軟性印刷電路板</t>
  </si>
  <si>
    <t>營業收入100%、其他收入%(氣體/特殊管路工程、高真空系統、無塵室及機電統包、特氣供應及監控系統整合、先進產品、濕製程設備及化學系統)</t>
  </si>
  <si>
    <t>電磁鐵、電磁閥、繼電器之製造及銷售、石英晶體銷售等</t>
  </si>
  <si>
    <t>安全監控產品系列100.29%、工業電腦產品系列2.25%(安全監控產品系列，工業電腦產品系列及週邊產品)</t>
  </si>
  <si>
    <t>積體電路之設計</t>
  </si>
  <si>
    <t>各種光學玻璃、光學鏡片、透鏡毛胚、稜鏡毛胚之製造、加工及買賣、各種精密光學鏡頭、光學儀器之製造、加工及買賣、照相機、望遠鏡、放大鏡、等光學用器具之製造加工及買賣</t>
  </si>
  <si>
    <t>代理半導體、光電及綠色能源產業所需之原材料、零組件及其設備、先進奈米材料、燒結銀、客製化銀膠製造及銷售</t>
  </si>
  <si>
    <t>PCB及IC載板檢測設備、LCD檢測設備</t>
  </si>
  <si>
    <t>揚聲器音響組合之設計研發、製造及買賣</t>
  </si>
  <si>
    <t>衛星數位機上盒</t>
  </si>
  <si>
    <t>單板電腦、系統產品、產業電腦週邊</t>
  </si>
  <si>
    <t>散熱風扇、散熱模組</t>
  </si>
  <si>
    <t>變頻控制器57.37%、電控裝置產品37.35%(變頻控制器、電控裝置產品、其他)</t>
  </si>
  <si>
    <t>綜合營建收入99.06%、其他收入0.94%、住宅及大樓開發出售收入%(住宅及大樓開發租售、綜合營建)</t>
  </si>
  <si>
    <t>模具及設備80.65%、光電19.35%、其他%(模具製造、機器設備製造、太陽能電站維運)</t>
  </si>
  <si>
    <t>微波及毫米波元件、射頻產品、通訊網路工程服務</t>
  </si>
  <si>
    <t>汽車電子連接器製造加工及買賣、汽車線組產品製造加工及買賣、模具設計製造及買賣</t>
  </si>
  <si>
    <t>CCL&amp;PCB自動化設備、FlatPanelDisplay(簡稱FPD)自動化設備、物流、其他自動化設備製造及所營相關設備維修與售服、</t>
  </si>
  <si>
    <t>衛星導航定位系統及IOT應用產品之設計、生產及銷售</t>
  </si>
  <si>
    <t>各式塑膠日用品、電子零組件、汽車及其零件之表面處理業務、</t>
  </si>
  <si>
    <t>車用、醫療及工業產品70.63%、穿戴式產品16.44%、消費用產品12.9%、其他0.04%(連接器之研發、製造與銷售、光纖／高頻連接器之研發、製造與銷售、HINGE之研發、製造與銷售)</t>
  </si>
  <si>
    <t>土地開發、住宅及大樓興建與銷售、電子零組件生產與銷售</t>
  </si>
  <si>
    <t>照明產品設計組裝</t>
  </si>
  <si>
    <t>電腦、通訊、電子資訊及家電用電源傳輸線及訊號連接線組、前項產品之進出口貿易業務及代理國內外廠商產品投標與經銷等業務</t>
  </si>
  <si>
    <t>鴻翊</t>
  </si>
  <si>
    <t>房產建設銷售、代銷及營建相關、ConstructionSales、工業電腦、端點銷售系統、POSSystem、</t>
  </si>
  <si>
    <t>御頂</t>
  </si>
  <si>
    <t>餐飲98.17%、旅遊1.83%(婚宴餐飲)</t>
  </si>
  <si>
    <t>光學與光電膜材、精密光學與光電膜加工、各式顯示器膜材開發製作</t>
  </si>
  <si>
    <t>電子連接器、連接線及其零組件之研發、生產、銷售及前述有關產品、之進出口貿易業務，若按終端應用主要可區分為伺服器、汽車、筆記、型電腦、工業電腦、網通設備、醫療設備等連接器及高速連接線、</t>
  </si>
  <si>
    <t>IP授權(主要為嵌入式非揮發性記憶體)</t>
  </si>
  <si>
    <t>LED中小尺寸背光模組、發光二極體指示燈、顯示器、其他電子產品(LED應用燈組、紅外線發射二極體)</t>
  </si>
  <si>
    <t>各種馬達、電子零件及電機器材之進出口買賣業務、有關前項產品之國內外廠商代理報價、投標及經銷業務、除許可業務外，得經營法令非禁止或限制之業務</t>
  </si>
  <si>
    <t>機殼、電源供應器、其他電腦周邊(散熱器)</t>
  </si>
  <si>
    <t>專業智慧型影音產品86.26%、其他13.74%(影像處理機器設計製造加工買賣、液晶電視光電板設計製造買賣、衛星電視KU頻道接收器材之製造加工買賣)</t>
  </si>
  <si>
    <t>線上遊戲93.29%、權利金5.73%、其他0.97%、單機遊戲0.01%(線上遊戲軟體研發及銷售)</t>
  </si>
  <si>
    <t>樞紐(主要為NB、螢幕)</t>
  </si>
  <si>
    <t>半導體設備、光電設備、太陽能設備零組件之潔淨再生、維修、半導體設備、光電設備、太陽能設備零組件之買賣、零組件製程之研發設計、製造加工及組裝、</t>
  </si>
  <si>
    <t>汽車電子零配件之製造買賣、</t>
  </si>
  <si>
    <t>電子零組件之批發與零售、軟體開發、生技產品之銷售</t>
  </si>
  <si>
    <t>產品設計業、電子材料批發業、電子材料零售業</t>
  </si>
  <si>
    <t>無線網路系統產品與服務(Wi-Fi)之設計開發、製造及買賣、有線網路系統產品與服務(Switch)之設計開發、製造及買賣、企業無線通訊系統產品之設計開發、製造及買賣</t>
  </si>
  <si>
    <t>網路安全設備</t>
  </si>
  <si>
    <t>晶圓測試、雷射修整、成品IC測試、外觀檢查、捲帶包裝等服務</t>
  </si>
  <si>
    <t>3D電腦工程繪圖CAD/CAM/CAE/CAID/PLM/M&amp;E軟體產品代理銷售、3D電腦工程繪圖軟體、VRAR傳媒娛樂軟體整合技術應用顧問、軟體線上教育輔導、軟體人才培訓及電腦網路系統整合應用</t>
  </si>
  <si>
    <t>產業電腦相關產品研發、製造銷售及電腦軟體代理買賣、遠端控制器之研發、製造銷售、維修及相關材料進出口業務、工控介面卡之研發、製造銷售、維修及相關材料進出口業務</t>
  </si>
  <si>
    <t>真空濺鍍設備、乾式電漿蝕刻機</t>
  </si>
  <si>
    <t>電子零組件製造、機械設備製造業務、電子零件材料批發及零售業務</t>
  </si>
  <si>
    <t>工業用主機控制板介面卡之研發裝配組合加工製造業務、電腦產品、電子零組件之研發裝配組合加工製造及買賣進出口業務、各種電子零組件與相關軟硬體及工業用控制器及傳感器之買賣</t>
  </si>
  <si>
    <t>ODM防水及高功率連接器與線束設計加工製造之一體化服務、PCBA客製化設計、電氣保護器與高溫壓電線及壓力感應器代理銷售、AIoT空調、空氣、光環境等設備系統解決方案及創能與儲能系統整合</t>
  </si>
  <si>
    <t>電子式安定器加工製造買賣業務、電子式變壓器加工製造買賣業務、LEDDriver加工製造買賣業務</t>
  </si>
  <si>
    <t>條碼印表機及其零配件週邊100%(條碼印表機、各式標籤紙、耗材及其零配件)</t>
  </si>
  <si>
    <t>導電玻璃生產與銷售</t>
  </si>
  <si>
    <t>觸控面板99.09%、其他0.91%(觸控面板產品研發、觸控面板產品製造、觸控面板產品銷售)</t>
  </si>
  <si>
    <t>電子零組件製造業、表面處理業、電子材料批發業</t>
  </si>
  <si>
    <t>電子零組件製造業、電池製造業、電腦及週邊設備製造業</t>
  </si>
  <si>
    <t>不斷電系統設備(UPS)研發製造銷售及代理、改善電力品質系統設備太陽能電力系統設備研發製造及銷售、維護及技術服務業務</t>
  </si>
  <si>
    <t>行銷公關媒體企劃</t>
  </si>
  <si>
    <t>光學儀器製造業、電子零組件製造業、其他電機及電子機械器材製造業</t>
  </si>
  <si>
    <t>(有鉛，無鉛)銲錫條、錫絲、、(有鉛，無鉛)錫珠、錫膏、全(半)球、有(無)鉛助焊劑等相關產品</t>
  </si>
  <si>
    <t>AI人臉辨識技術開發、行車記錄器買賣、導航系統之電子地圖軟體開發、買賣、維護及相關軟體服務、</t>
  </si>
  <si>
    <t>連接器製造生產、線材製造生產、模具開發</t>
  </si>
  <si>
    <t>各式薄膜濺鍍靶材及貴金屬材料之加工銷售</t>
  </si>
  <si>
    <t>網路連線安全及網路流量加速相關係統之研發及銷售</t>
  </si>
  <si>
    <t>光學膜相關產品</t>
  </si>
  <si>
    <t>光纖網路局端、用戶端設備及網管交換器之研發製造及買賣</t>
  </si>
  <si>
    <t>整流二極體(主要為工業、電子產品、汽車、通訊)</t>
  </si>
  <si>
    <t>光罩及晶圓載具、光罩清洗機、氮氣充填機</t>
  </si>
  <si>
    <t>高頻/車用連接線室內外天線工業用次系統產品等製造加工買賣業務、一般進出口貿易業務(期貨除外)、有關前項業務之代理經銷報價及投標業務</t>
  </si>
  <si>
    <t>C805050工業用塑膠製品製造業、CC01080電子零組件製造業、F401010國際貿易業</t>
  </si>
  <si>
    <t>資訊軟體服務業、資訊處理服務業、、電子資訊供應服務業、、除許可業務外，得經營法令非禁止或限制之業務</t>
  </si>
  <si>
    <t>訊號連接器(主要為網通、PC)</t>
  </si>
  <si>
    <t>太陽能導電漿</t>
  </si>
  <si>
    <t>工業電腦及伺服器用機箱、系統整合(電腦硬體)、存儲系統</t>
  </si>
  <si>
    <t>功率半導體及類比積體電路的晶圓代工</t>
  </si>
  <si>
    <t>投資、管理</t>
  </si>
  <si>
    <t>化學藥品、醫藥品製造及買賣業務、精密化學材料、其他化學材料製造及買賣業務、國際貿易業</t>
  </si>
  <si>
    <t>各種西藥動物用藥農藥環境用藥化粧品等之製造及銷售、生物技術服務業、各種醫療器材玻璃器具橡膠製品等製造銷售及食品什貨批發零售</t>
  </si>
  <si>
    <t>體內導管(TPU類)28.42%、血液迴路管類17.87%、藥用軟袋類14.66%、外科管類14.1%、穿刺針類7.33%(醫療耗材(血液迴路管、藥用軟袋、TPU體內導管等)製造買賣、醫療設備之進出口貿易)</t>
  </si>
  <si>
    <t>一、甲魚粉、甲魚蛋、甲魚油等甲魚食品加工製造銷售買賣業務、二、甲魚加工買賣業務、</t>
  </si>
  <si>
    <t>一般中西藥品類、抗生素藥品類及醫療器材之製造與銷售、醫療器材機器整廠設備及飲料輸出買賣業務</t>
  </si>
  <si>
    <t>房地收入99.99%、租賃收入0.01%(不動產買賣及租賃業、國際貿易業)</t>
  </si>
  <si>
    <t>各種藥品醫療器材製造販賣業務、各種化妝品動物藥品製造販賣業務、各種化學食品添加物及飲料製造販賣業務</t>
  </si>
  <si>
    <t>醫療耗材及商品收入91.53%、醫療設備收入8.24%、醫療工程及維修收入0.23%、其他營業收入%(醫療器材製造加工及銷售、醫療耗材製造及代理銷售、醫院工程及管理顧問)</t>
  </si>
  <si>
    <t>西藥、醫療器材及乳製品、化妝品、食品等、之批發買賣、代理經銷、製造及進出口</t>
  </si>
  <si>
    <t>數位式血壓計、呼吸治療系列產品、溫度系列產品</t>
  </si>
  <si>
    <t>水劑藥</t>
  </si>
  <si>
    <t>耗材收入95.4%、儀器及工程收入4.6%(各種醫療器材製造、加工、買賣、醫療氣體用儀器、儀表、設備之製造、按裝、施工及買賣、醫療用中央氣體工程及其他系統設計、維修保養、承裝工程、)</t>
  </si>
  <si>
    <t>保健食品43.97%、其他35.29%、西藥13.53%、中藥6.62%、化妝品0.59%(中藥製造買賣、西藥進口批發零售、其他健康照護產品、保健食品製造、批發、零售)</t>
  </si>
  <si>
    <t>新藥開發</t>
  </si>
  <si>
    <t>骨科用人工植入物：包括人工關節、人工骨板、骨釘、骨針等、</t>
  </si>
  <si>
    <t>銷貨收入99.36%、勞務收入0.64%(研究，開發，生產，製造及銷售各種西藥製劑、各種西藥品，西藥原料之銷售及進出口業務、各種藥物之臨床試驗服務)</t>
  </si>
  <si>
    <t>生物晶片之研究、開發、製造與銷售、醫療器材製造及販售、隱型眼鏡產業</t>
  </si>
  <si>
    <t>醫學美容之雷射儀器銷售、醫學美容之耗材、保養品銷售、醫學美容之儀器維護</t>
  </si>
  <si>
    <t>連鎖社區醫療、連鎖中醫、中藥材、醫療培訓及教育</t>
  </si>
  <si>
    <t>醫療器材製造業，醫療器材批發業，醫療器材零售業及國際貿易業、電腦及其週邊設備製造業，資訊軟體批發業及資訊軟體零售業、資訊軟體服務業，除許可業務外，得經營法令非禁止或限制之業務</t>
  </si>
  <si>
    <t>精品生產銷售貿易</t>
  </si>
  <si>
    <t>1基因檢測2分子診斷3生物技術服務、4個人化醫療相關檢測服務5生物資訊服務6健康照護</t>
  </si>
  <si>
    <t>居家醫療檢測產品、生醫材料及產品、天然蝦紅素及原料</t>
  </si>
  <si>
    <t>權利金收入85.25%、營業收入14.75%、勞務收入%(新藥開發)</t>
  </si>
  <si>
    <t>醫療器材用產品、精密扣件產品、微波開關產品</t>
  </si>
  <si>
    <t>西藥製造業(原料藥產品及註冊針劑)、原料藥之中間體物、生物製藥技術服務</t>
  </si>
  <si>
    <t>抗癌用之單株抗體開發、單株抗體標的授權、醣質抗原與蛋白質藥物相關委託服務</t>
  </si>
  <si>
    <t>動物用藥製造業、生物技術服務業、醫療器材製造業、一般儀器製造業</t>
  </si>
  <si>
    <t>處方用藥、指示用藥、健康消費品之銷售推廣、處方用藥及指示用藥之經銷物流服務</t>
  </si>
  <si>
    <t>醫療及保健產品開發與零售</t>
  </si>
  <si>
    <t>醫療器材製造業、國際貿易業、智慧財產權業</t>
  </si>
  <si>
    <t>電腦輔助診斷軟體高階醫材</t>
  </si>
  <si>
    <t>A食品顧問業B藥品檢驗業C生物技術服務業D西藥批發業、E智慧財產權業F除許可業務外，經營法令非禁止或限制之業務</t>
  </si>
  <si>
    <t>數位X光診斷影像設備之研發、生產製造、銷售與安裝維修升級</t>
  </si>
  <si>
    <t>豆腐類77.45%、火鍋料13.18%、豆花類9.37%(中華豆腐，豆花、冷凍食品，火鍋料)</t>
  </si>
  <si>
    <t>液態糖漿</t>
  </si>
  <si>
    <t>合成皮、塑膠皮</t>
  </si>
  <si>
    <t>各項包裝材料之製造加工及買賣業務、各種絕源材料印刷電路基板之製造加工及買賣業務、各種塑膠薄膜及金屬薄膜之製造加工及買賣業務</t>
  </si>
  <si>
    <t>塑膠布製造、反光片</t>
  </si>
  <si>
    <t>各種人造纖維縫線及織造用紗之製造、銷售與批發業務、各種棉、毛、麻絲、人造絲等混合線之製造與經銷、有關線類紡織品之製造經銷、</t>
  </si>
  <si>
    <t>福大</t>
  </si>
  <si>
    <t>胚布92.79%、發電收入7.21%(紡織產品、防疫相關產品、太陽能發電站建置)</t>
  </si>
  <si>
    <t>特多龍加工絲</t>
  </si>
  <si>
    <t>成衣國際貿易業、長纖紡織業</t>
  </si>
  <si>
    <t>委託營造廠商興建商業大樓、國民住宅出租出售業務、室內裝潢設計工程承攬及有關裝潢材料之進出口買賣、</t>
  </si>
  <si>
    <t>各類漁網、各類線索、各類繩索</t>
  </si>
  <si>
    <t>餐飲業務</t>
  </si>
  <si>
    <t>聚酯加工絲、加工收入、租賃收入</t>
  </si>
  <si>
    <t>體育用品、工業用線、尼龍線、釣漁線、割草線等、各種紡紗、織布、不織布、其他紡織及製品製造、育樂用品、布疋、衣著、鞋、帽、傘、服飾品、漁具等批發買賣</t>
  </si>
  <si>
    <t>成衣96.91%、加工收入2.95%、原物料0.14%(針織成衣、梭織成衣及各種成衣製造加工買賣業務、前項有關產品之進出口貿易、代理前各項有關國內外廠商產品之報價投標業務)</t>
  </si>
  <si>
    <t>印染整理業、成衣業、國際貿易業務</t>
  </si>
  <si>
    <t>各種鋼圈、鋁合金輪圈製造、加工、出口、鋼板加工、出口及銷售、汽車轉向系統之製造、出口及銷售</t>
  </si>
  <si>
    <t>自動販賣機、電動車輛產業-零組件</t>
  </si>
  <si>
    <t>客、貨、病床用電梯，電扶梯及維修保養、發電機、</t>
  </si>
  <si>
    <t>各種工作母機及其零配件及原料之製造加工買賣、塑膠射出成型機等產業機械及其有關零配件及原料、前項有關產品進出口貿易與代理買賣業務、</t>
  </si>
  <si>
    <t>各項工作母機製造加工及內外銷販賣、前項有關工具之製造加工內外銷進出口貿易業務、電子產品製造及買賣</t>
  </si>
  <si>
    <t>能源科技、熱管理、智慧製造、智能建築</t>
  </si>
  <si>
    <t>冰水機組71.59%、其他28.41%(冰水機組、冷凝機組)</t>
  </si>
  <si>
    <t>汽車零件鍛壓製造加工、機車、自行車零件鍛壓製造加工、機械、五金及3C電子零件鍛壓製造加工</t>
  </si>
  <si>
    <t>新能源科技、生物科技、其他</t>
  </si>
  <si>
    <t>餐飲相關業務</t>
  </si>
  <si>
    <t>門型沖床、C行沖床</t>
  </si>
  <si>
    <t>粉末冶金業、除許可業務外，得經營法令非禁止或限制之業務</t>
  </si>
  <si>
    <t>越南地區營運部門49.34%、台灣地區營運部門44.31%、大陸地區營運部門6.34%(汽機車座椅及座椅調角器、機車煞車圓盤及齒輪、精沖件等)</t>
  </si>
  <si>
    <t>工具機鑄件生產銷售</t>
  </si>
  <si>
    <t>航太產業發動機、起落架及其他次系統相關零組件、半導體設備及相關零組件、無菌食品充填設備產業及工業用自動化精密傳動相關零組件、</t>
  </si>
  <si>
    <t>設計、研發及生產自動化乾燥設備及相關機械設備製造與買賣</t>
  </si>
  <si>
    <t>汽車空調模組、引擎冷卻模組</t>
  </si>
  <si>
    <t>製程自動化感測器、電機氣動控制元件</t>
  </si>
  <si>
    <t>機電工程承攬、運動場館委辦營運管理</t>
  </si>
  <si>
    <t>無線胎壓監測器系統</t>
  </si>
  <si>
    <t>過濾分離設備及周邊產品之研發、設計、製造與銷售</t>
  </si>
  <si>
    <t>精密主軸設計、製造、銷售</t>
  </si>
  <si>
    <t>電腦控制之工具機設計、製造及銷售、工具機零件、原物料之進出口貿易買賣業務、工具機售後保養維修服務</t>
  </si>
  <si>
    <t>氣泵、電磁閥、精密儀器及醫療器材等生產及銷售</t>
  </si>
  <si>
    <t>工業閥門的研發、設計、製造及銷售</t>
  </si>
  <si>
    <t>小家電製造、加工、買賣及進出口業務、小家電附屬品之加工、買賣及進出口業務</t>
  </si>
  <si>
    <t>貿易、分散性染料</t>
  </si>
  <si>
    <t>調製應用73.39%、合成24.61%、其他2%(有機顏料、調製應用顏料)</t>
  </si>
  <si>
    <t>非離子界面活性劑</t>
  </si>
  <si>
    <t>不飽和聚酯樹脂、多元醇聚酯樹脂、FRP製品</t>
  </si>
  <si>
    <t>4712</t>
  </si>
  <si>
    <t>福格創新</t>
  </si>
  <si>
    <t>水產品買賣、電子設備買賣批發、</t>
  </si>
  <si>
    <t>PU樹脂、住宅及大樓開發租售</t>
  </si>
  <si>
    <t>合成樹脂、電子化學材料</t>
  </si>
  <si>
    <t>醋酸鈷、錳、磁性材料生產製造買賣及進出口業務、鈷化合物、錳化合物之生產買賣及進出口業務、鈷金屬、錳金屬之買賣及進出口業務</t>
  </si>
  <si>
    <t>CDMO</t>
  </si>
  <si>
    <t>西藥製造業、醫療器材設備製造業、化粧品製造業、國際貿易業(兼營與前述業務相關之進出口貿易業務)、研究、開發、製造及銷售生醫材料級膠原蛋白及相關產品</t>
  </si>
  <si>
    <t>觸控面板之製造，銷售及進出口業務</t>
  </si>
  <si>
    <t>醫療器材設備製造業、醫療器材批發業、醫療器材零售業</t>
  </si>
  <si>
    <t>噴墨印刷、廣告設備及墨水生產、MicroLED，半導體零配件，細胞染色，病毒檢測等噴墨製程代工、電子材料及特用化學品奈米化製造</t>
  </si>
  <si>
    <t>糖尿病足潰瘍藥</t>
  </si>
  <si>
    <t>製藥設備生產線、檢驗儀器生產線、生物技術服務</t>
  </si>
  <si>
    <t>從事體外診斷設備、試劑暨耗材之銷售買賣及維修業務、產品代理儀器及耗材之銷售買賣及維修業務</t>
  </si>
  <si>
    <t>西藥之製造，加工，買賣，批發零售，進出口、營養保健食品之加工買賣、</t>
  </si>
  <si>
    <t>其他化學材料製造業，工業助劑製造業、其他化學製品製造業，耐火材料製造業、消防安全設備安裝工程業，塗料，油漆，染料及顏料製造業，</t>
  </si>
  <si>
    <t>導電漿料設計製造及銷售</t>
  </si>
  <si>
    <t>熱熔膠、防水膜等產品生產及銷售</t>
  </si>
  <si>
    <t>連鎖旅館、一站式婚禮會所、物業管理</t>
  </si>
  <si>
    <t>電視劇製作、電視劇編劇、藝人經紀</t>
  </si>
  <si>
    <t>光纖電纜及配合材料、數據產品傳輸設備、光通信工程等</t>
  </si>
  <si>
    <t>xDSL高速數位用戶迴路接取設備、專業用戶高階數據機、特用化學</t>
  </si>
  <si>
    <t>委託營造廠商興建商業大樓及國民住宅出租、出售業務、有關建材、裝潢材料及建設機械之買賣及進出口業務等</t>
  </si>
  <si>
    <t>光收發模組製造與封裝</t>
  </si>
  <si>
    <t>4909</t>
    <phoneticPr fontId="8" type="noConversion"/>
  </si>
  <si>
    <t>LNB板、PCB製造</t>
  </si>
  <si>
    <t>SR-T100新藥開發、藥品、功能性保養品、保健食品的研發與製造</t>
  </si>
  <si>
    <t>電腦及週邊設備業、其他電子業</t>
  </si>
  <si>
    <t>鋰電池模組製造銷售、電池零件買賣、電子材料買賣</t>
  </si>
  <si>
    <t>LCD背光模組零組件-聚光片</t>
  </si>
  <si>
    <t>軟性印刷電路板100%(覆蓋膜、軟性銅箔基層板、補強板)</t>
  </si>
  <si>
    <t>4945</t>
  </si>
  <si>
    <t>陞達科技</t>
  </si>
  <si>
    <t>風扇馬達驅動控制IC、代理微控制器IC</t>
  </si>
  <si>
    <t>資訊軟體服務業、資料處理服務業、一般廣告服務業、除許可業務外，得經營法令非禁止或限制之業務</t>
  </si>
  <si>
    <t>牧東</t>
  </si>
  <si>
    <t>不鏽鋼製品之加工與銷售</t>
  </si>
  <si>
    <t>軟體外包服務</t>
  </si>
  <si>
    <t>高速訊號傳輸介面IC(主要為PC、伺服器與資料中心)、顯示與觸控IC</t>
  </si>
  <si>
    <t>GaAspHEMTepiwafers、InPHBTepiwafers、GaSbinfraredmaterialandepiwafers</t>
  </si>
  <si>
    <t>燈具100%(專業商用照明燈具設計及製造)</t>
  </si>
  <si>
    <t>快閃記憶體相關產品之製造及買賣、記憶體模組之製造及買賣</t>
  </si>
  <si>
    <t>影像感測器之買賣</t>
  </si>
  <si>
    <t>光通訊主動元件及模組</t>
  </si>
  <si>
    <t>條碼標籤印製機之研發，製造及銷售、</t>
  </si>
  <si>
    <t>砷化鎵/磷化銦/氮化鎵及碳化矽高階射頻及光電元件化合物晶圓代工、自有品牌光電元件產品之研究、開發、製造及銷售業務、相關智慧財產權授權</t>
  </si>
  <si>
    <t>高亮度液晶面板模組及顯示器、特殊應用系統平台</t>
  </si>
  <si>
    <t>特殊鋼材料(主要為航太、機械及模具、能源)</t>
  </si>
  <si>
    <t>螺栓、螺絲、螺帽、華司及其他金屬材料之製造、加工、銷售</t>
  </si>
  <si>
    <t>盤元、不鏽鋼盤元、黑鐵絲、五金線材、螺絲、螺帽線材、、不鏽鋼線材、鍍鋅鋼線、鐵釘、鐵板、不鏽鋼板之製造、、加工及買賣業務、機械設備製造及製造輸出業、國際貿易業、</t>
  </si>
  <si>
    <t>止滑板、不銹鋼板、不銹鋼圓條、不銹鋼管、角鐵、槽鐵</t>
  </si>
  <si>
    <t>不銹鋼螺絲、不銹鋼線材</t>
  </si>
  <si>
    <t>鋼纜之生產銷售、鋼線之生產銷售、棒鋼之生產銷售</t>
  </si>
  <si>
    <t>軟硬體系統整合收入、勞務及維修收入、授權收入</t>
  </si>
  <si>
    <t>AI-OCR智慧內容辨識擷取服務、OA雲端辦公室協同管理</t>
  </si>
  <si>
    <t>水資源營運、廢棄物處理與再生利用服務、電子零組件、民生商品經銷代理</t>
  </si>
  <si>
    <t>營建100%(房地產開發)</t>
  </si>
  <si>
    <t>各項控制系統軟硬體之分項與整體之可行性研究、規劃、設計、採購、軟硬體組合監造安裝校測試車維護及操作等、電腦軟硬體儀器之進口代理及銷售、</t>
  </si>
  <si>
    <t>應用/系統軟體設計開發、系統整合服務業、太陽能發電設備/系統及系統工程</t>
  </si>
  <si>
    <t>電腦軟體之設計維護及買賣業務、電腦及其週邊設備之設計、製造、修理及買賣業務、一般進出口貿易業務、</t>
  </si>
  <si>
    <t>專案軟體服務、圖書館軟體及電子書銷售服務、金融軟體服務</t>
  </si>
  <si>
    <t>單點及多點投射式電容觸控面板、五線電阻式觸控面製造製造買賣、觸控面板控制器及IC買賣、勞務收入</t>
  </si>
  <si>
    <t>電腦、手持裝置之金屬機構件、精密金屬壓鑄件、、五金沖壓件等設計、生產與銷售</t>
  </si>
  <si>
    <t>磷酸系電池正極材料研發、製造與銷售、其他</t>
  </si>
  <si>
    <t>透鏡、精密塑膠件</t>
  </si>
  <si>
    <t>產品設計業、電子零組件製造業、國際貿易業</t>
  </si>
  <si>
    <t>被動式有機發光顯示器(PMOLED)</t>
  </si>
  <si>
    <t>智慧型家庭安防應用相關產品</t>
  </si>
  <si>
    <t>體感模擬遊樂設備</t>
  </si>
  <si>
    <t>RF射頻晶片</t>
  </si>
  <si>
    <t>伺服器管理IC</t>
  </si>
  <si>
    <t>汽、機車專用配線束、機車位置燈、機車儀錶、汽車嬰兒安全設備</t>
  </si>
  <si>
    <t>尚凡</t>
  </si>
  <si>
    <t>社群交友網路平台服務</t>
  </si>
  <si>
    <t>網路媒合平台</t>
  </si>
  <si>
    <t>工業用嵌入式儲存裝置、工業用動態隨機記憶體模組</t>
  </si>
  <si>
    <t>印刷電路板、光電產品</t>
  </si>
  <si>
    <t>積體電路設計業、功率元件、電源管理積體電路</t>
  </si>
  <si>
    <t>餐飲服務、空運貨物運輸承攬服務、珠寶精品及一般禮品</t>
  </si>
  <si>
    <t>積體電路研究發展設計、積體電路製造、積體電路銷售</t>
  </si>
  <si>
    <t>汽車電子與工業能源產品</t>
  </si>
  <si>
    <t>系統整合、維運服務及遊戲軟體開發、銷售、</t>
  </si>
  <si>
    <t>眼鏡</t>
  </si>
  <si>
    <t>世紀</t>
  </si>
  <si>
    <t>承攬建案室內裝璜工程、經營複合式餐飲業務、建築材料買賣及進出口貿易業務、</t>
  </si>
  <si>
    <t>LCM(LiquidCrystalModule)、LCDPANEL(LiquidCrystalDisplayPanel)、Others</t>
  </si>
  <si>
    <t>布疋、衣著、鞋、帽、傘、服飾品批發及零售買賣業務、無店面零售業務、電子零組件之製造、加工及買賣業務、</t>
  </si>
  <si>
    <t>住宅及大樓開發租售業、都市更新重建業、不動產買賣租賃業</t>
  </si>
  <si>
    <t>被動元件92.18%、代理產品7.82%(各種電子零組件及原料之製造，加工，裝配，進出口及買賣業務電子、材料，塑膠(電子裝配用之塑膠另件)，橡膠(電子裝配用之橡膠另件)、，機械之進出口及買賣業務G801010倉儲業)</t>
  </si>
  <si>
    <t>印刷電路基層板、玻璃布之製造加工、買賣業務、前項有關之原材料、零配組件、製成品之製造加工買賣業務、前項有關產品之進出口及國內外廠商有關產品之代理經銷投標報價、</t>
  </si>
  <si>
    <t>測試</t>
  </si>
  <si>
    <t>天揚</t>
  </si>
  <si>
    <t>B-Power97.66%、EzCon2.34%(科技產品方案設計開發、-、-)</t>
  </si>
  <si>
    <t>研發，生產，銷售，系統安裝有線，無線，視訊產品之組件與系統、兼營前項業務相關之進出口貿易、兼營前項業務相關之顧問諮詢及技術服務</t>
  </si>
  <si>
    <t>研發、開發、生產、製造、測試、銷售半導體裝置、前項產品有關之管理顧問、諮詢及技術移轉、兼營本公司業務相關之進出口貿易業務、</t>
  </si>
  <si>
    <t>網路通訊設備及工業應用產品之設計、製造及相關服務和銷售</t>
  </si>
  <si>
    <t>多層板印刷電路板</t>
  </si>
  <si>
    <t>雷射印表機碳粉匣、給皂器、汽車音響用面板之製造、塑膠鋼模、電子基板之裝著加工與組裝測試、電腦週邊產品、電子</t>
  </si>
  <si>
    <t>一般旅館(飯店旅館經營、籌建規劃、市場分析規劃)</t>
  </si>
  <si>
    <t>背光模組、數位投影機</t>
  </si>
  <si>
    <t>變壓器、印刷電路板及其耗材</t>
  </si>
  <si>
    <t>電腦硬體及其零件之製造加工及買賣、資訊設備及其他週邊設備加工製造及買賣、高階伺服器記憶體模組</t>
  </si>
  <si>
    <t>鋁合金及塑膠壓鑄品模具</t>
  </si>
  <si>
    <t>醫療生技等業務、代理前項產品國內外有關廠商投標報價及經銷等業務</t>
  </si>
  <si>
    <t>各種電腦軟體之設計開發及銷售業務、各種電腦硬體設備之代理及銷售業務、各種電腦資料之處理服務</t>
  </si>
  <si>
    <t>資訊軟硬體銷售、資訊服務、系統整合、金融業自動化解決方案、網際網路行銷</t>
  </si>
  <si>
    <t>條碼印表機及其零配件57.77%、整流二極體及其他IC產品42.23%(整流器之生產製造．銷售及進出口業務)</t>
  </si>
  <si>
    <t>電腦機殼、網路連接器</t>
  </si>
  <si>
    <t>太陽能系統組件、LCD模組</t>
  </si>
  <si>
    <t>多功能事務機及其模組、標籤列印機、寬幅列印機及3D列印產品等之設計、製造及買賣</t>
  </si>
  <si>
    <t>電子產品之製造及買賣(印刷電路板、個人電腦、電腦週邊設備)、前項有關產品之進出口貿易、代理前項有關國內外廠商產品投標報價及經銷業務</t>
  </si>
  <si>
    <t>半導體設備、顯示器製程設備</t>
  </si>
  <si>
    <t>成衣或運動用品之黏扣帶、織帶及各式綁帶、橡、塑膠高分子及發泡複合材</t>
  </si>
  <si>
    <t>ABS塑膠、工程塑膠、電子材料</t>
  </si>
  <si>
    <t>住宅及大樓開發租售業、建材批發業</t>
  </si>
  <si>
    <t>各式連接器精密零組件成機及模組組裝、</t>
  </si>
  <si>
    <t>沖壓電子零組件99.32%、模具%(精密沖壓製品、精密沖壓連續模模具、、冷光EL產品及LED燈具、產品OEM/ODM開發設計等)</t>
  </si>
  <si>
    <t>多層及雙面印刷電路板加工製造及內外銷業務、電子產品及其零配件之設計製造加工修護及銷售業務、前各項產品之進出口貿易業務與投標報價及經銷業務、</t>
  </si>
  <si>
    <t>電腦外殼及其零組件製造加工買賣業務、五金零件、金屬零件製造加工買賣及沖床加工、五金加工鍛造鑄造業務</t>
  </si>
  <si>
    <t>研究、開發、生產、製造、銷售：積體電路晶片、零組件、住宅及大樓開發租售業、機械設備製造業</t>
  </si>
  <si>
    <t>一般進出口貿易業務、電子、電腦零件製造加工之買賣業務、代理各項有關國內外廠商產品之經銷及投標業務</t>
  </si>
  <si>
    <t>印刷電路基層板，玻璃布之製造加工及買賣業務、前項之原材料，零配組件，製成品之製造加工買賣業務、前項產品之進出口及國內外廠商產品之經銷，投標，報價業務</t>
  </si>
  <si>
    <t>遊戲軟體之發行買賣、遊戲軟體雜誌圖書之發行及買賣</t>
  </si>
  <si>
    <t>權利金收入、教材收入、其他</t>
  </si>
  <si>
    <t>半導體晶錠及晶片、太陽能電池、太陽能模組、太陽能晶錠、太陽能矽晶片</t>
  </si>
  <si>
    <t>積體電路開發設計、委託設計、生產及測試、F119010電子材料批發業、F219010電子材料零售業</t>
  </si>
  <si>
    <t>3C產品用線</t>
  </si>
  <si>
    <t>電腦及週邊設備軟硬體，電腦自動化測試系統之設計買賣修護進出口、電腦顯示器，高解析度電視，電子測試儀器之設計裝配買賣修護進出口、電子零組件，照明設備，光學儀器，電信管制射頻製造業;電子材料零售</t>
  </si>
  <si>
    <t>電子金融交易終端機及其零組件、交易資料安全保護設備及其零組件、多功能智慧卡讀／寫卡機及其零組件</t>
  </si>
  <si>
    <t>工業自動化設備、感測及監測系統整合</t>
  </si>
  <si>
    <t>電鍍液乾膜鑽頭等印刷電路板原料之設計製造加工買賣業務、印刷電路板專用機之設計、製造、買賣業務、前各項產品之代理、經銷、報價、投標業務、</t>
  </si>
  <si>
    <t>建築及土木工程</t>
  </si>
  <si>
    <t>住宅及商業大樓投資興建出租出售</t>
  </si>
  <si>
    <t>租賃收入100%、營建收入%(委託營造廠商興建國民住宅及商業大樓出租、出售業務、)</t>
  </si>
  <si>
    <t>營造業</t>
  </si>
  <si>
    <t>預拌混凝土90.89%、海運8.94%、租賃0.12%、砂石0.05%(預拌混凝土)</t>
  </si>
  <si>
    <t>住宅及大樓開發租售業、</t>
  </si>
  <si>
    <t>住宅及大樓開發租售業、新市鎮、新社區開發業、不動產租賃業</t>
  </si>
  <si>
    <t>禮儀服務收入50.26%、塔墓收入38.71%、其他營業收入6.69%、物業出租4.35%(殯葬業、建設業)</t>
  </si>
  <si>
    <t>工程收入98.68%、銷貨收入1.06%(電子及生技醫藥等高科技產業無塵室機電製程設施之設計與建造、節能技術服務、機電空調系統整合)</t>
  </si>
  <si>
    <t>金屬建築材料製造與銷售、模組化建材及配套材料之開發、設計、製造與銷售</t>
  </si>
  <si>
    <t>貨櫃集散站經營業、委託營造廠商、興建國民住宅、商業大樓之出租出售業務、G801010倉儲業、H703020倉庫出租業、IZ06010理貨包裝業</t>
  </si>
  <si>
    <t>貨櫃運輸、重機件運輸</t>
  </si>
  <si>
    <t>不動產租賃業、不動產出售</t>
  </si>
  <si>
    <t>航空貨運承攬及海運承攬運送業務之經營、進出口貨物之報關業務、倉儲業務之經營、理貨包裝業務之經營、前項有關業務之經營及投資、</t>
  </si>
  <si>
    <t>觀光遊樂業、觀光旅館業</t>
  </si>
  <si>
    <t>餐飲收入50.02%、客房收入41.1%、服務費收入8.18%、其他營業收入0.7%(觀光旅館業、餐廳業、會議室出租業)</t>
  </si>
  <si>
    <t>客房收入60.67%、餐飲收入31.27%、其他營業收入8.06%(國際觀光大飯店、住宿、食品、藝品、運動用品、日用品等買賣之經營、育樂、遊樂場之經營(賭博性、色情性電動玩具除外)主要經營業務1)</t>
  </si>
  <si>
    <t>經紀、自營、承銷</t>
  </si>
  <si>
    <t>人身保險經紀人、財產保險經紀人</t>
  </si>
  <si>
    <t>通路銷售及物流服務事業、品牌及產品代理事業</t>
  </si>
  <si>
    <t>連鎖便利商店之投資及經營</t>
  </si>
  <si>
    <t>美妝生活雜貨</t>
  </si>
  <si>
    <t>客房，餐飲，商品銷售</t>
  </si>
  <si>
    <t>經紀手續費收入64.97%、衍生工具淨利益(損失)7.08%、營業證券出售淨利益(損失)6.84%、利息收入5.07%、營業證券透過損益按公允價值衡量之淨利益(損失)4.66%(證券經紀、自營、承銷業務、期貨經紀、期貨顧問、期貨自營業務)</t>
  </si>
  <si>
    <t>自營商55.79%、經紀商42.6%、承銷商1.21%(證券經紀承銷自營股務代理、期貨交易輔助人)</t>
  </si>
  <si>
    <t>營業證券出售淨利益(損失)56.16%、營業證券透過損益按.值衡量之淨利益(損失)46.19%、經紀手續費收入6.9%、利息收入3.94%、股利收入3.07%(在集中交易市場及營業處所受託買賣有價證券、在集中交易市場及營業處所自行買賣有價證券、承銷有價證券、期貨交易輔助人及有價證券買賣融資融券業務、)</t>
  </si>
  <si>
    <t>證券商、期貨商</t>
  </si>
  <si>
    <t>經紀手續費收入90.58%、營業證券出售及透過損益按公允價值衡量之淨利益(損失)33.01%、其他營業收益(損失)2.14%、受託結算交割服務費收入1.11%、期貨顧問費收入0.23%(期貨經紀業務期貨自營業務期貨顧問事業、證券商證券交易輔助業務證券自營商、槓桿交易商)</t>
  </si>
  <si>
    <t>在集中交易市場及營業處所受託買賣有價證券、在集中交易市場及營業處所自行買賣有價證券、承銷有價證券</t>
  </si>
  <si>
    <t>從事影視節目之製作、發行及投資等文創產業、</t>
  </si>
  <si>
    <t>研究、開發、生產、製造、銷售以下產品、影音、光碟、顯示器、電源管理、通訊系統之半導體零組件、客戶委託開發之半導體零組件</t>
  </si>
  <si>
    <t>設計，製造，測試，銷售積體電路及半導體零組件等、電腦軟體程式設計，研發，銷售，測試及電腦資料處理、前各項產品之代理及進出口貿易業務</t>
  </si>
  <si>
    <t>電源供應器71.01%、通訊用變壓器28.67%、藍芽無線產品0.32%、行動通訊充電器%、其他電子零件%(電源供應器、藍芽無線產品、通訊用變壓器、行動通訊充電器、其他電子零件)</t>
  </si>
  <si>
    <t>遊戲軟體研發、代理及銷售、線上遊戲經營服務及授權</t>
  </si>
  <si>
    <t>資訊、電子、電信、電腦零組件產品之代理銷售</t>
  </si>
  <si>
    <t>電子材料92.96%、PCB7.04%(電腦週邊裝置及電子零件製造加工買賣業務、有關前各項進出口貿易業務)</t>
  </si>
  <si>
    <t>電腦及事務性機器設備批發、資訊軟體批發、電腦設備安裝</t>
  </si>
  <si>
    <t>石化及化工工程、捷運、發電廠、空調機電系統及公共工程、其他</t>
  </si>
  <si>
    <t>資訊專業軟、硬體銷售與服務、數位印刷設備相關產品銷售與服務、雲端託管及運營服務</t>
  </si>
  <si>
    <t>熱導元件83.63%、照明16.37%(熱導元件之研發、製造、銷售業務、高科技電子材料之研發、製造、銷售業務)</t>
  </si>
  <si>
    <t>整廠自動化物流系統、太陽能電池</t>
  </si>
  <si>
    <t>各種電子電腦及週邊設備之零件製造裝配及買賣、各種鋼模及金屬沖品之製造及買賣、塑膠玩具、電池玩具(電動玩具除外)之製造裝配及買賣、</t>
  </si>
  <si>
    <t>氧化鋁陶瓷基板之製造、加工及買賣業務</t>
  </si>
  <si>
    <t>消費性IC之設計、製造與銷售</t>
  </si>
  <si>
    <t>學名藥、租賃業、管理顧問業</t>
  </si>
  <si>
    <t>連接器配線組立、網通視訊、車用電子</t>
  </si>
  <si>
    <t>CC01080電子零組件製造業一、研究開發生產製造下列產品：、1半導體功率IC和其模組2半導體功率元件和其模組、3智慧型功率IC和其模組4無線及網路通訊IC5光電驅動IC、</t>
  </si>
  <si>
    <t>電腦網路系統的諮詢、設計、整合、銷售、建置、服務、六大項目，提供一貫化全方位e化解決方案(e-solution)、專業服務</t>
  </si>
  <si>
    <t>電子書、電子標籤、電聲元件、光纖產品</t>
  </si>
  <si>
    <t>影音光碟產品及錄影帶</t>
  </si>
  <si>
    <t>無線網通及行動通訊產品之射頻、天線性能及符合性標準測試及認證、電磁相容(EMC)及產品安全規範(SAFETY)之測試及認證、電子零組件之買賣</t>
  </si>
  <si>
    <t>IC封測(主要為LCD驅動IC)、凸塊</t>
  </si>
  <si>
    <t>電腦主機及儲存設備、網通設備、工程收入</t>
  </si>
  <si>
    <t>顯示卡、其他</t>
  </si>
  <si>
    <t>營業收入100%(橡膠複合材料及塑膠複合材料之製造加工及買賣，電子零組件製造業、工業用塑膠製品製造業，其他電機及電子機械器材製造業(連接器))</t>
  </si>
  <si>
    <t>3C商品買賣</t>
  </si>
  <si>
    <t>印刷電路板58.4%、磁性元件41.6%、其他%(印刷電路板、磁性元件、變壓器)</t>
  </si>
  <si>
    <t>電子類連接器100%(各種沖壓零件、電腦端子和各種連接器等製造加工買賣、沖壓加工廠之整廠機械設備規劃、輸出、精密模具及治具之製造加工買賣)</t>
  </si>
  <si>
    <t>自動辨識掃描器及資料收集器製造買賣、電信管制射頻器材輸入及製造業</t>
  </si>
  <si>
    <t>電腦及週邊產品</t>
  </si>
  <si>
    <t>營業收入100%(資訊應用整合服務及電信整合系統服務、網際網路建設服務及媒體應用服務、寬頻產業服務、軟體與加值服務開發及智慧城控等)</t>
  </si>
  <si>
    <t>液晶顯示器及模組99.95%、原物料等0.05%(液晶顯示器模組製造及銷售)</t>
  </si>
  <si>
    <t>遊戲及教育軟體研究開發、生產、代理及銷售</t>
  </si>
  <si>
    <t>電信預付卡代理行銷、線上遊戲代理行銷、遊戲及網路服務平台之研究開發與營運</t>
  </si>
  <si>
    <t>晶片電容、晶片電阻、介電瓷粉、電感</t>
  </si>
  <si>
    <t>石英晶體，石英振盪器，濾波器等產品及半成品之製造，加工及內外銷、石英晶體，石英振盪器，濾波器等產品之原料，零件之加工及內外銷、F119010電子材料批發及F219010電子材料零售</t>
  </si>
  <si>
    <t>生產及銷售化成鋁箔、生產及銷售電蝕鋁箔</t>
  </si>
  <si>
    <t>能源工程相關業務</t>
  </si>
  <si>
    <t>資訊軟體服務業、仲介服務業，資料儲存及處理設備製造業、一般廣告業務，除許可業務外，得經營法令非禁止或限制之業務</t>
  </si>
  <si>
    <t>半導體100%(半導體及其材料之研發、設計、製造、進出口及代理銷售等)</t>
  </si>
  <si>
    <t>住宅及大樓開發租售業、不動產買賣業、不動產租賃業、</t>
  </si>
  <si>
    <t>半導體封測設備、被動元件設備</t>
  </si>
  <si>
    <t>硬碟(SDD、HDD)、智慧自動化系統(機器人)</t>
  </si>
  <si>
    <t>區域網路線電子線、汽機車用線、電源線電腦線</t>
  </si>
  <si>
    <t>各項印刷電路板及電腦週邊之維修安裝製造加工買賣業務、電子產品及其零件之製造加工修理買賣業務、一般化學藥品原物料之買賣業務</t>
  </si>
  <si>
    <t>銷貨收入100%(品牌家具連鎖門市業務)</t>
  </si>
  <si>
    <t>委託營造廠商興建國民住宅或商業大樓租售業務及不動產租售等業務</t>
  </si>
  <si>
    <t>租賃及葬儀服務、電腦週邊設備與電子零件、電子產品買賣</t>
  </si>
  <si>
    <t>交換式電源供應器(SwitchingPowerSupplies，SPS)之生產與銷售</t>
  </si>
  <si>
    <t>可變電阻製造加工及買賣開關矽整流器買賣、前項有關之原料及產品進出口業務、有關上項業務之經營及投資</t>
  </si>
  <si>
    <t>SMT設備代理、鐳射機設備、捲裝材料</t>
  </si>
  <si>
    <t>真空腔體、模組、閥門及零部件設計製造銷售、真空泵、中古真空泵銷售及維修、客製化各式真空鍍膜腔體與系統設計製造</t>
  </si>
  <si>
    <t>多層印刷電路板100%(單雙面及多層印刷電路板之製造、加工及買賣業務、電子零組件之製造、加工及買賣業務、前各項有關產品及原料之進出口及經銷買賣業務)</t>
  </si>
  <si>
    <t>住宅及大樓開發租售業</t>
  </si>
  <si>
    <t>各種精密探針製造及加工買賣、各種探針用測試治具之研發製造銷售、電子零組件、有線及無線電通信機械器材製造業、電子材料買賣、有關進出口貿易業務之經營</t>
  </si>
  <si>
    <t>電腦網路系統整合、半導體設備與應用材料之代理銷售、光電設備之代理銷售</t>
  </si>
  <si>
    <t>房屋款收入55.23%、土地款收入44.77%(不動產開發、租賃及買賣等、不動產仲介、代銷經紀業、特定專業區、新市鎮及新社區開發業)</t>
  </si>
  <si>
    <t>製造代工40.67%、電子商務30.89%、通路貿易28.44%(區域通訊網路線、光纖接續材料、零件及其配件之組裝製造及買賣、3C電源線組、無線及電纜製造業)</t>
  </si>
  <si>
    <t>系統平台、儲存設備、企業應用軟體服務、資料處理服務、資訊安全管理、網路安全及設備、入口網站及電子資訊供應服務、系統管理、資料修復、國際貿易、事務性機器設備、電信器材等</t>
  </si>
  <si>
    <t>上揚</t>
  </si>
  <si>
    <t>LED照明設備、小家電類銷售等商貿業務、代理國內外廠商產品之報價投標業務</t>
  </si>
  <si>
    <t>IC探針卡、LED測試機台</t>
  </si>
  <si>
    <t>各種視聽器材各種電子電器零件之進出口貿易買賣業務、代理國內外有關廠商經銷代購有關上項產品及進出口業務、倉儲業</t>
  </si>
  <si>
    <t>生物醫學產品56.32%、底片型掃瞄器41.59%、建材及裝潢2.09%(底片型掃瞄器產品、生物醫學產品、建材及裝潢)</t>
  </si>
  <si>
    <t>IC韌體應用設計</t>
  </si>
  <si>
    <t>消費型BIOS、伺服器BIOS</t>
  </si>
  <si>
    <t>積體電路之研發、設計與銷售、電腦週邊設備、顯示器之研發、設計、電子零件、基板模組及電子產品之研發、設計及代理與銷售、</t>
  </si>
  <si>
    <t>自動化輸送及倉儲設備、產業專業自動化機器及各類腔體組裝、精密微型鑽頭</t>
  </si>
  <si>
    <t>醫療器材、美容保健器材、保養品及保健食品之開發及銷售</t>
  </si>
  <si>
    <t>積體電路設計與製造</t>
  </si>
  <si>
    <t>數位科技研發、系統整合開發、科技服務設計、資產買賣及租賃管理業務</t>
  </si>
  <si>
    <t>通訊產品製造及買賣</t>
  </si>
  <si>
    <t>以觀光工廠模式銷售各式藥品、保健食品、美容商品、提供健康諮詢、產品宅配與售後服務</t>
  </si>
  <si>
    <t>電腦及其週邊設備及電子零件材料之製造加工買賣、電腦軟體設計開發買賣業務、企業電腦化顧問業務及有關資訊處理服務業務</t>
  </si>
  <si>
    <t>背光模組及其零組件製造買賣、變壓器製造買賣、文創事業</t>
  </si>
  <si>
    <t>鋼材二次加工業、建材批發業、建材零售業</t>
  </si>
  <si>
    <t>電信器材批發業、電子材料批發業、電子資訊供應服務業</t>
  </si>
  <si>
    <t>測試代工60.1%、機器組裝等產品銷售及其他27.52%、切割挑檢代工12.38%(半導體及光電產品加工：切割、研磨、測試、挑檢與基板切割等、半導體及光電設備之研發、製造與銷售：IC/CIS/CCM測試設備等、)</t>
  </si>
  <si>
    <t>工業網路52.6%、乙太網路供電21.8%、光纖網路13.7%、交換器6.99%、資安及寬頻網路設備1.76%(自有品牌網路通訊設備製造商，主要銷售有交換器、寬頻網路、、光纖網路、監控、語音、無線網路、路由器及工業網路等、)</t>
  </si>
  <si>
    <t>興建商業大樓，國民住宅及廠辦之出租及出售、綜合營造，景觀設計，公共工程，建築材料供應等買賣、觀光旅宿、</t>
  </si>
  <si>
    <t>電子零件買賣</t>
  </si>
  <si>
    <t>電子產品、通信器材之設計及生產製造(含加工設計及製造)、電子元件、半成品及成品之進出口業務、電子產品之設計及生產製造技術諮詢</t>
  </si>
  <si>
    <t>半導體零組件銷售</t>
  </si>
  <si>
    <t>電腦週邊設備、各式小家電</t>
  </si>
  <si>
    <t>電腦機殼50.73%、電源供應器42.17%、其他7.09%(電腦週邊產品)</t>
  </si>
  <si>
    <t>電子零件(端子)五金機械配件等製造加工及買賣(模具端子壓著機)、塑膠件、模具製造，電子零組件製造業(端子)及電子材料，模具批發零售</t>
  </si>
  <si>
    <t>天線、電路保護元件、電磁保護元件</t>
  </si>
  <si>
    <t>6287</t>
  </si>
  <si>
    <t>元隆</t>
  </si>
  <si>
    <t>6吋晶圓製造</t>
  </si>
  <si>
    <t>電源傳輸線組及轉接頭、訊號傳輸線組</t>
  </si>
  <si>
    <t>本公司所營事業如下:研究，開發，生產，製造，銷售下列產品:、工業用電子產品，通訊器材，消費性電子產品及電腦用、類比積體電路(AnalogICs)及混成式(Hybrid)類比積體電路</t>
  </si>
  <si>
    <t>工業電源，通信設備，電動車充電系統，LED燈具、Inverter，醫療設備，事務機器等應用之電感器，變壓器專業製造</t>
  </si>
  <si>
    <t>短期補習班業</t>
  </si>
  <si>
    <t>IC設計及銷售</t>
  </si>
  <si>
    <t>RFIDTRANSPONDER97.98%(無線射頻識別詢答器相關產品設計研發及製造、代理前項進出口貿易、其他)</t>
  </si>
  <si>
    <t>訊號連接器生產製造買賣、訊號傳輸線生產製造買賣</t>
  </si>
  <si>
    <t>鋁擠型機械、半導體設備、光電設備，主要應用在面板、半導體及動力電池</t>
  </si>
  <si>
    <t>各類電感及保護元件</t>
  </si>
  <si>
    <t>電子零組件製造業、智慧財產權業、產品設計業</t>
  </si>
  <si>
    <t>能源產品、工業電腦</t>
  </si>
  <si>
    <t>6457</t>
  </si>
  <si>
    <t>紘康</t>
  </si>
  <si>
    <t>藥品研發、製造及銷售</t>
  </si>
  <si>
    <t>指紋辨識IC</t>
  </si>
  <si>
    <t>衛星定位監控器之研發、製造及銷售</t>
  </si>
  <si>
    <t>銷售各式藥品、保健食品、婦嬰用品、化妝品之連鎖通路</t>
  </si>
  <si>
    <t>設計及製造以無線寬頻及數位串流為核心技術之網路通訊設備</t>
  </si>
  <si>
    <t>遊戲軟體研發及銷售</t>
  </si>
  <si>
    <t>N，FlashControllerIC研發製造</t>
  </si>
  <si>
    <t>電信暨寬頻網路系統服務、無線傳輸服務、數位媒體系統服務、雲端資訊系統服務、地理資訊系統服務</t>
  </si>
  <si>
    <t>晶圓及晶錠製造</t>
  </si>
  <si>
    <t>抗癌新藥及特殊原料藥研發</t>
  </si>
  <si>
    <t>消費性IC設計</t>
  </si>
  <si>
    <t>處方用藥、指示用藥、保健產品、快速檢驗試劑之銷售、生技醫藥研發及產品開發、生物技術服務</t>
  </si>
  <si>
    <t>醫療器材產品研發、製造及銷售</t>
  </si>
  <si>
    <t>塗佈貼合、高分子化學品、TPU、成品鞋</t>
  </si>
  <si>
    <t>植物保護劑之製造銷售、地工合成材料製造銷售</t>
  </si>
  <si>
    <t>特用化學品、辦公文具用品、精密化學品</t>
  </si>
  <si>
    <t>晶圓測試卡79.2%、IC測試板13.25%、技術服務與其他7.55%(晶圓測試卡、IC測試板、技術服務與其他)</t>
  </si>
  <si>
    <t>影像處理機器設計製造加工買賣、工業控制器材設計製造加工買賣、安全監控器材設計製造加工買賣</t>
  </si>
  <si>
    <t>6514</t>
  </si>
  <si>
    <t>芮特-KY</t>
  </si>
  <si>
    <t>銷售及設計生產各式天線、射頻線與射頻連接器等電子元器件、</t>
  </si>
  <si>
    <t>電子地圖、導航服務及車載、自駕整合服務、系統整合服務、電商及其他服務</t>
  </si>
  <si>
    <t>醫學美容保養相關產品之研發及銷售、除許可業務外，得經營法令非禁止或限制之業務</t>
  </si>
  <si>
    <t>醫療相關儀器之設計、製造及銷售</t>
  </si>
  <si>
    <t>光收發模組及光學次模組等光纖通訊相關產品之研發、生產與銷售</t>
  </si>
  <si>
    <t>半導體零組件、系統設備</t>
  </si>
  <si>
    <t>太陽能精密網版</t>
  </si>
  <si>
    <t>遊戲設計、研發及營運、遊戲授權</t>
  </si>
  <si>
    <t>疫苗研發製造、生物製劑研發製造</t>
  </si>
  <si>
    <t>導線架製造</t>
  </si>
  <si>
    <t>電腦及週邊設備軟硬體、電器及視聽電子產品製造及銷售、有線無線通信機械器材製造及銷售、電子零組件、電子材料製造及銷售</t>
  </si>
  <si>
    <t>各類影像相關產品之設計、生產及銷售、各類影像處理系統之設計、生產及銷售、各類安全監控系統之設計、生產及銷售</t>
  </si>
  <si>
    <t>數據網路服務、IDC機房服務、雲端應用服務、語音通信服務</t>
  </si>
  <si>
    <t>射頻積體(RFIC)電路之設計、製造與銷售</t>
  </si>
  <si>
    <t>醫療用電腦設計、製造及銷售、其他零組件買賣</t>
  </si>
  <si>
    <t>事務機器製造業、資料儲存及處理設備製造業、電子零組件製造業</t>
  </si>
  <si>
    <t>美容保養相關產品之研發及銷售、除許可業務外，得經營法令非禁止或限制之業務</t>
  </si>
  <si>
    <t>銷貨收入68.96%、權利金收入31.04%、勞務收入%(新藥研發)</t>
  </si>
  <si>
    <t>醫療及特殊應用嵌入式顯示器模組</t>
  </si>
  <si>
    <t>製造批發及銷售水解黃豆胜月太蛋白</t>
  </si>
  <si>
    <t>光通訊主動元件使用之薄膜濾光片、光通訊被動元件使用之薄膜濾光片、光通訊雲端資料中心使用之薄膜濾光片</t>
  </si>
  <si>
    <t>生物相似藥及新藥研發、生技藥品委託開發暨生產服務(CDMO)</t>
  </si>
  <si>
    <t>資訊軟體服務、電子資訊供應服務</t>
  </si>
  <si>
    <t>卡片/卡片個人化等、銘板/薄膜按鍵開關等</t>
  </si>
  <si>
    <t>國內外演唱會、展覽、藝文活動主辦及執行、國內外演唱會、展覽、藝文活動製作、國內外演唱會、展覽、藝文活動票券銷售</t>
  </si>
  <si>
    <t>塑膠射出機(3C電子精密元件射出機、LCD射出機)及模具等製造、汽機車零件及電子零件等塑膠製品之製造、電線及電纜(漆包線、鍍錫銅線、電子線)之製造及買賣業務</t>
  </si>
  <si>
    <t>CNC工具機之製造及銷售、PCB鑽孔機之製造及銷售</t>
  </si>
  <si>
    <t>人工水晶體及其植入系統等相關產品之研發、製造及銷售、高階醫療器材之表面處理相關產品之研發、製造及銷售</t>
  </si>
  <si>
    <t>高科技產業製程系統、設備製造、安裝及銷售</t>
  </si>
  <si>
    <t>孕前、產前及新生兒之各項基因檢測及癌症基因檢測等服務</t>
  </si>
  <si>
    <t>美式木製寢室家具製造及銷售、廚房櫥櫃製造及銷售、橡膠木加工及銷售</t>
  </si>
  <si>
    <t>1環境保護工程規劃、設計及統包工程、2工業廢水處理、回收再利用工程、3環境保護設備銷售</t>
  </si>
  <si>
    <t>家飾鑄件開發、生產及銷售</t>
  </si>
  <si>
    <t>半導體封裝設備</t>
  </si>
  <si>
    <t>IP授權(主要為高速傳輸)</t>
  </si>
  <si>
    <t>電阻、電容及電感測試包裝機、電感層間耐壓測試機、LED分選機、打孔機、各式機械自動化設備開發、製造及銷售</t>
  </si>
  <si>
    <t>生物醫學研究服務及相關產品銷售，暨基因檢測服務、生殖醫學類基因檢測:羊水晶片，胚胎晶片，非侵入性胎兒染色體檢測、基因定序或晶片類臨床試驗及科學研究</t>
  </si>
  <si>
    <t>國際SPF等級實驗動物(大小鼠)與相關實驗動物試驗服務、實驗動物飼養管理與試驗所需之相關設備與耗材、其它</t>
  </si>
  <si>
    <t>設備及其相關自動化產品、機台維修、其他</t>
  </si>
  <si>
    <t>高科技廠務工程及製程設備</t>
  </si>
  <si>
    <t>微機電麥克風晶片、電源管理晶片</t>
  </si>
  <si>
    <t>智能車載電腦系統及嵌入式電腦等產品之研發、製造與銷售</t>
  </si>
  <si>
    <t>IC測試載板</t>
  </si>
  <si>
    <t>各式多媒體視訊轉換控制晶片及其他控制晶片等研發及銷售</t>
  </si>
  <si>
    <t>資訊安全管理服務</t>
  </si>
  <si>
    <t>資訊委外服務、業務流程委外服務</t>
  </si>
  <si>
    <t>美妝保養品及生技保健之研發與銷售、除許可業務外，得經營法令非禁止或限制之業務</t>
  </si>
  <si>
    <t>幹細胞產品、免疫細胞產品</t>
  </si>
  <si>
    <t>自動化機械設備之研發、設計、組裝、銷售及售後服務、</t>
  </si>
  <si>
    <t>商用洗衣服務、家電空調銷售、其他</t>
  </si>
  <si>
    <t>感測器積體電路產品之研發、設計、製造及銷售</t>
  </si>
  <si>
    <t>複合性醫材</t>
  </si>
  <si>
    <t>新零售軟體開發暨服務、數據x電商服務</t>
  </si>
  <si>
    <t>6747</t>
  </si>
  <si>
    <t>亨泰光</t>
  </si>
  <si>
    <t>隱形眼鏡製造、隱形眼鏡護理產品批發</t>
  </si>
  <si>
    <t>系統整合、其他服務</t>
  </si>
  <si>
    <t>資訊軟體服務銷售</t>
  </si>
  <si>
    <t>醫療器材之製造與銷售</t>
  </si>
  <si>
    <t>綠界科技</t>
  </si>
  <si>
    <t>脊椎融合手術相關產品、脊椎壓迫性骨折治療手術相關產品、骨水泥產品</t>
  </si>
  <si>
    <t>半導體設備及系統整合</t>
  </si>
  <si>
    <t>一般投資</t>
  </si>
  <si>
    <t>資訊軟體服務</t>
  </si>
  <si>
    <t>開發與代理軟體產品與相關服務</t>
  </si>
  <si>
    <t>自有品牌縮時攝影相機OBM業務，主要產品:、建築工程縮時相機，智能電子貓眼，縮時感應相機、創新ODM業務，主要項目:韌體開發，研發設計，製造量產</t>
  </si>
  <si>
    <t>半導體製程設備之精密零組件與材料、製程次系統之維修</t>
  </si>
  <si>
    <t>消費性IC97.81%、其他2.19%、佣金收入%、技術服務費收入%(研究、設計、開發、製作及銷售各種微電子積體電路產品、電腦與電腦週邊及其零件之設計、製造及買賣業務、事務機器、通訊器材之設計、製造及買賣業務)</t>
  </si>
  <si>
    <t>半導體封裝設備(雷射設備、電漿設備、檢測設備)</t>
  </si>
  <si>
    <t>電腦及電腦週邊設備之製造及進出口、電子零件、組件之製造及進出口、電視機、錄影機、收錄音機等電器用品及其零組件之進出口</t>
  </si>
  <si>
    <t>有線通信機械器材製造業、無線通信機械器材製造業、通信工程業</t>
  </si>
  <si>
    <t>研發及生產鋰二次電池正極材料、各類高容量鋰電池模組與應用系統、鋰電池及高分子電池製造技術移轉顧問服務業</t>
  </si>
  <si>
    <t>積體電路之研發、製造及銷售、積體電路之進出口貿易</t>
  </si>
  <si>
    <t>各種電子器材電容器之製造加工買賣及進出口業務、承包設計各種無線電工程業務、除許可業務外得經營法令非禁止或限制之業務</t>
  </si>
  <si>
    <t>(1)一般進出口業務、(2)電子零件之買買、(3)代理國內外廠商有關產品之經銷報價及投標業務</t>
  </si>
  <si>
    <t>電子商務、物流服務、金融科技</t>
  </si>
  <si>
    <t>電腦割字機、雷射雕刻機</t>
  </si>
  <si>
    <t>光纖區域網路產品92.78%、區域網路產品0%、無線產品%(光纖網路局端、用戶端設備及網管交換器之研發製造及買賣、室外無線網路之研發製造及買賣)</t>
  </si>
  <si>
    <t>資料儲存及處理設備製造電子零組件製造業、其他機械器具零售(液晶顯示器及液晶顯示模組及觸控螢幕)、事務性機器設備零售</t>
  </si>
  <si>
    <t>工業用主機板、嵌入式電腦系統、工業觸控電腦</t>
  </si>
  <si>
    <t>資訊及消費性產品控制IC、無線音頻控制IC、NRE</t>
  </si>
  <si>
    <t>Cablemodem、DSLmodem寬頻網路用戶端產品之設計、製造與銷售．、ONTmodem寬頻網路用戶端產品之設計、製造與銷售．、其他消費性電子產品之設計、製造與銷售．</t>
  </si>
  <si>
    <t>整廠自動化軟硬體系統、製能檢測與修補設備、高精度微鐳射應用及真空製程設備，主要應用在面板</t>
  </si>
  <si>
    <t>品牌家具</t>
  </si>
  <si>
    <t>光電數位產品專業代理商、美妝生活商品代埋商</t>
  </si>
  <si>
    <t>電子元件、組件、積體電路、設計及測試儀器之經銷代理及維護、電腦及其零配件之經銷代理、維護及進出口貿易業務、電腦整體系統及軟體系統之分析、規劃、設計研發、維護及經銷代理</t>
  </si>
  <si>
    <t>電子紙顯示器</t>
  </si>
  <si>
    <t>事務機零組件、內外銷業務、電子零組件、內外銷業務、光電產品、內外銷業務</t>
  </si>
  <si>
    <t>印刷電路基板之製造加工買賣業務、絕緣材料之製造加工買賣業務、電木管電木棒之製造加工買賣業務</t>
  </si>
  <si>
    <t>微電腦商用電腦及裝備(印表機顯示器終端機)之配備、有關電腦硬體及軟體程式之研究開發設計業務、有關前各項產品及零件之進出口業務</t>
  </si>
  <si>
    <t>飯店旅館業</t>
  </si>
  <si>
    <t>印鉐</t>
  </si>
  <si>
    <t>土方工程100%(營建剩餘土石方資源處理)</t>
  </si>
  <si>
    <t>運動器材之零組件、培林、機械零組件之製造及買賣業務、電子、電腦零組件之製造及買賣業務、前項產品之進出口貿易業務</t>
  </si>
  <si>
    <t>記憶體產品－記憶卡、醫療器材產品及聲學器件、透過轉投資子公司經營餐飲</t>
  </si>
  <si>
    <t>背光模組及材料、液晶顯示器模組、LED照明、家電周邊、電子零組件</t>
  </si>
  <si>
    <t>華鎂鑫</t>
  </si>
  <si>
    <t>各類能源發電案場之開發、設計與工程服務、電廠資產管理及維運服務、儲能服務及再生能源售電</t>
  </si>
  <si>
    <t>記憶體模組積體電路快閃記憶體代工</t>
  </si>
  <si>
    <t>通訊設備</t>
  </si>
  <si>
    <t>半導體儀器及其設備之製造加工買賣業務（度量衡除外）、電腦及其週邊設備之買賣業務、電子（特許除外）、機械及其零件之買賣業務、</t>
  </si>
  <si>
    <t>工具機、治具磨床、數控立式磨床及儀器設計製造銷售、IC封裝模具兼精密零組件設計製造</t>
  </si>
  <si>
    <t>1﹑CC01110電腦及其週邊設備製造業2﹑F118010資訊軟體批發業、3﹑F218010資訊軟體零售業4﹑I301010資訊軟體服務業、5﹑F401021電信管制射頻器材輸入業6﹑ZZ99999</t>
  </si>
  <si>
    <t>行動通訊裝置零組件代理</t>
  </si>
  <si>
    <t>通訊設備、物聯網</t>
  </si>
  <si>
    <t>軟體/技術服務/教育訓練/工程44.85%、伺服器/儲存設備22.47%、個人電腦/週邊設備17.98%、通信系統/網路/資安10.02%、其他4.67%(資訊，通訊，網路，資安，軟體產品，專業服務)</t>
  </si>
  <si>
    <t>CC01080電子零組件製造業、CD01030汽車及其零件製造業、F401030製造輸出業</t>
  </si>
  <si>
    <t>各種電腦軟硬體及週邊設備暨零組件之製造、加工、買賣、各種交直流電源供應器轉換器電信器材及其零組件之製造加工買賣、資訊軟體服務業</t>
  </si>
  <si>
    <t>發光二極體指示燈、顯示器之製造及買賣業務、電子零件之製造及買賣業務</t>
  </si>
  <si>
    <t>軟性鐵氧磁粉磁鐵芯及其他有關電磁組件及其原物料製造及銷售、前項產品生產設備之設計，製造，加工及銷售、前各項有關產品進出口貿易業務及除許可業務外得經營法令許可業務</t>
  </si>
  <si>
    <t>連接器、電子構裝、模具</t>
  </si>
  <si>
    <t>電子零組件製造業、電子材料批發及零售業、國際貿易業</t>
  </si>
  <si>
    <t>儲能、電池模組、行動電源，電芯，其他</t>
  </si>
  <si>
    <t>無線網路產品</t>
  </si>
  <si>
    <t>1產銷石英振盪器、石英發振器、石英濾波器、陶瓷共振器等、2從事一般進出口業務(許可業務除外)、3CC01080電子零組件製造</t>
  </si>
  <si>
    <t>CC01080電子零組件製造業、CC01050資料儲存及處理設備製造業、一般進出口貿易(許可業務除外)、</t>
  </si>
  <si>
    <t>網路安全系統及設備、工業電腦，主要應用在IoT智動化、智慧監控、智慧醫療</t>
  </si>
  <si>
    <t>LCD膜片材料製造與銷售、BMC材料及成型品(汽車前車燈反射鏡、高鐵軌道預埋栓)、高機能工程塑膠材料及成型品</t>
  </si>
  <si>
    <t>整流二極體、電壓調節器，主要應用在汽車</t>
  </si>
  <si>
    <t>磁碟陣列78.32%、通訊及數位電子產品21.3%、微多孔透氣膜0.38%、記憶體%(CC01050資料儲存及處理設備製造業CC01080電子零組件製造業、F113050事務性機器設備批發業F213030事務性機器設備零售業、CB01020事務機器製造業F401010國際貿易業)</t>
  </si>
  <si>
    <t>微生物醫藥原料藥製造、銷售、買賣業、生化營養品製造、銷售、買賣業、預防醫學、動物保健銷售、買賣業</t>
  </si>
  <si>
    <t>資訊費收入95.47%、軟硬體設備銷貨收入4.02%、系統維護費收入0.35%、佣金收入0.15%、勞務服務收入0.01%(簡訊發送服務、行動裝置平台系統程式的開發與建置等業務、)</t>
  </si>
  <si>
    <t>銅箔電路基板及黏合膠片之製造加工、買賣業務、前項零配組件之製造加工買賣業務、前各項產品之進出口國內外廠商產品之代理經銷、(許可業務除外)</t>
  </si>
  <si>
    <t>NAND Flash控制IC、SSD及快閃記憶體模組</t>
  </si>
  <si>
    <t>商用置物設備系列製造加工買賣、置物架及功能架系列製造加工買賣、伸線加工買賣</t>
  </si>
  <si>
    <t>國際貿易業、螺絲、螺帽、螺絲釘及鉚釘等製品製造業、熱處理業、</t>
  </si>
  <si>
    <t>自黏標籤、自黏膠帶、離型紙和紙</t>
  </si>
  <si>
    <t>電解銅箔</t>
  </si>
  <si>
    <t>機械與精密零組件收入65.02%、工程收入34.98%(1精密零組件整合製造、2廠務系統工程、3鞋機生產銷售)</t>
  </si>
  <si>
    <t>廢棄物清除處理業務及貴金屬回收及處理業務、銅、錫、鎳、鋁之金屬五金加工業務、機械五金、電子零件、塑膠廢料、等之報廢材料買賣業務、</t>
  </si>
  <si>
    <t>印刷品100%(包裝盒、標籤印刷產品之製造加工買賣、名片、海報、書冊、信封等紙製品印刷之製造加工買賣、桌月曆、手提袋及前各項有關之進出口貿易業務、)</t>
  </si>
  <si>
    <t>西藥批發業、租賃業、管理顧問業</t>
  </si>
  <si>
    <t>智慧醫療、行動醫療</t>
  </si>
  <si>
    <t>熱轉印膜98.04%、製版收入1.94%、其他0.02%(印刷業、製版業、電腦及其週邊設備製造業)</t>
  </si>
  <si>
    <t>扣件買賣</t>
  </si>
  <si>
    <t>3D繪圖軟體(SOLIDWORKS)、3DCAD/CAM/CAE/CAID軟體銷售、PDM產品研發生產及銷售，顧問輔導與客製化服務</t>
  </si>
  <si>
    <t>8420</t>
  </si>
  <si>
    <t>明揚</t>
  </si>
  <si>
    <t>高爾夫球</t>
  </si>
  <si>
    <t>C805990其他塑膠品製造業、CB01010機械設備製造業、CQ01010模具製造業</t>
  </si>
  <si>
    <t>再生膠、橡膠粉、橡膠粒等再生橡膠產品之製造及銷售</t>
  </si>
  <si>
    <t>防火建材100%(矽酸鈣板、纖維水泥板製造及銷售)</t>
  </si>
  <si>
    <t>全球性高級精品名牌店之裝潢、客製化傢俱之製造銷售</t>
  </si>
  <si>
    <t>金屬表面處理服務</t>
  </si>
  <si>
    <t>西藥批發零售業</t>
  </si>
  <si>
    <t>流行髮飾梳子珠寶手袋及其他等進出口業務</t>
  </si>
  <si>
    <t>專業水處理應用與技術服務等項目</t>
  </si>
  <si>
    <t>保健食品76.91%、美容保養品10.41%(保健食品及保養品之研發、製造及銷售)</t>
  </si>
  <si>
    <t>教育諮詢、幼教用品銷售、幼教軟體銷售</t>
  </si>
  <si>
    <t>廢棄物清除處理業務</t>
  </si>
  <si>
    <t>塑合板與實木板材之專業製造及銷售、</t>
  </si>
  <si>
    <t>流行音樂之製作及發行、著作權授權、藝人演藝經紀</t>
  </si>
  <si>
    <t>劇集節目、電視節目、錄影節目帶、電影片之製作及發行、商品及肖像授權、商品銷售</t>
  </si>
  <si>
    <t>經營電機、電子零件代理經銷業務、工廠自動化設備銷售組裝製品業務、嵌入式電腦組裝製品業務</t>
  </si>
  <si>
    <t>經營服務業電子商務</t>
  </si>
  <si>
    <t>電子商務網路零售業</t>
  </si>
  <si>
    <t>數位學習內容產品、補習教育收入及其他</t>
  </si>
  <si>
    <t>冷凍肉品加工，銷售、冷凍冷藏庫租賃、營建業務</t>
  </si>
  <si>
    <t>印刷品100%(印刷)</t>
  </si>
  <si>
    <t>以導管供應氣體燃料、瓦斯計量器之製造租售業務、前各項器材設備之按裝維護及進出口代理、</t>
  </si>
  <si>
    <t>成衣、羽絨、寢具</t>
  </si>
  <si>
    <t>公用煤氣業、燃料導管安裝工程業</t>
  </si>
  <si>
    <t>各種印刷品之製造加工買賣、前項之藝術品買賣、各種印刷器材買賣業務</t>
  </si>
  <si>
    <t>出版</t>
  </si>
  <si>
    <t>高爾夫球具94.09%、自行車及其他5.91%(高爾夫球桿頭及其半成品之製造、委託加工、裝配及銷售、藝術鑄品(不銹鋼質及銅質)之製造加工及銷售、前述各項有關產品之進出口貿易業務)</t>
  </si>
  <si>
    <t>加油站供售汽柴油、汽機車之潤滑與保養等週邊油品零售、洗車、車輛用液化石油氣、除許可業務外，得經營法令非禁止或限制之業務</t>
  </si>
  <si>
    <t>高爾夫球桿頭</t>
  </si>
  <si>
    <t>成人紙尿褲等醫療保健用品之製造及買賣</t>
  </si>
  <si>
    <t>輕鋼架防火門之製造，買賣業務、經營有關進出口業務、各種機械之製造及買賣業務</t>
  </si>
  <si>
    <t>銷貨收入80.37%、勞務收入19.63%(汽電共生廠之經營，操作運轉管理及其設備之維修、汽電共生系統之設計管理顧問諮詢及設備之進出口諮詢、廢棄物清除處理及其設備安裝工程)</t>
  </si>
  <si>
    <t>智通</t>
  </si>
  <si>
    <t>各種拉鍊、拉鍊配件、拉鍊機零件之製造加工買賣、前項產品之進出口貿易、資訊軟體服務</t>
  </si>
  <si>
    <t>各種自行車、室內外運動車、童車、迷你踏板車及零件製造銷售、農業機械、汽機車、輪船、飛機等零件之製造加工及內外銷、有關工具之加工及買賣、</t>
  </si>
  <si>
    <t>運動器材射出零組件之設計、製造工程塑膠複合材料之開發、其他</t>
  </si>
  <si>
    <t>工程承攬(輸送水、大型淨水廠、水庫清淤、汙水處理、海水淡化)、管材</t>
  </si>
  <si>
    <t>生產機車(多功能休閒車)及其零件等買賣業務、生產電動機車(電動代步車)及其零件等買賣業務、生產其他交通運輸工具及其零件等買賣業務(沙灘車、殘障代步車)</t>
  </si>
  <si>
    <t>碳纖維預浸材料、碳維維製品(球桿、球頭)製造加工及買賣業務、航太工業所需「碳纖維布」之製造加工及買賣業務、前項有關產品之進出口貿易業務、</t>
  </si>
  <si>
    <t>一般進出口貿易業務(期貨除外)、瓦斯器材爐具及五金機械工具之買賣及製造、輸出入販賣度量衡器之買賣</t>
  </si>
  <si>
    <t>複合板材之製造買賣、塑膠板材塑膠條、其他及塑膠膜之製造加工及進出口買賣業務</t>
  </si>
  <si>
    <t>水晶玻璃藝品之設計加工製造買賣業務、水晶玻璃原料及其書籍之買賣業務、水晶玻璃藝品之諮詢顧問業務</t>
  </si>
  <si>
    <t>各種皮箱之製造加工及買賣、各種皮箱及其零件之製造加工及買賣、前項有關進出口業務</t>
  </si>
  <si>
    <t>汽窗窗簾、割草機</t>
  </si>
  <si>
    <t>高爾夫球相關產品銷售、電子商務</t>
  </si>
  <si>
    <t>不銹鋼品100%(不銹鋼製品熱處理，整平，裁剪，酸洗加工、各類鋼品之加工買賣業務、機械，五金買賣業務)</t>
  </si>
  <si>
    <t>3716</t>
    <phoneticPr fontId="8" type="noConversion"/>
  </si>
  <si>
    <t>中化控股</t>
    <phoneticPr fontId="8" type="noConversion"/>
  </si>
  <si>
    <t>藥品製造及買賣，包含西藥、動物用藥、家庭保健藥品</t>
    <phoneticPr fontId="8" type="noConversion"/>
  </si>
  <si>
    <t>6838</t>
    <phoneticPr fontId="8" type="noConversion"/>
  </si>
  <si>
    <t>台新藥</t>
    <phoneticPr fontId="8" type="noConversion"/>
  </si>
  <si>
    <t>台燿化學旗下，眼科、腫瘤科、抗感染用藥等治療領域的藥物開發廠</t>
    <phoneticPr fontId="8" type="noConversion"/>
  </si>
  <si>
    <t>6958</t>
    <phoneticPr fontId="8" type="noConversion"/>
  </si>
  <si>
    <t>日盛台駿</t>
    <phoneticPr fontId="8" type="noConversion"/>
  </si>
  <si>
    <t>車輛分期、設備融資租賃、長期租賃車為主要核心業務</t>
    <phoneticPr fontId="8" type="noConversion"/>
  </si>
  <si>
    <t>6739</t>
    <phoneticPr fontId="8" type="noConversion"/>
  </si>
  <si>
    <t>竹陞科技</t>
    <phoneticPr fontId="8" type="noConversion"/>
  </si>
  <si>
    <t>服務高科技產業製程設備的智能自動化系統</t>
    <phoneticPr fontId="8" type="noConversion"/>
  </si>
  <si>
    <t>6968</t>
    <phoneticPr fontId="8" type="noConversion"/>
  </si>
  <si>
    <t>萬達寵物</t>
    <phoneticPr fontId="8" type="noConversion"/>
  </si>
  <si>
    <t>寵物食品與用品銷售及寵物美容服務</t>
    <phoneticPr fontId="8" type="noConversion"/>
  </si>
  <si>
    <t>7584</t>
    <phoneticPr fontId="8" type="noConversion"/>
  </si>
  <si>
    <t>樂意</t>
    <phoneticPr fontId="8" type="noConversion"/>
  </si>
  <si>
    <t>電腦線上遊戲與手機遊戲代理</t>
    <phoneticPr fontId="8" type="noConversion"/>
  </si>
  <si>
    <t>2751</t>
    <phoneticPr fontId="8" type="noConversion"/>
  </si>
  <si>
    <t>王座</t>
    <phoneticPr fontId="8" type="noConversion"/>
  </si>
  <si>
    <t>代理國內外餐飲品牌及經營連鎖直營店為主要業務</t>
    <phoneticPr fontId="8" type="noConversion"/>
  </si>
  <si>
    <t>4772</t>
    <phoneticPr fontId="8" type="noConversion"/>
  </si>
  <si>
    <t>台特化</t>
    <phoneticPr fontId="8" type="noConversion"/>
  </si>
  <si>
    <t>從事半導體特氣(SEG)與半導體化學材料(SEC)之製造和買賣</t>
    <phoneticPr fontId="8" type="noConversion"/>
  </si>
  <si>
    <t>化工</t>
    <phoneticPr fontId="8" type="noConversion"/>
  </si>
  <si>
    <t>6967</t>
    <phoneticPr fontId="8" type="noConversion"/>
  </si>
  <si>
    <t>汎瑋材料</t>
    <phoneticPr fontId="8" type="noConversion"/>
  </si>
  <si>
    <t>各項點子產品所需之機能材料生產</t>
    <phoneticPr fontId="8" type="noConversion"/>
  </si>
  <si>
    <t>1294</t>
    <phoneticPr fontId="8" type="noConversion"/>
  </si>
  <si>
    <t>漢田生技</t>
    <phoneticPr fontId="8" type="noConversion"/>
  </si>
  <si>
    <t>從事生技食品、保健食品及漢方保養品之製造.買賣、代理業務</t>
    <phoneticPr fontId="8" type="noConversion"/>
  </si>
  <si>
    <t>食品</t>
    <phoneticPr fontId="8" type="noConversion"/>
  </si>
  <si>
    <t>6913</t>
    <phoneticPr fontId="8" type="noConversion"/>
  </si>
  <si>
    <t>鴻呈</t>
    <phoneticPr fontId="8" type="noConversion"/>
  </si>
  <si>
    <t>生產產品為連接線組及工程機能材料</t>
    <phoneticPr fontId="8" type="noConversion"/>
  </si>
  <si>
    <t>連接元件</t>
    <phoneticPr fontId="8" type="noConversion"/>
  </si>
  <si>
    <t>6873</t>
    <phoneticPr fontId="8" type="noConversion"/>
  </si>
  <si>
    <t>泓德能源</t>
    <phoneticPr fontId="8" type="noConversion"/>
  </si>
  <si>
    <t>電子下游-太陽能</t>
    <phoneticPr fontId="8" type="noConversion"/>
  </si>
  <si>
    <t>各類太陽能光電案場、除能按廠開發、設計與統包工程</t>
    <phoneticPr fontId="8" type="noConversion"/>
  </si>
  <si>
    <t>新能源</t>
    <phoneticPr fontId="8" type="noConversion"/>
  </si>
  <si>
    <t>6919</t>
    <phoneticPr fontId="8" type="noConversion"/>
  </si>
  <si>
    <t>康霈</t>
    <phoneticPr fontId="8" type="noConversion"/>
  </si>
  <si>
    <t>傳產-生技</t>
    <phoneticPr fontId="8" type="noConversion"/>
  </si>
  <si>
    <t>醫學美容及慢性發炎相關疾病領域的新藥開發</t>
    <phoneticPr fontId="8" type="noConversion"/>
  </si>
  <si>
    <t>新藥研發</t>
    <phoneticPr fontId="8" type="noConversion"/>
  </si>
  <si>
    <t>6923</t>
    <phoneticPr fontId="8" type="noConversion"/>
  </si>
  <si>
    <t>中台</t>
    <phoneticPr fontId="8" type="noConversion"/>
  </si>
  <si>
    <t>傳產-其他</t>
    <phoneticPr fontId="8" type="noConversion"/>
  </si>
  <si>
    <t>處理危害之事業廢棄物焚化業務</t>
    <phoneticPr fontId="8" type="noConversion"/>
  </si>
  <si>
    <t>ITH-KY</t>
  </si>
  <si>
    <t>6996</t>
    <phoneticPr fontId="8" type="noConversion"/>
  </si>
  <si>
    <t>力領科技</t>
    <phoneticPr fontId="8" type="noConversion"/>
  </si>
  <si>
    <t>6720</t>
    <phoneticPr fontId="8" type="noConversion"/>
  </si>
  <si>
    <t>久昌</t>
    <phoneticPr fontId="8" type="noConversion"/>
  </si>
  <si>
    <t>7722</t>
    <phoneticPr fontId="8" type="noConversion"/>
  </si>
  <si>
    <t>LINEPAY</t>
    <phoneticPr fontId="8" type="noConversion"/>
  </si>
  <si>
    <t>8045</t>
    <phoneticPr fontId="8" type="noConversion"/>
  </si>
  <si>
    <t>達運光電</t>
    <phoneticPr fontId="8" type="noConversion"/>
  </si>
  <si>
    <t>7714</t>
    <phoneticPr fontId="8" type="noConversion"/>
  </si>
  <si>
    <t>創泓科技</t>
    <phoneticPr fontId="8" type="noConversion"/>
  </si>
  <si>
    <t>軟體與韌體</t>
    <phoneticPr fontId="8" type="noConversion"/>
  </si>
  <si>
    <t>7715</t>
    <phoneticPr fontId="8" type="noConversion"/>
  </si>
  <si>
    <t>裕山</t>
    <phoneticPr fontId="8" type="noConversion"/>
  </si>
  <si>
    <t>6885</t>
    <phoneticPr fontId="8" type="noConversion"/>
  </si>
  <si>
    <t>全福生技</t>
    <phoneticPr fontId="8" type="noConversion"/>
  </si>
  <si>
    <t>7732</t>
    <phoneticPr fontId="8" type="noConversion"/>
  </si>
  <si>
    <t>金興精密</t>
    <phoneticPr fontId="8" type="noConversion"/>
  </si>
  <si>
    <t>汽機車零組件</t>
    <phoneticPr fontId="8" type="noConversion"/>
  </si>
  <si>
    <t>6931</t>
    <phoneticPr fontId="8" type="noConversion"/>
  </si>
  <si>
    <t>青松健康</t>
    <phoneticPr fontId="8" type="noConversion"/>
  </si>
  <si>
    <t>6994</t>
    <phoneticPr fontId="8" type="noConversion"/>
  </si>
  <si>
    <t>富威電力</t>
    <phoneticPr fontId="8" type="noConversion"/>
  </si>
  <si>
    <t>4749</t>
    <phoneticPr fontId="8" type="noConversion"/>
  </si>
  <si>
    <t>新應材</t>
    <phoneticPr fontId="8" type="noConversion"/>
  </si>
  <si>
    <t>2248</t>
    <phoneticPr fontId="8" type="noConversion"/>
  </si>
  <si>
    <t>華勝-KY</t>
    <phoneticPr fontId="8" type="noConversion"/>
  </si>
  <si>
    <t>6757</t>
    <phoneticPr fontId="8" type="noConversion"/>
  </si>
  <si>
    <t>台灣虎航</t>
    <phoneticPr fontId="8" type="noConversion"/>
  </si>
  <si>
    <t>航太</t>
    <phoneticPr fontId="8" type="noConversion"/>
  </si>
  <si>
    <t>6887</t>
    <phoneticPr fontId="8" type="noConversion"/>
  </si>
  <si>
    <t>寶綠特-KY</t>
    <phoneticPr fontId="8" type="noConversion"/>
  </si>
  <si>
    <t>6965</t>
    <phoneticPr fontId="8" type="noConversion"/>
  </si>
  <si>
    <t>中傑-KY</t>
    <phoneticPr fontId="8" type="noConversion"/>
  </si>
  <si>
    <t>7736</t>
    <phoneticPr fontId="8" type="noConversion"/>
  </si>
  <si>
    <t>虎山</t>
    <phoneticPr fontId="8" type="noConversion"/>
  </si>
  <si>
    <t>3467</t>
    <phoneticPr fontId="8" type="noConversion"/>
  </si>
  <si>
    <t>台灣精材</t>
    <phoneticPr fontId="8" type="noConversion"/>
  </si>
  <si>
    <t>6872</t>
    <phoneticPr fontId="8" type="noConversion"/>
  </si>
  <si>
    <t>浩宇生醫</t>
    <phoneticPr fontId="8" type="noConversion"/>
  </si>
  <si>
    <t>醫材</t>
    <phoneticPr fontId="8" type="noConversion"/>
  </si>
  <si>
    <t>6982</t>
    <phoneticPr fontId="8" type="noConversion"/>
  </si>
  <si>
    <t>大井泵浦</t>
    <phoneticPr fontId="8" type="noConversion"/>
  </si>
  <si>
    <t>電機</t>
    <phoneticPr fontId="8" type="noConversion"/>
  </si>
  <si>
    <t>6997</t>
    <phoneticPr fontId="8" type="noConversion"/>
  </si>
  <si>
    <t>博弘</t>
    <phoneticPr fontId="8" type="noConversion"/>
  </si>
  <si>
    <t>7704</t>
    <phoneticPr fontId="8" type="noConversion"/>
  </si>
  <si>
    <t>明遠精密</t>
    <phoneticPr fontId="8" type="noConversion"/>
  </si>
  <si>
    <t>儀器設備</t>
    <phoneticPr fontId="8" type="noConversion"/>
  </si>
  <si>
    <t>7709</t>
    <phoneticPr fontId="8" type="noConversion"/>
  </si>
  <si>
    <t>榮田</t>
    <phoneticPr fontId="8" type="noConversion"/>
  </si>
  <si>
    <t>7712</t>
    <phoneticPr fontId="8" type="noConversion"/>
  </si>
  <si>
    <t>博盛半導體</t>
    <phoneticPr fontId="8" type="noConversion"/>
  </si>
  <si>
    <t>功率半導體</t>
    <phoneticPr fontId="8" type="noConversion"/>
  </si>
  <si>
    <t>7713</t>
    <phoneticPr fontId="8" type="noConversion"/>
  </si>
  <si>
    <t>威力德生醫</t>
    <phoneticPr fontId="8" type="noConversion"/>
  </si>
  <si>
    <t>7718</t>
    <phoneticPr fontId="8" type="noConversion"/>
  </si>
  <si>
    <t>友鋮</t>
    <phoneticPr fontId="8" type="noConversion"/>
  </si>
  <si>
    <t>7728</t>
    <phoneticPr fontId="8" type="noConversion"/>
  </si>
  <si>
    <t>光焱科技</t>
    <phoneticPr fontId="8" type="noConversion"/>
  </si>
  <si>
    <t>7734</t>
    <phoneticPr fontId="8" type="noConversion"/>
  </si>
  <si>
    <t>印能科技</t>
    <phoneticPr fontId="8" type="noConversion"/>
  </si>
  <si>
    <t>7723</t>
    <phoneticPr fontId="8" type="noConversion"/>
  </si>
  <si>
    <t>築間</t>
    <phoneticPr fontId="8" type="noConversion"/>
  </si>
  <si>
    <t>6936</t>
    <phoneticPr fontId="8" type="noConversion"/>
  </si>
  <si>
    <t>永鴻生技</t>
    <phoneticPr fontId="8" type="noConversion"/>
  </si>
  <si>
    <t>6597</t>
    <phoneticPr fontId="8" type="noConversion"/>
  </si>
  <si>
    <t>立誠</t>
    <phoneticPr fontId="8" type="noConversion"/>
  </si>
  <si>
    <t>LED</t>
    <phoneticPr fontId="8" type="noConversion"/>
  </si>
  <si>
    <t>7743</t>
    <phoneticPr fontId="8" type="noConversion"/>
  </si>
  <si>
    <t>金利食安</t>
    <phoneticPr fontId="8" type="noConversion"/>
  </si>
  <si>
    <t>6498</t>
    <phoneticPr fontId="8" type="noConversion"/>
  </si>
  <si>
    <t>久禾光</t>
    <phoneticPr fontId="8" type="noConversion"/>
  </si>
  <si>
    <t>光學鏡片</t>
    <phoneticPr fontId="8" type="noConversion"/>
  </si>
  <si>
    <t>7642</t>
    <phoneticPr fontId="8" type="noConversion"/>
  </si>
  <si>
    <t>昶瑞機電</t>
    <phoneticPr fontId="8" type="noConversion"/>
  </si>
  <si>
    <t>1295</t>
    <phoneticPr fontId="8" type="noConversion"/>
  </si>
  <si>
    <t>生合</t>
    <phoneticPr fontId="8" type="noConversion"/>
  </si>
  <si>
    <t>6925</t>
    <phoneticPr fontId="8" type="noConversion"/>
  </si>
  <si>
    <t>意藍</t>
    <phoneticPr fontId="8" type="noConversion"/>
  </si>
  <si>
    <t>6909</t>
    <phoneticPr fontId="8" type="noConversion"/>
  </si>
  <si>
    <t>創控</t>
    <phoneticPr fontId="8" type="noConversion"/>
  </si>
  <si>
    <t>半導體設備</t>
    <phoneticPr fontId="8" type="noConversion"/>
  </si>
  <si>
    <t>6944</t>
    <phoneticPr fontId="8" type="noConversion"/>
  </si>
  <si>
    <t>兆聯實業</t>
    <phoneticPr fontId="8" type="noConversion"/>
  </si>
  <si>
    <t>6902</t>
    <phoneticPr fontId="8" type="noConversion"/>
  </si>
  <si>
    <t>gogolook</t>
    <phoneticPr fontId="8" type="noConversion"/>
  </si>
  <si>
    <t>6918</t>
    <phoneticPr fontId="8" type="noConversion"/>
  </si>
  <si>
    <t>愛派司</t>
    <phoneticPr fontId="8" type="noConversion"/>
  </si>
  <si>
    <t>7749</t>
    <phoneticPr fontId="8" type="noConversion"/>
  </si>
  <si>
    <t>意騰-KY</t>
    <phoneticPr fontId="8" type="noConversion"/>
  </si>
  <si>
    <t>IP</t>
    <phoneticPr fontId="8" type="noConversion"/>
  </si>
  <si>
    <t>7747</t>
    <phoneticPr fontId="8" type="noConversion"/>
  </si>
  <si>
    <t>昕奇雲端</t>
    <phoneticPr fontId="13" type="noConversion"/>
  </si>
  <si>
    <t>7721</t>
    <phoneticPr fontId="8" type="noConversion"/>
  </si>
  <si>
    <t>微程式</t>
    <phoneticPr fontId="8" type="noConversion"/>
  </si>
  <si>
    <t>7547</t>
    <phoneticPr fontId="8" type="noConversion"/>
  </si>
  <si>
    <t>碩網</t>
    <phoneticPr fontId="8" type="noConversion"/>
  </si>
  <si>
    <t>未分類-電子</t>
  </si>
  <si>
    <t>大研生醫</t>
  </si>
  <si>
    <t>未分類-傳產</t>
  </si>
  <si>
    <t>Yes</t>
  </si>
  <si>
    <t>1560</t>
    <phoneticPr fontId="2" type="noConversion"/>
  </si>
  <si>
    <t>1773</t>
    <phoneticPr fontId="2" type="noConversion"/>
  </si>
  <si>
    <t>1785</t>
    <phoneticPr fontId="2" type="noConversion"/>
  </si>
  <si>
    <t>2404</t>
    <phoneticPr fontId="2" type="noConversion"/>
  </si>
  <si>
    <t>2464</t>
    <phoneticPr fontId="2" type="noConversion"/>
  </si>
  <si>
    <t>2467</t>
    <phoneticPr fontId="2" type="noConversion"/>
  </si>
  <si>
    <t>2535</t>
    <phoneticPr fontId="2" type="noConversion"/>
  </si>
  <si>
    <t>6239</t>
    <phoneticPr fontId="2" type="noConversion"/>
  </si>
  <si>
    <t>9933</t>
    <phoneticPr fontId="2" type="noConversion"/>
  </si>
  <si>
    <t>8234</t>
    <phoneticPr fontId="2" type="noConversion"/>
  </si>
  <si>
    <t>5434</t>
    <phoneticPr fontId="2" type="noConversion"/>
  </si>
  <si>
    <t>工程顧問</t>
    <phoneticPr fontId="2" type="noConversion"/>
  </si>
  <si>
    <t>工業電腦</t>
    <phoneticPr fontId="2" type="noConversion"/>
  </si>
  <si>
    <t>半導體材料</t>
    <phoneticPr fontId="2" type="noConversion"/>
  </si>
  <si>
    <t>6532</t>
    <phoneticPr fontId="2" type="noConversion"/>
  </si>
  <si>
    <t>半導體材料通路商</t>
    <phoneticPr fontId="2" type="noConversion"/>
  </si>
  <si>
    <t>3167</t>
    <phoneticPr fontId="2" type="noConversion"/>
  </si>
  <si>
    <t>3580</t>
    <phoneticPr fontId="2" type="noConversion"/>
  </si>
  <si>
    <t>3131</t>
    <phoneticPr fontId="2" type="noConversion"/>
  </si>
  <si>
    <t>5443</t>
    <phoneticPr fontId="2" type="noConversion"/>
  </si>
  <si>
    <t>3583</t>
    <phoneticPr fontId="2" type="noConversion"/>
  </si>
  <si>
    <t>6438</t>
    <phoneticPr fontId="2" type="noConversion"/>
  </si>
  <si>
    <t>3413</t>
    <phoneticPr fontId="2" type="noConversion"/>
  </si>
  <si>
    <t>8064</t>
    <phoneticPr fontId="2" type="noConversion"/>
  </si>
  <si>
    <t>6667</t>
    <phoneticPr fontId="2" type="noConversion"/>
  </si>
  <si>
    <t>6909</t>
    <phoneticPr fontId="2" type="noConversion"/>
  </si>
  <si>
    <t>8027</t>
    <phoneticPr fontId="2" type="noConversion"/>
  </si>
  <si>
    <t>7556</t>
    <phoneticPr fontId="2" type="noConversion"/>
  </si>
  <si>
    <t>6187</t>
    <phoneticPr fontId="2" type="noConversion"/>
  </si>
  <si>
    <t>6664</t>
    <phoneticPr fontId="2" type="noConversion"/>
  </si>
  <si>
    <t>7703</t>
    <phoneticPr fontId="2" type="noConversion"/>
  </si>
  <si>
    <t>半導體設備</t>
    <phoneticPr fontId="2" type="noConversion"/>
  </si>
  <si>
    <t>光罩/光罩版</t>
    <phoneticPr fontId="2" type="noConversion"/>
  </si>
  <si>
    <t>3363</t>
    <phoneticPr fontId="2" type="noConversion"/>
  </si>
  <si>
    <t>7734</t>
    <phoneticPr fontId="2" type="noConversion"/>
  </si>
  <si>
    <t>6215</t>
    <phoneticPr fontId="2" type="noConversion"/>
  </si>
  <si>
    <t>3147</t>
    <phoneticPr fontId="2" type="noConversion"/>
  </si>
  <si>
    <t>光纖被動元件</t>
    <phoneticPr fontId="2" type="noConversion"/>
  </si>
  <si>
    <t>自動化系統解決方案</t>
    <phoneticPr fontId="2" type="noConversion"/>
  </si>
  <si>
    <t>自動化設備</t>
    <phoneticPr fontId="2" type="noConversion"/>
  </si>
  <si>
    <t>系統整合</t>
    <phoneticPr fontId="2" type="noConversion"/>
  </si>
  <si>
    <t>3532</t>
    <phoneticPr fontId="2" type="noConversion"/>
  </si>
  <si>
    <t>6182</t>
    <phoneticPr fontId="2" type="noConversion"/>
  </si>
  <si>
    <t>8028</t>
    <phoneticPr fontId="2" type="noConversion"/>
  </si>
  <si>
    <t>6488</t>
    <phoneticPr fontId="2" type="noConversion"/>
  </si>
  <si>
    <t>矽晶圓</t>
    <phoneticPr fontId="2" type="noConversion"/>
  </si>
  <si>
    <t>6640</t>
    <phoneticPr fontId="2" type="noConversion"/>
  </si>
  <si>
    <t>7769</t>
    <phoneticPr fontId="2" type="noConversion"/>
  </si>
  <si>
    <t>封測設備</t>
    <phoneticPr fontId="2" type="noConversion"/>
  </si>
  <si>
    <t>6515</t>
    <phoneticPr fontId="2" type="noConversion"/>
  </si>
  <si>
    <t>6223</t>
    <phoneticPr fontId="2" type="noConversion"/>
  </si>
  <si>
    <t>6643</t>
    <phoneticPr fontId="2" type="noConversion"/>
  </si>
  <si>
    <t>3529</t>
    <phoneticPr fontId="2" type="noConversion"/>
  </si>
  <si>
    <t>探針</t>
    <phoneticPr fontId="2" type="noConversion"/>
  </si>
  <si>
    <t>IP</t>
    <phoneticPr fontId="2" type="noConversion"/>
  </si>
  <si>
    <t>8383</t>
    <phoneticPr fontId="2" type="noConversion"/>
  </si>
  <si>
    <t>6196</t>
    <phoneticPr fontId="2" type="noConversion"/>
  </si>
  <si>
    <t>6139</t>
    <phoneticPr fontId="2" type="noConversion"/>
  </si>
  <si>
    <t>6691</t>
    <phoneticPr fontId="2" type="noConversion"/>
  </si>
  <si>
    <t>5536</t>
    <phoneticPr fontId="2" type="noConversion"/>
  </si>
  <si>
    <t>3402</t>
    <phoneticPr fontId="2" type="noConversion"/>
  </si>
  <si>
    <t>廠務工程</t>
    <phoneticPr fontId="2" type="noConversion"/>
  </si>
  <si>
    <t>4755</t>
    <phoneticPr fontId="2" type="noConversion"/>
  </si>
  <si>
    <t>4772</t>
    <phoneticPr fontId="2" type="noConversion"/>
  </si>
  <si>
    <t>4749</t>
    <phoneticPr fontId="2" type="noConversion"/>
  </si>
  <si>
    <t>半導體化學品</t>
    <phoneticPr fontId="2" type="noConversion"/>
  </si>
  <si>
    <t>3010</t>
    <phoneticPr fontId="2" type="noConversion"/>
  </si>
  <si>
    <t>6830</t>
    <phoneticPr fontId="2" type="noConversion"/>
  </si>
  <si>
    <t>3289</t>
    <phoneticPr fontId="2" type="noConversion"/>
  </si>
  <si>
    <t>3587</t>
    <phoneticPr fontId="2" type="noConversion"/>
  </si>
  <si>
    <t>4306</t>
    <phoneticPr fontId="2" type="noConversion"/>
  </si>
  <si>
    <t>檢測驗證</t>
    <phoneticPr fontId="2" type="noConversion"/>
  </si>
  <si>
    <t>通訊晶片代工</t>
    <phoneticPr fontId="2" type="noConversion"/>
  </si>
  <si>
    <t>節點ID</t>
  </si>
  <si>
    <t>順序</t>
  </si>
  <si>
    <t>IC設計軟體</t>
  </si>
  <si>
    <t>設計IP</t>
  </si>
  <si>
    <t>矽晶圓</t>
  </si>
  <si>
    <t>IC封裝</t>
  </si>
  <si>
    <t>導線架</t>
  </si>
  <si>
    <t>BGA基板</t>
  </si>
  <si>
    <t>IC基板</t>
  </si>
  <si>
    <t>類比IC</t>
  </si>
  <si>
    <t>世界先進</t>
  </si>
  <si>
    <t>2325</t>
  </si>
  <si>
    <t>矽品</t>
  </si>
  <si>
    <t>source</t>
  </si>
  <si>
    <t>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</si>
</sst>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font>
      <sz val="11"/>
      <color theme="1"/>
      <name val="新細明體"/>
      <family val="2"/>
      <scheme val="minor"/>
    </font>
    <font>
      <b/>
      <sz val="11"/>
      <name val="新細明體"/>
      <family val="1"/>
      <charset val="136"/>
    </font>
    <font>
      <sz val="9"/>
      <name val="新細明體"/>
      <family val="3"/>
      <charset val="136"/>
      <scheme val="minor"/>
    </font>
    <font>
      <sz val="12"/>
      <color theme="0"/>
      <name val="新細明體"/>
      <family val="2"/>
      <charset val="136"/>
      <scheme val="minor"/>
    </font>
    <font>
      <sz val="11"/>
      <color indexed="23"/>
      <name val="新細明體"/>
      <family val="2"/>
      <scheme val="minor"/>
    </font>
    <font>
      <sz val="11"/>
      <name val="新細明體"/>
      <family val="2"/>
      <scheme val="minor"/>
    </font>
    <font>
      <b/>
      <sz val="12"/>
      <color theme="1"/>
      <name val="微軟正黑體"/>
      <family val="2"/>
      <charset val="136"/>
    </font>
    <font>
      <sz val="12"/>
      <color theme="0"/>
      <name val="新細明體"/>
      <family val="1"/>
      <charset val="136"/>
      <scheme val="minor"/>
    </font>
    <font>
      <sz val="9"/>
      <name val="新細明體"/>
      <family val="2"/>
      <charset val="136"/>
      <scheme val="minor"/>
    </font>
    <font>
      <sz val="12"/>
      <color theme="1"/>
      <name val="微軟正黑體"/>
      <family val="2"/>
      <charset val="136"/>
    </font>
    <font>
      <sz val="12"/>
      <color theme="1"/>
      <name val="新細明體"/>
      <family val="1"/>
      <charset val="136"/>
      <scheme val="minor"/>
    </font>
    <font>
      <b/>
      <sz val="12"/>
      <color theme="1"/>
      <name val="Microsoft JhengHei"/>
      <family val="2"/>
    </font>
    <font>
      <b/>
      <sz val="12"/>
      <color theme="1"/>
      <name val="Microsoft JhengHei"/>
      <family val="2"/>
      <charset val="136"/>
    </font>
    <font>
      <sz val="9"/>
      <name val="新細明體"/>
      <family val="1"/>
      <charset val="136"/>
    </font>
  </fonts>
  <fills count="14">
    <fill>
      <patternFill patternType="none"/>
    </fill>
    <fill>
      <patternFill patternType="gray125"/>
    </fill>
    <fill>
      <patternFill patternType="solid">
        <fgColor theme="8" tint="0.79998168889431442"/>
        <bgColor indexed="64"/>
      </patternFill>
    </fill>
    <fill>
      <patternFill patternType="solid">
        <fgColor theme="4" tint="0.59999389629810485"/>
        <bgColor indexed="64"/>
      </patternFill>
    </fill>
    <fill>
      <patternFill patternType="solid">
        <fgColor theme="0" tint="-0.499984740745262"/>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rgb="FFFF0000"/>
        <bgColor indexed="64"/>
      </patternFill>
    </fill>
    <fill>
      <patternFill patternType="solid">
        <fgColor theme="5" tint="-0.249977111117893"/>
        <bgColor indexed="64"/>
      </patternFill>
    </fill>
    <fill>
      <patternFill patternType="solid">
        <fgColor theme="1" tint="4.9989318521683403E-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0" borderId="1" xfId="0" applyFont="1" applyBorder="1" applyAlignment="1">
      <alignment horizontal="center" vertical="top"/>
    </xf>
    <xf numFmtId="49" fontId="0" fillId="0" borderId="0" xfId="0" applyNumberFormat="1"/>
    <xf numFmtId="0" fontId="4" fillId="0" borderId="0" xfId="0" applyFont="1"/>
    <xf numFmtId="0" fontId="5" fillId="0" borderId="0" xfId="0" applyFont="1"/>
    <xf numFmtId="49" fontId="0" fillId="0" borderId="0" xfId="0" applyNumberFormat="1" applyAlignment="1">
      <alignment vertical="center"/>
    </xf>
    <xf numFmtId="0" fontId="0" fillId="2" borderId="1" xfId="0" applyFill="1" applyBorder="1" applyAlignment="1">
      <alignment vertical="center"/>
    </xf>
    <xf numFmtId="0" fontId="0" fillId="0" borderId="0" xfId="0" applyAlignment="1">
      <alignment vertical="center"/>
    </xf>
    <xf numFmtId="49" fontId="6" fillId="3" borderId="2" xfId="0" applyNumberFormat="1"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4" borderId="1" xfId="0" applyFont="1" applyFill="1" applyBorder="1" applyAlignment="1">
      <alignment vertical="center" wrapText="1"/>
    </xf>
    <xf numFmtId="0" fontId="6" fillId="5" borderId="1" xfId="0" applyFont="1" applyFill="1" applyBorder="1" applyAlignment="1">
      <alignment vertical="center" wrapText="1"/>
    </xf>
    <xf numFmtId="0" fontId="6"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7" borderId="1" xfId="0" applyFill="1" applyBorder="1" applyAlignment="1">
      <alignment vertical="center"/>
    </xf>
    <xf numFmtId="0" fontId="6" fillId="8" borderId="1" xfId="0" applyFont="1" applyFill="1" applyBorder="1" applyAlignment="1">
      <alignment horizontal="center" vertical="center" wrapText="1"/>
    </xf>
    <xf numFmtId="0" fontId="3" fillId="9" borderId="0" xfId="0" applyFont="1" applyFill="1" applyAlignment="1">
      <alignment vertical="center"/>
    </xf>
    <xf numFmtId="0" fontId="7" fillId="9" borderId="0" xfId="0" applyFont="1" applyFill="1" applyAlignment="1">
      <alignment vertical="center"/>
    </xf>
    <xf numFmtId="49" fontId="6" fillId="2" borderId="2" xfId="0" applyNumberFormat="1" applyFont="1" applyFill="1" applyBorder="1" applyAlignment="1">
      <alignment horizontal="right" vertical="center" shrinkToFit="1"/>
    </xf>
    <xf numFmtId="0" fontId="6" fillId="2" borderId="3" xfId="0" applyFont="1" applyFill="1" applyBorder="1" applyAlignment="1">
      <alignment vertical="center" shrinkToFit="1"/>
    </xf>
    <xf numFmtId="0" fontId="9" fillId="10" borderId="1" xfId="0" applyFont="1" applyFill="1" applyBorder="1" applyAlignment="1">
      <alignment vertical="center" shrinkToFit="1"/>
    </xf>
    <xf numFmtId="0" fontId="9" fillId="11" borderId="1" xfId="0" applyFont="1" applyFill="1" applyBorder="1" applyAlignment="1">
      <alignment vertical="center"/>
    </xf>
    <xf numFmtId="14" fontId="9" fillId="11" borderId="1" xfId="0" applyNumberFormat="1" applyFont="1" applyFill="1" applyBorder="1" applyAlignment="1">
      <alignment vertical="center" shrinkToFit="1"/>
    </xf>
    <xf numFmtId="0" fontId="6" fillId="12" borderId="1" xfId="0" applyFont="1" applyFill="1" applyBorder="1" applyAlignment="1">
      <alignment vertical="center" shrinkToFit="1"/>
    </xf>
    <xf numFmtId="0" fontId="9" fillId="13" borderId="1" xfId="0" applyFont="1" applyFill="1" applyBorder="1" applyAlignment="1">
      <alignment vertical="center" shrinkToFit="1"/>
    </xf>
    <xf numFmtId="0" fontId="10" fillId="7" borderId="1" xfId="0" applyFont="1" applyFill="1" applyBorder="1" applyAlignment="1">
      <alignment vertical="center" wrapText="1"/>
    </xf>
    <xf numFmtId="0" fontId="0" fillId="7" borderId="1" xfId="0" applyFill="1" applyBorder="1" applyAlignment="1">
      <alignment vertical="center" wrapText="1"/>
    </xf>
    <xf numFmtId="0" fontId="11" fillId="2" borderId="3" xfId="0" applyFont="1" applyFill="1" applyBorder="1" applyAlignment="1">
      <alignment vertical="center" shrinkToFit="1"/>
    </xf>
    <xf numFmtId="0" fontId="12" fillId="2" borderId="3" xfId="0" applyFont="1" applyFill="1" applyBorder="1" applyAlignment="1">
      <alignment vertical="center" shrinkToFit="1"/>
    </xf>
    <xf numFmtId="0" fontId="0" fillId="0" borderId="0" xfId="0" applyNumberFormat="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8"/>
  <sheetViews>
    <sheetView workbookViewId="0">
      <selection sqref="A1:XFD1048576"/>
    </sheetView>
  </sheetViews>
  <sheetFormatPr defaultRowHeight="14.5"/>
  <cols>
    <col min="4" max="7" width="37.8984375" customWidth="1"/>
    <col min="8" max="15" width="28.8984375" customWidth="1"/>
    <col min="16" max="16" width="19.3984375" customWidth="1"/>
  </cols>
  <sheetData>
    <row r="1" spans="1:16">
      <c r="A1" s="1" t="s">
        <v>0</v>
      </c>
      <c r="B1" s="1" t="s">
        <v>1</v>
      </c>
      <c r="C1" s="1" t="s">
        <v>2</v>
      </c>
      <c r="D1" s="1" t="str">
        <f>營收表現!C$3</f>
        <v>202508單月合併營收月變動(%)</v>
      </c>
      <c r="E1" s="1" t="str">
        <f>營收表現!D$3</f>
        <v>202509單月合併營收月變動(%)</v>
      </c>
      <c r="F1" s="1" t="str">
        <f>營收表現!E$3</f>
        <v>202510單月合併營收月變動(%)</v>
      </c>
      <c r="G1" s="1" t="str">
        <f>營收表現!F$3</f>
        <v>202511單月合併營收月變動(%)</v>
      </c>
      <c r="H1" s="1" t="str">
        <f>營收表現!G$3</f>
        <v>202512單月合併營收月變動(%)</v>
      </c>
      <c r="I1" s="1" t="str">
        <f>營收表現!H$3</f>
        <v>202601單月合併營收月變動(%)</v>
      </c>
      <c r="J1" s="1" t="str">
        <f>營收表現!I$3</f>
        <v>202508單月合併營收年成長(%)</v>
      </c>
      <c r="K1" s="1" t="str">
        <f>營收表現!J$3</f>
        <v>202509單月合併營收年成長(%)</v>
      </c>
      <c r="L1" s="1" t="str">
        <f>營收表現!K$3</f>
        <v>202510單月合併營收年成長(%)</v>
      </c>
      <c r="M1" s="1" t="str">
        <f>營收表現!L$3</f>
        <v>202511單月合併營收年成長(%)</v>
      </c>
      <c r="N1" s="1" t="str">
        <f>營收表現!M$3</f>
        <v>202512單月合併營收年成長(%)</v>
      </c>
      <c r="O1" s="1" t="str">
        <f>營收表現!N$3</f>
        <v>202601單月合併營收年成長(%)</v>
      </c>
      <c r="P1" s="1"/>
    </row>
    <row r="2" spans="1:16">
      <c r="A2" s="2" t="s">
        <v>5783</v>
      </c>
      <c r="B2" t="str">
        <f>IFERROR(INDEX(營收表現!B$6:B$3000,MATCH($A2,營收表現!$A$6:$A$3000,0)),"")</f>
        <v>台積電</v>
      </c>
      <c r="C2" t="str">
        <f>IFERROR(INDEX(類別!G$4:G$3000,MATCH($A2,類別!$C$4:$C$3000,0)),"")</f>
        <v>IC代工</v>
      </c>
      <c r="D2">
        <f>IFERROR(IF(INDEX(營收表現!C$6:C$3000,MATCH($A2,營收表現!$A$6:$A$3000,0))="","",INDEX(營收表現!C$6:C$3000,MATCH($A2,營收表現!$A$6:$A$3000,0))),"")</f>
        <v>3.9</v>
      </c>
      <c r="E2">
        <f>IFERROR(IF(INDEX(營收表現!D$6:D$3000,MATCH($A2,營收表現!$A$6:$A$3000,0))="","",INDEX(營收表現!D$6:D$3000,MATCH($A2,營收表現!$A$6:$A$3000,0))),"")</f>
        <v>-1.43</v>
      </c>
      <c r="F2">
        <f>IFERROR(IF(INDEX(營收表現!E$6:E$3000,MATCH($A2,營收表現!$A$6:$A$3000,0))="","",INDEX(營收表現!E$6:E$3000,MATCH($A2,營收表現!$A$6:$A$3000,0))),"")</f>
        <v>11.03</v>
      </c>
      <c r="G2">
        <f>IFERROR(IF(INDEX(營收表現!F$6:F$3000,MATCH($A2,營收表現!$A$6:$A$3000,0))="","",INDEX(營收表現!F$6:F$3000,MATCH($A2,營收表現!$A$6:$A$3000,0))),"")</f>
        <v>-6.49</v>
      </c>
      <c r="H2">
        <f>IFERROR(IF(INDEX(營收表現!G$6:G$3000,MATCH($A2,營收表現!$A$6:$A$3000,0))="","",INDEX(營收表現!G$6:G$3000,MATCH($A2,營收表現!$A$6:$A$3000,0))),"")</f>
        <v>-2.5099999999999998</v>
      </c>
      <c r="I2">
        <f>IFERROR(IF(INDEX(營收表現!H$6:H$3000,MATCH($A2,營收表現!$A$6:$A$3000,0))="","",INDEX(營收表現!H$6:H$3000,MATCH($A2,營收表現!$A$6:$A$3000,0))),"")</f>
        <v>19.78</v>
      </c>
      <c r="J2">
        <f>IFERROR(IF(INDEX(營收表現!I$6:I$3000,MATCH($A2,營收表現!$A$6:$A$3000,0))="","",INDEX(營收表現!I$6:I$3000,MATCH($A2,營收表現!$A$6:$A$3000,0))),"")</f>
        <v>33.840000000000003</v>
      </c>
      <c r="K2">
        <f>IFERROR(IF(INDEX(營收表現!J$6:J$3000,MATCH($A2,營收表現!$A$6:$A$3000,0))="","",INDEX(營收表現!J$6:J$3000,MATCH($A2,營收表現!$A$6:$A$3000,0))),"")</f>
        <v>31.41</v>
      </c>
      <c r="L2">
        <f>IFERROR(IF(INDEX(營收表現!K$6:K$3000,MATCH($A2,營收表現!$A$6:$A$3000,0))="","",INDEX(營收表現!K$6:K$3000,MATCH($A2,營收表現!$A$6:$A$3000,0))),"")</f>
        <v>16.940000000000001</v>
      </c>
      <c r="M2">
        <f>IFERROR(IF(INDEX(營收表現!L$6:L$3000,MATCH($A2,營收表現!$A$6:$A$3000,0))="","",INDEX(營收表現!L$6:L$3000,MATCH($A2,營收表現!$A$6:$A$3000,0))),"")</f>
        <v>24.47</v>
      </c>
      <c r="N2">
        <f>IFERROR(IF(INDEX(營收表現!M$6:M$3000,MATCH($A2,營收表現!$A$6:$A$3000,0))="","",INDEX(營收表現!M$6:M$3000,MATCH($A2,營收表現!$A$6:$A$3000,0))),"")</f>
        <v>20.43</v>
      </c>
      <c r="O2">
        <f>IF(INDEX(營收表現!N$6:N$3000,MATCH($A2,營收表現!$A$6:$A$3000,0))="","",INDEX(營收表現!N$6:N$3000,MATCH($A2,營收表現!$A$6:$A$3000,0)))</f>
        <v>36.81</v>
      </c>
    </row>
    <row r="3" spans="1:16">
      <c r="A3" s="2" t="s">
        <v>5784</v>
      </c>
      <c r="B3" t="str">
        <f>IFERROR(INDEX(營收表現!B$6:B$3000,MATCH($A3,營收表現!$A$6:$A$3000,0)),"")</f>
        <v>聯發科</v>
      </c>
      <c r="C3" t="str">
        <f>IFERROR(INDEX(類別!G$4:G$3000,MATCH($A3,類別!$C$4:$C$3000,0)),"")</f>
        <v>網通IC</v>
      </c>
      <c r="D3">
        <f>IFERROR(IF(INDEX(營收表現!C$6:C$3000,MATCH($A3,營收表現!$A$6:$A$3000,0))="","",INDEX(營收表現!C$6:C$3000,MATCH($A3,營收表現!$A$6:$A$3000,0))),"")</f>
        <v>3.07</v>
      </c>
      <c r="E3">
        <f>IFERROR(IF(INDEX(營收表現!D$6:D$3000,MATCH($A3,營收表現!$A$6:$A$3000,0))="","",INDEX(營收表現!D$6:D$3000,MATCH($A3,營收表現!$A$6:$A$3000,0))),"")</f>
        <v>21.96</v>
      </c>
      <c r="F3">
        <f>IFERROR(IF(INDEX(營收表現!E$6:E$3000,MATCH($A3,營收表現!$A$6:$A$3000,0))="","",INDEX(營收表現!E$6:E$3000,MATCH($A3,營收表現!$A$6:$A$3000,0))),"")</f>
        <v>-4.24</v>
      </c>
      <c r="G3">
        <f>IFERROR(IF(INDEX(營收表現!F$6:F$3000,MATCH($A3,營收表現!$A$6:$A$3000,0))="","",INDEX(營收表現!F$6:F$3000,MATCH($A3,營收表現!$A$6:$A$3000,0))),"")</f>
        <v>-9.86</v>
      </c>
      <c r="H3">
        <f>IFERROR(IF(INDEX(營收表現!G$6:G$3000,MATCH($A3,營收表現!$A$6:$A$3000,0))="","",INDEX(營收表現!G$6:G$3000,MATCH($A3,營收表現!$A$6:$A$3000,0))),"")</f>
        <v>9.32</v>
      </c>
      <c r="I3" t="str">
        <f>IFERROR(IF(INDEX(營收表現!H$6:H$3000,MATCH($A3,營收表現!$A$6:$A$3000,0))="","",INDEX(營收表現!H$6:H$3000,MATCH($A3,營收表現!$A$6:$A$3000,0))),"")</f>
        <v/>
      </c>
      <c r="J3">
        <f>IFERROR(IF(INDEX(營收表現!I$6:I$3000,MATCH($A3,營收表現!$A$6:$A$3000,0))="","",INDEX(營收表現!I$6:I$3000,MATCH($A3,營收表現!$A$6:$A$3000,0))),"")</f>
        <v>7.27</v>
      </c>
      <c r="K3">
        <f>IFERROR(IF(INDEX(營收表現!J$6:J$3000,MATCH($A3,營收表現!$A$6:$A$3000,0))="","",INDEX(營收表現!J$6:J$3000,MATCH($A3,營收表現!$A$6:$A$3000,0))),"")</f>
        <v>21.61</v>
      </c>
      <c r="L3">
        <f>IFERROR(IF(INDEX(營收表現!K$6:K$3000,MATCH($A3,營收表現!$A$6:$A$3000,0))="","",INDEX(營收表現!K$6:K$3000,MATCH($A3,營收表現!$A$6:$A$3000,0))),"")</f>
        <v>1.78</v>
      </c>
      <c r="M3">
        <f>IFERROR(IF(INDEX(營收表現!L$6:L$3000,MATCH($A3,營收表現!$A$6:$A$3000,0))="","",INDEX(營收表現!L$6:L$3000,MATCH($A3,營收表現!$A$6:$A$3000,0))),"")</f>
        <v>3.65</v>
      </c>
      <c r="N3">
        <f>IFERROR(IF(INDEX(營收表現!M$6:M$3000,MATCH($A3,營收表現!$A$6:$A$3000,0))="","",INDEX(營收表現!M$6:M$3000,MATCH($A3,營收表現!$A$6:$A$3000,0))),"")</f>
        <v>22.99</v>
      </c>
      <c r="O3" t="str">
        <f>IF(INDEX(營收表現!N$6:N$3000,MATCH($A3,營收表現!$A$6:$A$3000,0))="","",INDEX(營收表現!N$6:N$3000,MATCH($A3,營收表現!$A$6:$A$3000,0)))</f>
        <v/>
      </c>
    </row>
    <row r="4" spans="1:16">
      <c r="A4" s="2" t="s">
        <v>5785</v>
      </c>
      <c r="B4" t="str">
        <f>IFERROR(INDEX(營收表現!B$6:B$3000,MATCH($A4,營收表現!$A$6:$A$3000,0)),"")</f>
        <v>光罩</v>
      </c>
      <c r="C4" t="str">
        <f>IFERROR(INDEX(類別!G$4:G$3000,MATCH($A4,類別!$C$4:$C$3000,0)),"")</f>
        <v>半導體設備</v>
      </c>
      <c r="D4">
        <f>IFERROR(IF(INDEX(營收表現!C$6:C$3000,MATCH($A4,營收表現!$A$6:$A$3000,0))="","",INDEX(營收表現!C$6:C$3000,MATCH($A4,營收表現!$A$6:$A$3000,0))),"")</f>
        <v>12.2</v>
      </c>
      <c r="E4">
        <f>IFERROR(IF(INDEX(營收表現!D$6:D$3000,MATCH($A4,營收表現!$A$6:$A$3000,0))="","",INDEX(營收表現!D$6:D$3000,MATCH($A4,營收表現!$A$6:$A$3000,0))),"")</f>
        <v>-22.02</v>
      </c>
      <c r="F4">
        <f>IFERROR(IF(INDEX(營收表現!E$6:E$3000,MATCH($A4,營收表現!$A$6:$A$3000,0))="","",INDEX(營收表現!E$6:E$3000,MATCH($A4,營收表現!$A$6:$A$3000,0))),"")</f>
        <v>2.37</v>
      </c>
      <c r="G4">
        <f>IFERROR(IF(INDEX(營收表現!F$6:F$3000,MATCH($A4,營收表現!$A$6:$A$3000,0))="","",INDEX(營收表現!F$6:F$3000,MATCH($A4,營收表現!$A$6:$A$3000,0))),"")</f>
        <v>5.87</v>
      </c>
      <c r="H4">
        <f>IFERROR(IF(INDEX(營收表現!G$6:G$3000,MATCH($A4,營收表現!$A$6:$A$3000,0))="","",INDEX(營收表現!G$6:G$3000,MATCH($A4,營收表現!$A$6:$A$3000,0))),"")</f>
        <v>4.05</v>
      </c>
      <c r="I4">
        <f>IFERROR(IF(INDEX(營收表現!H$6:H$3000,MATCH($A4,營收表現!$A$6:$A$3000,0))="","",INDEX(營收表現!H$6:H$3000,MATCH($A4,營收表現!$A$6:$A$3000,0))),"")</f>
        <v>12.4</v>
      </c>
      <c r="J4">
        <f>IFERROR(IF(INDEX(營收表現!I$6:I$3000,MATCH($A4,營收表現!$A$6:$A$3000,0))="","",INDEX(營收表現!I$6:I$3000,MATCH($A4,營收表現!$A$6:$A$3000,0))),"")</f>
        <v>-2.64</v>
      </c>
      <c r="K4">
        <f>IFERROR(IF(INDEX(營收表現!J$6:J$3000,MATCH($A4,營收表現!$A$6:$A$3000,0))="","",INDEX(營收表現!J$6:J$3000,MATCH($A4,營收表現!$A$6:$A$3000,0))),"")</f>
        <v>-33.69</v>
      </c>
      <c r="L4">
        <f>IFERROR(IF(INDEX(營收表現!K$6:K$3000,MATCH($A4,營收表現!$A$6:$A$3000,0))="","",INDEX(營收表現!K$6:K$3000,MATCH($A4,營收表現!$A$6:$A$3000,0))),"")</f>
        <v>-31.94</v>
      </c>
      <c r="M4">
        <f>IFERROR(IF(INDEX(營收表現!L$6:L$3000,MATCH($A4,營收表現!$A$6:$A$3000,0))="","",INDEX(營收表現!L$6:L$3000,MATCH($A4,營收表現!$A$6:$A$3000,0))),"")</f>
        <v>-27.02</v>
      </c>
      <c r="N4">
        <f>IFERROR(IF(INDEX(營收表現!M$6:M$3000,MATCH($A4,營收表現!$A$6:$A$3000,0))="","",INDEX(營收表現!M$6:M$3000,MATCH($A4,營收表現!$A$6:$A$3000,0))),"")</f>
        <v>-26.79</v>
      </c>
      <c r="O4">
        <f>IF(INDEX(營收表現!N$6:N$3000,MATCH($A4,營收表現!$A$6:$A$3000,0))="","",INDEX(營收表現!N$6:N$3000,MATCH($A4,營收表現!$A$6:$A$3000,0)))</f>
        <v>-1.57</v>
      </c>
    </row>
    <row r="5" spans="1:16">
      <c r="A5" s="2" t="s">
        <v>5786</v>
      </c>
      <c r="B5" t="str">
        <f>IFERROR(INDEX(營收表現!B$6:B$3000,MATCH($A5,營收表現!$A$6:$A$3000,0)),"")</f>
        <v>京元電子</v>
      </c>
      <c r="C5" t="str">
        <f>IFERROR(INDEX(類別!G$4:G$3000,MATCH($A5,類別!$C$4:$C$3000,0)),"")</f>
        <v>IC封測</v>
      </c>
      <c r="D5">
        <f>IFERROR(IF(INDEX(營收表現!C$6:C$3000,MATCH($A5,營收表現!$A$6:$A$3000,0))="","",INDEX(營收表現!C$6:C$3000,MATCH($A5,營收表現!$A$6:$A$3000,0))),"")</f>
        <v>6.26</v>
      </c>
      <c r="E5">
        <f>IFERROR(IF(INDEX(營收表現!D$6:D$3000,MATCH($A5,營收表現!$A$6:$A$3000,0))="","",INDEX(營收表現!D$6:D$3000,MATCH($A5,營收表現!$A$6:$A$3000,0))),"")</f>
        <v>5.5</v>
      </c>
      <c r="F5">
        <f>IFERROR(IF(INDEX(營收表現!E$6:E$3000,MATCH($A5,營收表現!$A$6:$A$3000,0))="","",INDEX(營收表現!E$6:E$3000,MATCH($A5,營收表現!$A$6:$A$3000,0))),"")</f>
        <v>4.51</v>
      </c>
      <c r="G5">
        <f>IFERROR(IF(INDEX(營收表現!F$6:F$3000,MATCH($A5,營收表現!$A$6:$A$3000,0))="","",INDEX(營收表現!F$6:F$3000,MATCH($A5,營收表現!$A$6:$A$3000,0))),"")</f>
        <v>-3.69</v>
      </c>
      <c r="H5">
        <f>IFERROR(IF(INDEX(營收表現!G$6:G$3000,MATCH($A5,營收表現!$A$6:$A$3000,0))="","",INDEX(營收表現!G$6:G$3000,MATCH($A5,營收表現!$A$6:$A$3000,0))),"")</f>
        <v>-1.1599999999999999</v>
      </c>
      <c r="I5">
        <f>IFERROR(IF(INDEX(營收表現!H$6:H$3000,MATCH($A5,營收表現!$A$6:$A$3000,0))="","",INDEX(營收表現!H$6:H$3000,MATCH($A5,營收表現!$A$6:$A$3000,0))),"")</f>
        <v>3.54</v>
      </c>
      <c r="J5">
        <f>IFERROR(IF(INDEX(營收表現!I$6:I$3000,MATCH($A5,營收表現!$A$6:$A$3000,0))="","",INDEX(營收表現!I$6:I$3000,MATCH($A5,營收表現!$A$6:$A$3000,0))),"")</f>
        <v>31.89</v>
      </c>
      <c r="K5">
        <f>IFERROR(IF(INDEX(營收表現!J$6:J$3000,MATCH($A5,營收表現!$A$6:$A$3000,0))="","",INDEX(營收表現!J$6:J$3000,MATCH($A5,營收表現!$A$6:$A$3000,0))),"")</f>
        <v>39.619999999999997</v>
      </c>
      <c r="L5">
        <f>IFERROR(IF(INDEX(營收表現!K$6:K$3000,MATCH($A5,營收表現!$A$6:$A$3000,0))="","",INDEX(營收表現!K$6:K$3000,MATCH($A5,營收表現!$A$6:$A$3000,0))),"")</f>
        <v>41.83</v>
      </c>
      <c r="M5">
        <f>IFERROR(IF(INDEX(營收表現!L$6:L$3000,MATCH($A5,營收表現!$A$6:$A$3000,0))="","",INDEX(營收表現!L$6:L$3000,MATCH($A5,營收表現!$A$6:$A$3000,0))),"")</f>
        <v>34.93</v>
      </c>
      <c r="N5">
        <f>IFERROR(IF(INDEX(營收表現!M$6:M$3000,MATCH($A5,營收表現!$A$6:$A$3000,0))="","",INDEX(營收表現!M$6:M$3000,MATCH($A5,營收表現!$A$6:$A$3000,0))),"")</f>
        <v>33.04</v>
      </c>
      <c r="O5">
        <f>IF(INDEX(營收表現!N$6:N$3000,MATCH($A5,營收表現!$A$6:$A$3000,0))="","",INDEX(營收表現!N$6:N$3000,MATCH($A5,營收表現!$A$6:$A$3000,0)))</f>
        <v>41.28</v>
      </c>
    </row>
    <row r="6" spans="1:16">
      <c r="A6" s="2" t="s">
        <v>5787</v>
      </c>
      <c r="B6" t="str">
        <f>IFERROR(INDEX(營收表現!B$6:B$3000,MATCH($A6,營收表現!$A$6:$A$3000,0)),"")</f>
        <v>家登</v>
      </c>
      <c r="C6" t="str">
        <f>IFERROR(INDEX(類別!G$4:G$3000,MATCH($A6,類別!$C$4:$C$3000,0)),"")</f>
        <v>半導體設備</v>
      </c>
      <c r="D6">
        <f>IFERROR(IF(INDEX(營收表現!C$6:C$3000,MATCH($A6,營收表現!$A$6:$A$3000,0))="","",INDEX(營收表現!C$6:C$3000,MATCH($A6,營收表現!$A$6:$A$3000,0))),"")</f>
        <v>10.4</v>
      </c>
      <c r="E6">
        <f>IFERROR(IF(INDEX(營收表現!D$6:D$3000,MATCH($A6,營收表現!$A$6:$A$3000,0))="","",INDEX(營收表現!D$6:D$3000,MATCH($A6,營收表現!$A$6:$A$3000,0))),"")</f>
        <v>5.85</v>
      </c>
      <c r="F6">
        <f>IFERROR(IF(INDEX(營收表現!E$6:E$3000,MATCH($A6,營收表現!$A$6:$A$3000,0))="","",INDEX(營收表現!E$6:E$3000,MATCH($A6,營收表現!$A$6:$A$3000,0))),"")</f>
        <v>11.11</v>
      </c>
      <c r="G6">
        <f>IFERROR(IF(INDEX(營收表現!F$6:F$3000,MATCH($A6,營收表現!$A$6:$A$3000,0))="","",INDEX(營收表現!F$6:F$3000,MATCH($A6,營收表現!$A$6:$A$3000,0))),"")</f>
        <v>11.35</v>
      </c>
      <c r="H6">
        <f>IFERROR(IF(INDEX(營收表現!G$6:G$3000,MATCH($A6,營收表現!$A$6:$A$3000,0))="","",INDEX(營收表現!G$6:G$3000,MATCH($A6,營收表現!$A$6:$A$3000,0))),"")</f>
        <v>19.07</v>
      </c>
      <c r="I6">
        <f>IFERROR(IF(INDEX(營收表現!H$6:H$3000,MATCH($A6,營收表現!$A$6:$A$3000,0))="","",INDEX(營收表現!H$6:H$3000,MATCH($A6,營收表現!$A$6:$A$3000,0))),"")</f>
        <v>-27.41</v>
      </c>
      <c r="J6">
        <f>IFERROR(IF(INDEX(營收表現!I$6:I$3000,MATCH($A6,營收表現!$A$6:$A$3000,0))="","",INDEX(營收表現!I$6:I$3000,MATCH($A6,營收表現!$A$6:$A$3000,0))),"")</f>
        <v>-13.3</v>
      </c>
      <c r="K6">
        <f>IFERROR(IF(INDEX(營收表現!J$6:J$3000,MATCH($A6,營收表現!$A$6:$A$3000,0))="","",INDEX(營收表現!J$6:J$3000,MATCH($A6,營收表現!$A$6:$A$3000,0))),"")</f>
        <v>-2.3199999999999998</v>
      </c>
      <c r="L6">
        <f>IFERROR(IF(INDEX(營收表現!K$6:K$3000,MATCH($A6,營收表現!$A$6:$A$3000,0))="","",INDEX(營收表現!K$6:K$3000,MATCH($A6,營收表現!$A$6:$A$3000,0))),"")</f>
        <v>69.28</v>
      </c>
      <c r="M6">
        <f>IFERROR(IF(INDEX(營收表現!L$6:L$3000,MATCH($A6,營收表現!$A$6:$A$3000,0))="","",INDEX(營收表現!L$6:L$3000,MATCH($A6,營收表現!$A$6:$A$3000,0))),"")</f>
        <v>46.04</v>
      </c>
      <c r="N6">
        <f>IFERROR(IF(INDEX(營收表現!M$6:M$3000,MATCH($A6,營收表現!$A$6:$A$3000,0))="","",INDEX(營收表現!M$6:M$3000,MATCH($A6,營收表現!$A$6:$A$3000,0))),"")</f>
        <v>49.17</v>
      </c>
      <c r="O6">
        <f>IF(INDEX(營收表現!N$6:N$3000,MATCH($A6,營收表現!$A$6:$A$3000,0))="","",INDEX(營收表現!N$6:N$3000,MATCH($A6,營收表現!$A$6:$A$3000,0)))</f>
        <v>62.74</v>
      </c>
    </row>
    <row r="7" spans="1:16">
      <c r="A7" s="2" t="s">
        <v>5788</v>
      </c>
      <c r="B7" t="str">
        <f>IFERROR(INDEX(營收表現!B$6:B$3000,MATCH($A7,營收表現!$A$6:$A$3000,0)),"")</f>
        <v>台達電</v>
      </c>
      <c r="C7" t="str">
        <f>IFERROR(INDEX(類別!G$4:G$3000,MATCH($A7,類別!$C$4:$C$3000,0)),"")</f>
        <v>供電與變壓</v>
      </c>
      <c r="D7">
        <f>IFERROR(IF(INDEX(營收表現!C$6:C$3000,MATCH($A7,營收表現!$A$6:$A$3000,0))="","",INDEX(營收表現!C$6:C$3000,MATCH($A7,營收表現!$A$6:$A$3000,0))),"")</f>
        <v>5.42</v>
      </c>
      <c r="E7">
        <f>IFERROR(IF(INDEX(營收表現!D$6:D$3000,MATCH($A7,營收表現!$A$6:$A$3000,0))="","",INDEX(營收表現!D$6:D$3000,MATCH($A7,營收表現!$A$6:$A$3000,0))),"")</f>
        <v>19.22</v>
      </c>
      <c r="F7">
        <f>IFERROR(IF(INDEX(營收表現!E$6:E$3000,MATCH($A7,營收表現!$A$6:$A$3000,0))="","",INDEX(營收表現!E$6:E$3000,MATCH($A7,營收表現!$A$6:$A$3000,0))),"")</f>
        <v>0.56999999999999995</v>
      </c>
      <c r="G7">
        <f>IFERROR(IF(INDEX(營收表現!F$6:F$3000,MATCH($A7,營收表現!$A$6:$A$3000,0))="","",INDEX(營收表現!F$6:F$3000,MATCH($A7,營收表現!$A$6:$A$3000,0))),"")</f>
        <v>-11.92</v>
      </c>
      <c r="H7">
        <f>IFERROR(IF(INDEX(營收表現!G$6:G$3000,MATCH($A7,營收表現!$A$6:$A$3000,0))="","",INDEX(營收表現!G$6:G$3000,MATCH($A7,營收表現!$A$6:$A$3000,0))),"")</f>
        <v>6.22</v>
      </c>
      <c r="I7">
        <f>IFERROR(IF(INDEX(營收表現!H$6:H$3000,MATCH($A7,營收表現!$A$6:$A$3000,0))="","",INDEX(營收表現!H$6:H$3000,MATCH($A7,營收表現!$A$6:$A$3000,0))),"")</f>
        <v>-7.47</v>
      </c>
      <c r="J7">
        <f>IFERROR(IF(INDEX(營收表現!I$6:I$3000,MATCH($A7,營收表現!$A$6:$A$3000,0))="","",INDEX(營收表現!I$6:I$3000,MATCH($A7,營收表現!$A$6:$A$3000,0))),"")</f>
        <v>26.71</v>
      </c>
      <c r="K7">
        <f>IFERROR(IF(INDEX(營收表現!J$6:J$3000,MATCH($A7,營收表現!$A$6:$A$3000,0))="","",INDEX(營收表現!J$6:J$3000,MATCH($A7,營收表現!$A$6:$A$3000,0))),"")</f>
        <v>53.83</v>
      </c>
      <c r="L7">
        <f>IFERROR(IF(INDEX(營收表現!K$6:K$3000,MATCH($A7,營收表現!$A$6:$A$3000,0))="","",INDEX(營收表現!K$6:K$3000,MATCH($A7,營收表現!$A$6:$A$3000,0))),"")</f>
        <v>47.83</v>
      </c>
      <c r="M7">
        <f>IFERROR(IF(INDEX(營收表現!L$6:L$3000,MATCH($A7,營收表現!$A$6:$A$3000,0))="","",INDEX(營收表現!L$6:L$3000,MATCH($A7,營收表現!$A$6:$A$3000,0))),"")</f>
        <v>37.92</v>
      </c>
      <c r="N7">
        <f>IFERROR(IF(INDEX(營收表現!M$6:M$3000,MATCH($A7,營收表現!$A$6:$A$3000,0))="","",INDEX(營收表現!M$6:M$3000,MATCH($A7,營收表現!$A$6:$A$3000,0))),"")</f>
        <v>38.590000000000003</v>
      </c>
      <c r="O7">
        <f>IF(INDEX(營收表現!N$6:N$3000,MATCH($A7,營收表現!$A$6:$A$3000,0))="","",INDEX(營收表現!N$6:N$3000,MATCH($A7,營收表現!$A$6:$A$3000,0)))</f>
        <v>32.869999999999997</v>
      </c>
    </row>
    <row r="8" spans="1:16">
      <c r="A8" s="2" t="s">
        <v>5789</v>
      </c>
      <c r="B8" t="str">
        <f>IFERROR(INDEX(營收表現!B$6:B$3000,MATCH($A8,營收表現!$A$6:$A$3000,0)),"")</f>
        <v>日月光投控</v>
      </c>
      <c r="C8" t="str">
        <f>IFERROR(INDEX(類別!G$4:G$3000,MATCH($A8,類別!$C$4:$C$3000,0)),"")</f>
        <v>IC封測</v>
      </c>
      <c r="D8">
        <f>IFERROR(IF(INDEX(營收表現!C$6:C$3000,MATCH($A8,營收表現!$A$6:$A$3000,0))="","",INDEX(營收表現!C$6:C$3000,MATCH($A8,營收表現!$A$6:$A$3000,0))),"")</f>
        <v>9.5500000000000007</v>
      </c>
      <c r="E8">
        <f>IFERROR(IF(INDEX(營收表現!D$6:D$3000,MATCH($A8,營收表現!$A$6:$A$3000,0))="","",INDEX(營收表現!D$6:D$3000,MATCH($A8,營收表現!$A$6:$A$3000,0))),"")</f>
        <v>7.25</v>
      </c>
      <c r="F8">
        <f>IFERROR(IF(INDEX(營收表現!E$6:E$3000,MATCH($A8,營收表現!$A$6:$A$3000,0))="","",INDEX(營收表現!E$6:E$3000,MATCH($A8,營收表現!$A$6:$A$3000,0))),"")</f>
        <v>-0.55000000000000004</v>
      </c>
      <c r="G8">
        <f>IFERROR(IF(INDEX(營收表現!F$6:F$3000,MATCH($A8,營收表現!$A$6:$A$3000,0))="","",INDEX(營收表現!F$6:F$3000,MATCH($A8,營收表現!$A$6:$A$3000,0))),"")</f>
        <v>-2.34</v>
      </c>
      <c r="H8">
        <f>IFERROR(IF(INDEX(營收表現!G$6:G$3000,MATCH($A8,營收表現!$A$6:$A$3000,0))="","",INDEX(營收表現!G$6:G$3000,MATCH($A8,營收表現!$A$6:$A$3000,0))),"")</f>
        <v>0.08</v>
      </c>
      <c r="I8" t="str">
        <f>IFERROR(IF(INDEX(營收表現!H$6:H$3000,MATCH($A8,營收表現!$A$6:$A$3000,0))="","",INDEX(營收表現!H$6:H$3000,MATCH($A8,營收表現!$A$6:$A$3000,0))),"")</f>
        <v/>
      </c>
      <c r="J8">
        <f>IFERROR(IF(INDEX(營收表現!I$6:I$3000,MATCH($A8,營收表現!$A$6:$A$3000,0))="","",INDEX(營收表現!I$6:I$3000,MATCH($A8,營收表現!$A$6:$A$3000,0))),"")</f>
        <v>6.68</v>
      </c>
      <c r="K8">
        <f>IFERROR(IF(INDEX(營收表現!J$6:J$3000,MATCH($A8,營收表現!$A$6:$A$3000,0))="","",INDEX(營收表現!J$6:J$3000,MATCH($A8,營收表現!$A$6:$A$3000,0))),"")</f>
        <v>8.9600000000000009</v>
      </c>
      <c r="L8">
        <f>IFERROR(IF(INDEX(營收表現!K$6:K$3000,MATCH($A8,營收表現!$A$6:$A$3000,0))="","",INDEX(營收表現!K$6:K$3000,MATCH($A8,營收表現!$A$6:$A$3000,0))),"")</f>
        <v>6.74</v>
      </c>
      <c r="M8">
        <f>IFERROR(IF(INDEX(營收表現!L$6:L$3000,MATCH($A8,營收表現!$A$6:$A$3000,0))="","",INDEX(營收表現!L$6:L$3000,MATCH($A8,營收表現!$A$6:$A$3000,0))),"")</f>
        <v>11.12</v>
      </c>
      <c r="N8">
        <f>IFERROR(IF(INDEX(營收表現!M$6:M$3000,MATCH($A8,營收表現!$A$6:$A$3000,0))="","",INDEX(營收表現!M$6:M$3000,MATCH($A8,營收表現!$A$6:$A$3000,0))),"")</f>
        <v>11.27</v>
      </c>
      <c r="O8" t="str">
        <f>IF(INDEX(營收表現!N$6:N$3000,MATCH($A8,營收表現!$A$6:$A$3000,0))="","",INDEX(營收表現!N$6:N$3000,MATCH($A8,營收表現!$A$6:$A$3000,0)))</f>
        <v/>
      </c>
    </row>
    <row r="9" spans="1:16">
      <c r="A9" s="2" t="s">
        <v>5790</v>
      </c>
      <c r="B9" t="str">
        <f>IFERROR(INDEX(營收表現!B$6:B$3000,MATCH($A9,營收表現!$A$6:$A$3000,0)),"")</f>
        <v>永光</v>
      </c>
      <c r="C9" t="str">
        <f>IFERROR(INDEX(類別!G$4:G$3000,MATCH($A9,類別!$C$4:$C$3000,0)),"")</f>
        <v>化工</v>
      </c>
      <c r="D9">
        <f>IFERROR(IF(INDEX(營收表現!C$6:C$3000,MATCH($A9,營收表現!$A$6:$A$3000,0))="","",INDEX(營收表現!C$6:C$3000,MATCH($A9,營收表現!$A$6:$A$3000,0))),"")</f>
        <v>-9.75</v>
      </c>
      <c r="E9">
        <f>IFERROR(IF(INDEX(營收表現!D$6:D$3000,MATCH($A9,營收表現!$A$6:$A$3000,0))="","",INDEX(營收表現!D$6:D$3000,MATCH($A9,營收表現!$A$6:$A$3000,0))),"")</f>
        <v>11.09</v>
      </c>
      <c r="F9">
        <f>IFERROR(IF(INDEX(營收表現!E$6:E$3000,MATCH($A9,營收表現!$A$6:$A$3000,0))="","",INDEX(營收表現!E$6:E$3000,MATCH($A9,營收表現!$A$6:$A$3000,0))),"")</f>
        <v>-6.27</v>
      </c>
      <c r="G9">
        <f>IFERROR(IF(INDEX(營收表現!F$6:F$3000,MATCH($A9,營收表現!$A$6:$A$3000,0))="","",INDEX(營收表現!F$6:F$3000,MATCH($A9,營收表現!$A$6:$A$3000,0))),"")</f>
        <v>1.06</v>
      </c>
      <c r="H9">
        <f>IFERROR(IF(INDEX(營收表現!G$6:G$3000,MATCH($A9,營收表現!$A$6:$A$3000,0))="","",INDEX(營收表現!G$6:G$3000,MATCH($A9,營收表現!$A$6:$A$3000,0))),"")</f>
        <v>11.85</v>
      </c>
      <c r="I9">
        <f>IFERROR(IF(INDEX(營收表現!H$6:H$3000,MATCH($A9,營收表現!$A$6:$A$3000,0))="","",INDEX(營收表現!H$6:H$3000,MATCH($A9,營收表現!$A$6:$A$3000,0))),"")</f>
        <v>9.6999999999999993</v>
      </c>
      <c r="J9">
        <f>IFERROR(IF(INDEX(營收表現!I$6:I$3000,MATCH($A9,營收表現!$A$6:$A$3000,0))="","",INDEX(營收表現!I$6:I$3000,MATCH($A9,營收表現!$A$6:$A$3000,0))),"")</f>
        <v>-15.84</v>
      </c>
      <c r="K9">
        <f>IFERROR(IF(INDEX(營收表現!J$6:J$3000,MATCH($A9,營收表現!$A$6:$A$3000,0))="","",INDEX(營收表現!J$6:J$3000,MATCH($A9,營收表現!$A$6:$A$3000,0))),"")</f>
        <v>-7.71</v>
      </c>
      <c r="L9">
        <f>IFERROR(IF(INDEX(營收表現!K$6:K$3000,MATCH($A9,營收表現!$A$6:$A$3000,0))="","",INDEX(營收表現!K$6:K$3000,MATCH($A9,營收表現!$A$6:$A$3000,0))),"")</f>
        <v>-8.98</v>
      </c>
      <c r="M9">
        <f>IFERROR(IF(INDEX(營收表現!L$6:L$3000,MATCH($A9,營收表現!$A$6:$A$3000,0))="","",INDEX(營收表現!L$6:L$3000,MATCH($A9,營收表現!$A$6:$A$3000,0))),"")</f>
        <v>-11.17</v>
      </c>
      <c r="N9">
        <f>IFERROR(IF(INDEX(營收表現!M$6:M$3000,MATCH($A9,營收表現!$A$6:$A$3000,0))="","",INDEX(營收表現!M$6:M$3000,MATCH($A9,營收表現!$A$6:$A$3000,0))),"")</f>
        <v>-8.91</v>
      </c>
      <c r="O9">
        <f>IF(INDEX(營收表現!N$6:N$3000,MATCH($A9,營收表現!$A$6:$A$3000,0))="","",INDEX(營收表現!N$6:N$3000,MATCH($A9,營收表現!$A$6:$A$3000,0)))</f>
        <v>12.74</v>
      </c>
    </row>
    <row r="10" spans="1:16">
      <c r="A10" s="2" t="s">
        <v>5791</v>
      </c>
      <c r="B10" t="str">
        <f>IFERROR(INDEX(營收表現!B$6:B$3000,MATCH($A10,營收表現!$A$6:$A$3000,0)),"")</f>
        <v>中華化</v>
      </c>
      <c r="C10" t="str">
        <f>IFERROR(INDEX(類別!G$4:G$3000,MATCH($A10,類別!$C$4:$C$3000,0)),"")</f>
        <v>化工</v>
      </c>
      <c r="D10">
        <f>IFERROR(IF(INDEX(營收表現!C$6:C$3000,MATCH($A10,營收表現!$A$6:$A$3000,0))="","",INDEX(營收表現!C$6:C$3000,MATCH($A10,營收表現!$A$6:$A$3000,0))),"")</f>
        <v>-11.17</v>
      </c>
      <c r="E10">
        <f>IFERROR(IF(INDEX(營收表現!D$6:D$3000,MATCH($A10,營收表現!$A$6:$A$3000,0))="","",INDEX(營收表現!D$6:D$3000,MATCH($A10,營收表現!$A$6:$A$3000,0))),"")</f>
        <v>14.12</v>
      </c>
      <c r="F10">
        <f>IFERROR(IF(INDEX(營收表現!E$6:E$3000,MATCH($A10,營收表現!$A$6:$A$3000,0))="","",INDEX(營收表現!E$6:E$3000,MATCH($A10,營收表現!$A$6:$A$3000,0))),"")</f>
        <v>-15.84</v>
      </c>
      <c r="G10">
        <f>IFERROR(IF(INDEX(營收表現!F$6:F$3000,MATCH($A10,營收表現!$A$6:$A$3000,0))="","",INDEX(營收表現!F$6:F$3000,MATCH($A10,營收表現!$A$6:$A$3000,0))),"")</f>
        <v>14.21</v>
      </c>
      <c r="H10">
        <f>IFERROR(IF(INDEX(營收表現!G$6:G$3000,MATCH($A10,營收表現!$A$6:$A$3000,0))="","",INDEX(營收表現!G$6:G$3000,MATCH($A10,營收表現!$A$6:$A$3000,0))),"")</f>
        <v>-7.85</v>
      </c>
      <c r="I10">
        <f>IFERROR(IF(INDEX(營收表現!H$6:H$3000,MATCH($A10,營收表現!$A$6:$A$3000,0))="","",INDEX(營收表現!H$6:H$3000,MATCH($A10,營收表現!$A$6:$A$3000,0))),"")</f>
        <v>-25.5</v>
      </c>
      <c r="J10">
        <f>IFERROR(IF(INDEX(營收表現!I$6:I$3000,MATCH($A10,營收表現!$A$6:$A$3000,0))="","",INDEX(營收表現!I$6:I$3000,MATCH($A10,營收表現!$A$6:$A$3000,0))),"")</f>
        <v>-27.8</v>
      </c>
      <c r="K10">
        <f>IFERROR(IF(INDEX(營收表現!J$6:J$3000,MATCH($A10,營收表現!$A$6:$A$3000,0))="","",INDEX(營收表現!J$6:J$3000,MATCH($A10,營收表現!$A$6:$A$3000,0))),"")</f>
        <v>-10.9</v>
      </c>
      <c r="L10">
        <f>IFERROR(IF(INDEX(營收表現!K$6:K$3000,MATCH($A10,營收表現!$A$6:$A$3000,0))="","",INDEX(營收表現!K$6:K$3000,MATCH($A10,營收表現!$A$6:$A$3000,0))),"")</f>
        <v>-25.7</v>
      </c>
      <c r="M10">
        <f>IFERROR(IF(INDEX(營收表現!L$6:L$3000,MATCH($A10,營收表現!$A$6:$A$3000,0))="","",INDEX(營收表現!L$6:L$3000,MATCH($A10,營收表現!$A$6:$A$3000,0))),"")</f>
        <v>2.33</v>
      </c>
      <c r="N10">
        <f>IFERROR(IF(INDEX(營收表現!M$6:M$3000,MATCH($A10,營收表現!$A$6:$A$3000,0))="","",INDEX(營收表現!M$6:M$3000,MATCH($A10,營收表現!$A$6:$A$3000,0))),"")</f>
        <v>25.08</v>
      </c>
      <c r="O10">
        <f>IF(INDEX(營收表現!N$6:N$3000,MATCH($A10,營收表現!$A$6:$A$3000,0))="","",INDEX(營收表現!N$6:N$3000,MATCH($A10,營收表現!$A$6:$A$3000,0)))</f>
        <v>-9.74</v>
      </c>
    </row>
    <row r="11" spans="1:16">
      <c r="A11" s="2" t="s">
        <v>5792</v>
      </c>
      <c r="B11" t="str">
        <f>IFERROR(INDEX(營收表現!B$6:B$3000,MATCH($A11,營收表現!$A$6:$A$3000,0)),"")</f>
        <v>長興</v>
      </c>
      <c r="C11" t="str">
        <f>IFERROR(INDEX(類別!G$4:G$3000,MATCH($A11,類別!$C$4:$C$3000,0)),"")</f>
        <v>化工</v>
      </c>
      <c r="D11">
        <f>IFERROR(IF(INDEX(營收表現!C$6:C$3000,MATCH($A11,營收表現!$A$6:$A$3000,0))="","",INDEX(營收表現!C$6:C$3000,MATCH($A11,營收表現!$A$6:$A$3000,0))),"")</f>
        <v>1.83</v>
      </c>
      <c r="E11">
        <f>IFERROR(IF(INDEX(營收表現!D$6:D$3000,MATCH($A11,營收表現!$A$6:$A$3000,0))="","",INDEX(營收表現!D$6:D$3000,MATCH($A11,營收表現!$A$6:$A$3000,0))),"")</f>
        <v>1.85</v>
      </c>
      <c r="F11">
        <f>IFERROR(IF(INDEX(營收表現!E$6:E$3000,MATCH($A11,營收表現!$A$6:$A$3000,0))="","",INDEX(營收表現!E$6:E$3000,MATCH($A11,營收表現!$A$6:$A$3000,0))),"")</f>
        <v>-9.48</v>
      </c>
      <c r="G11">
        <f>IFERROR(IF(INDEX(營收表現!F$6:F$3000,MATCH($A11,營收表現!$A$6:$A$3000,0))="","",INDEX(營收表現!F$6:F$3000,MATCH($A11,營收表現!$A$6:$A$3000,0))),"")</f>
        <v>6.29</v>
      </c>
      <c r="H11">
        <f>IFERROR(IF(INDEX(營收表現!G$6:G$3000,MATCH($A11,營收表現!$A$6:$A$3000,0))="","",INDEX(營收表現!G$6:G$3000,MATCH($A11,營收表現!$A$6:$A$3000,0))),"")</f>
        <v>12.93</v>
      </c>
      <c r="I11">
        <f>IFERROR(IF(INDEX(營收表現!H$6:H$3000,MATCH($A11,營收表現!$A$6:$A$3000,0))="","",INDEX(營收表現!H$6:H$3000,MATCH($A11,營收表現!$A$6:$A$3000,0))),"")</f>
        <v>4.45</v>
      </c>
      <c r="J11">
        <f>IFERROR(IF(INDEX(營收表現!I$6:I$3000,MATCH($A11,營收表現!$A$6:$A$3000,0))="","",INDEX(營收表現!I$6:I$3000,MATCH($A11,營收表現!$A$6:$A$3000,0))),"")</f>
        <v>-15.01</v>
      </c>
      <c r="K11">
        <f>IFERROR(IF(INDEX(營收表現!J$6:J$3000,MATCH($A11,營收表現!$A$6:$A$3000,0))="","",INDEX(營收表現!J$6:J$3000,MATCH($A11,營收表現!$A$6:$A$3000,0))),"")</f>
        <v>-5.28</v>
      </c>
      <c r="L11">
        <f>IFERROR(IF(INDEX(營收表現!K$6:K$3000,MATCH($A11,營收表現!$A$6:$A$3000,0))="","",INDEX(營收表現!K$6:K$3000,MATCH($A11,營收表現!$A$6:$A$3000,0))),"")</f>
        <v>-12.04</v>
      </c>
      <c r="M11">
        <f>IFERROR(IF(INDEX(營收表現!L$6:L$3000,MATCH($A11,營收表現!$A$6:$A$3000,0))="","",INDEX(營收表現!L$6:L$3000,MATCH($A11,營收表現!$A$6:$A$3000,0))),"")</f>
        <v>-12.6</v>
      </c>
      <c r="N11">
        <f>IFERROR(IF(INDEX(營收表現!M$6:M$3000,MATCH($A11,營收表現!$A$6:$A$3000,0))="","",INDEX(營收表現!M$6:M$3000,MATCH($A11,營收表現!$A$6:$A$3000,0))),"")</f>
        <v>-6.17</v>
      </c>
      <c r="O11">
        <f>IF(INDEX(營收表現!N$6:N$3000,MATCH($A11,營收表現!$A$6:$A$3000,0))="","",INDEX(營收表現!N$6:N$3000,MATCH($A11,營收表現!$A$6:$A$3000,0)))</f>
        <v>16.98</v>
      </c>
    </row>
    <row r="12" spans="1:16">
      <c r="A12" s="2" t="s">
        <v>7836</v>
      </c>
      <c r="B12" t="str">
        <f>IFERROR(INDEX(營收表現!B$6:B$3000,MATCH($A12,營收表現!$A$6:$A$3000,0)),"")</f>
        <v>力成</v>
      </c>
      <c r="C12" t="str">
        <f>IFERROR(INDEX(類別!G$4:G$3000,MATCH($A12,類別!$C$4:$C$3000,0)),"")</f>
        <v>IC封測</v>
      </c>
      <c r="D12">
        <f>IFERROR(IF(INDEX(營收表現!C$6:C$3000,MATCH($A12,營收表現!$A$6:$A$3000,0))="","",INDEX(營收表現!C$6:C$3000,MATCH($A12,營收表現!$A$6:$A$3000,0))),"")</f>
        <v>7.56</v>
      </c>
      <c r="E12">
        <f>IFERROR(IF(INDEX(營收表現!D$6:D$3000,MATCH($A12,營收表現!$A$6:$A$3000,0))="","",INDEX(營收表現!D$6:D$3000,MATCH($A12,營收表現!$A$6:$A$3000,0))),"")</f>
        <v>-2.56</v>
      </c>
      <c r="F12">
        <f>IFERROR(IF(INDEX(營收表現!E$6:E$3000,MATCH($A12,營收表現!$A$6:$A$3000,0))="","",INDEX(營收表現!E$6:E$3000,MATCH($A12,營收表現!$A$6:$A$3000,0))),"")</f>
        <v>4.04</v>
      </c>
      <c r="G12">
        <f>IFERROR(IF(INDEX(營收表現!F$6:F$3000,MATCH($A12,營收表現!$A$6:$A$3000,0))="","",INDEX(營收表現!F$6:F$3000,MATCH($A12,營收表現!$A$6:$A$3000,0))),"")</f>
        <v>2.4300000000000002</v>
      </c>
      <c r="H12">
        <f>IFERROR(IF(INDEX(營收表現!G$6:G$3000,MATCH($A12,營收表現!$A$6:$A$3000,0))="","",INDEX(營收表現!G$6:G$3000,MATCH($A12,營收表現!$A$6:$A$3000,0))),"")</f>
        <v>2.19</v>
      </c>
      <c r="I12">
        <f>IFERROR(IF(INDEX(營收表現!H$6:H$3000,MATCH($A12,營收表現!$A$6:$A$3000,0))="","",INDEX(營收表現!H$6:H$3000,MATCH($A12,營收表現!$A$6:$A$3000,0))),"")</f>
        <v>-0.74</v>
      </c>
      <c r="J12">
        <f>IFERROR(IF(INDEX(營收表現!I$6:I$3000,MATCH($A12,營收表現!$A$6:$A$3000,0))="","",INDEX(營收表現!I$6:I$3000,MATCH($A12,營收表現!$A$6:$A$3000,0))),"")</f>
        <v>8.68</v>
      </c>
      <c r="K12">
        <f>IFERROR(IF(INDEX(營收表現!J$6:J$3000,MATCH($A12,營收表現!$A$6:$A$3000,0))="","",INDEX(營收表現!J$6:J$3000,MATCH($A12,營收表現!$A$6:$A$3000,0))),"")</f>
        <v>17.420000000000002</v>
      </c>
      <c r="L12">
        <f>IFERROR(IF(INDEX(營收表現!K$6:K$3000,MATCH($A12,營收表現!$A$6:$A$3000,0))="","",INDEX(營收表現!K$6:K$3000,MATCH($A12,營收表現!$A$6:$A$3000,0))),"")</f>
        <v>20.22</v>
      </c>
      <c r="M12">
        <f>IFERROR(IF(INDEX(營收表現!L$6:L$3000,MATCH($A12,營收表現!$A$6:$A$3000,0))="","",INDEX(營收表現!L$6:L$3000,MATCH($A12,營收表現!$A$6:$A$3000,0))),"")</f>
        <v>25.07</v>
      </c>
      <c r="N12">
        <f>IFERROR(IF(INDEX(營收表現!M$6:M$3000,MATCH($A12,營收表現!$A$6:$A$3000,0))="","",INDEX(營收表現!M$6:M$3000,MATCH($A12,營收表現!$A$6:$A$3000,0))),"")</f>
        <v>30.52</v>
      </c>
      <c r="O12">
        <f>IF(INDEX(營收表現!N$6:N$3000,MATCH($A12,營收表現!$A$6:$A$3000,0))="","",INDEX(營收表現!N$6:N$3000,MATCH($A12,營收表現!$A$6:$A$3000,0)))</f>
        <v>43.04</v>
      </c>
    </row>
    <row r="13" spans="1:16">
      <c r="A13" s="2" t="s">
        <v>7837</v>
      </c>
      <c r="B13" t="str">
        <f>IFERROR(INDEX(營收表現!B$6:B$3000,MATCH($A13,營收表現!$A$6:$A$3000,0)),"")</f>
        <v>中鼎</v>
      </c>
      <c r="C13" t="str">
        <f>IFERROR(INDEX(類別!G$4:G$3000,MATCH($A13,類別!$C$4:$C$3000,0)),"")</f>
        <v>公共工程</v>
      </c>
      <c r="D13">
        <f>IFERROR(IF(INDEX(營收表現!C$6:C$3000,MATCH($A13,營收表現!$A$6:$A$3000,0))="","",INDEX(營收表現!C$6:C$3000,MATCH($A13,營收表現!$A$6:$A$3000,0))),"")</f>
        <v>1.51</v>
      </c>
      <c r="E13">
        <f>IFERROR(IF(INDEX(營收表現!D$6:D$3000,MATCH($A13,營收表現!$A$6:$A$3000,0))="","",INDEX(營收表現!D$6:D$3000,MATCH($A13,營收表現!$A$6:$A$3000,0))),"")</f>
        <v>20.59</v>
      </c>
      <c r="F13">
        <f>IFERROR(IF(INDEX(營收表現!E$6:E$3000,MATCH($A13,營收表現!$A$6:$A$3000,0))="","",INDEX(營收表現!E$6:E$3000,MATCH($A13,營收表現!$A$6:$A$3000,0))),"")</f>
        <v>-26.84</v>
      </c>
      <c r="G13">
        <f>IFERROR(IF(INDEX(營收表現!F$6:F$3000,MATCH($A13,營收表現!$A$6:$A$3000,0))="","",INDEX(營收表現!F$6:F$3000,MATCH($A13,營收表現!$A$6:$A$3000,0))),"")</f>
        <v>15.03</v>
      </c>
      <c r="H13">
        <f>IFERROR(IF(INDEX(營收表現!G$6:G$3000,MATCH($A13,營收表現!$A$6:$A$3000,0))="","",INDEX(營收表現!G$6:G$3000,MATCH($A13,營收表現!$A$6:$A$3000,0))),"")</f>
        <v>71.36</v>
      </c>
      <c r="I13">
        <f>IFERROR(IF(INDEX(營收表現!H$6:H$3000,MATCH($A13,營收表現!$A$6:$A$3000,0))="","",INDEX(營收表現!H$6:H$3000,MATCH($A13,營收表現!$A$6:$A$3000,0))),"")</f>
        <v>-51.5</v>
      </c>
      <c r="J13">
        <f>IFERROR(IF(INDEX(營收表現!I$6:I$3000,MATCH($A13,營收表現!$A$6:$A$3000,0))="","",INDEX(營收表現!I$6:I$3000,MATCH($A13,營收表現!$A$6:$A$3000,0))),"")</f>
        <v>-33</v>
      </c>
      <c r="K13">
        <f>IFERROR(IF(INDEX(營收表現!J$6:J$3000,MATCH($A13,營收表現!$A$6:$A$3000,0))="","",INDEX(營收表現!J$6:J$3000,MATCH($A13,營收表現!$A$6:$A$3000,0))),"")</f>
        <v>-11.7</v>
      </c>
      <c r="L13">
        <f>IFERROR(IF(INDEX(營收表現!K$6:K$3000,MATCH($A13,營收表現!$A$6:$A$3000,0))="","",INDEX(營收表現!K$6:K$3000,MATCH($A13,營收表現!$A$6:$A$3000,0))),"")</f>
        <v>-29.45</v>
      </c>
      <c r="M13">
        <f>IFERROR(IF(INDEX(營收表現!L$6:L$3000,MATCH($A13,營收表現!$A$6:$A$3000,0))="","",INDEX(營收表現!L$6:L$3000,MATCH($A13,營收表現!$A$6:$A$3000,0))),"")</f>
        <v>-29.28</v>
      </c>
      <c r="N13">
        <f>IFERROR(IF(INDEX(營收表現!M$6:M$3000,MATCH($A13,營收表現!$A$6:$A$3000,0))="","",INDEX(營收表現!M$6:M$3000,MATCH($A13,營收表現!$A$6:$A$3000,0))),"")</f>
        <v>-15.29</v>
      </c>
      <c r="O13">
        <f>IF(INDEX(營收表現!N$6:N$3000,MATCH($A13,營收表現!$A$6:$A$3000,0))="","",INDEX(營收表現!N$6:N$3000,MATCH($A13,營收表現!$A$6:$A$3000,0)))</f>
        <v>-4.74</v>
      </c>
    </row>
    <row r="14" spans="1:16">
      <c r="A14" s="2" t="s">
        <v>7838</v>
      </c>
      <c r="B14" t="str">
        <f>IFERROR(INDEX(營收表現!B$6:B$3000,MATCH($A14,營收表現!$A$6:$A$3000,0)),"")</f>
        <v>新漢</v>
      </c>
      <c r="C14" t="str">
        <f>IFERROR(INDEX(類別!G$4:G$3000,MATCH($A14,類別!$C$4:$C$3000,0)),"")</f>
        <v>工業電腦</v>
      </c>
      <c r="D14">
        <f>IFERROR(IF(INDEX(營收表現!C$6:C$3000,MATCH($A14,營收表現!$A$6:$A$3000,0))="","",INDEX(營收表現!C$6:C$3000,MATCH($A14,營收表現!$A$6:$A$3000,0))),"")</f>
        <v>-3.94</v>
      </c>
      <c r="E14">
        <f>IFERROR(IF(INDEX(營收表現!D$6:D$3000,MATCH($A14,營收表現!$A$6:$A$3000,0))="","",INDEX(營收表現!D$6:D$3000,MATCH($A14,營收表現!$A$6:$A$3000,0))),"")</f>
        <v>-2.97</v>
      </c>
      <c r="F14">
        <f>IFERROR(IF(INDEX(營收表現!E$6:E$3000,MATCH($A14,營收表現!$A$6:$A$3000,0))="","",INDEX(營收表現!E$6:E$3000,MATCH($A14,營收表現!$A$6:$A$3000,0))),"")</f>
        <v>21.72</v>
      </c>
      <c r="G14">
        <f>IFERROR(IF(INDEX(營收表現!F$6:F$3000,MATCH($A14,營收表現!$A$6:$A$3000,0))="","",INDEX(營收表現!F$6:F$3000,MATCH($A14,營收表現!$A$6:$A$3000,0))),"")</f>
        <v>-22.36</v>
      </c>
      <c r="H14">
        <f>IFERROR(IF(INDEX(營收表現!G$6:G$3000,MATCH($A14,營收表現!$A$6:$A$3000,0))="","",INDEX(營收表現!G$6:G$3000,MATCH($A14,營收表現!$A$6:$A$3000,0))),"")</f>
        <v>19.73</v>
      </c>
      <c r="I14">
        <f>IFERROR(IF(INDEX(營收表現!H$6:H$3000,MATCH($A14,營收表現!$A$6:$A$3000,0))="","",INDEX(營收表現!H$6:H$3000,MATCH($A14,營收表現!$A$6:$A$3000,0))),"")</f>
        <v>-1.53</v>
      </c>
      <c r="J14">
        <f>IFERROR(IF(INDEX(營收表現!I$6:I$3000,MATCH($A14,營收表現!$A$6:$A$3000,0))="","",INDEX(營收表現!I$6:I$3000,MATCH($A14,營收表現!$A$6:$A$3000,0))),"")</f>
        <v>-17.739999999999998</v>
      </c>
      <c r="K14">
        <f>IFERROR(IF(INDEX(營收表現!J$6:J$3000,MATCH($A14,營收表現!$A$6:$A$3000,0))="","",INDEX(營收表現!J$6:J$3000,MATCH($A14,營收表現!$A$6:$A$3000,0))),"")</f>
        <v>-15.67</v>
      </c>
      <c r="L14">
        <f>IFERROR(IF(INDEX(營收表現!K$6:K$3000,MATCH($A14,營收表現!$A$6:$A$3000,0))="","",INDEX(營收表現!K$6:K$3000,MATCH($A14,營收表現!$A$6:$A$3000,0))),"")</f>
        <v>-1.73</v>
      </c>
      <c r="M14">
        <f>IFERROR(IF(INDEX(營收表現!L$6:L$3000,MATCH($A14,營收表現!$A$6:$A$3000,0))="","",INDEX(營收表現!L$6:L$3000,MATCH($A14,營收表現!$A$6:$A$3000,0))),"")</f>
        <v>-32.979999999999997</v>
      </c>
      <c r="N14">
        <f>IFERROR(IF(INDEX(營收表現!M$6:M$3000,MATCH($A14,營收表現!$A$6:$A$3000,0))="","",INDEX(營收表現!M$6:M$3000,MATCH($A14,營收表現!$A$6:$A$3000,0))),"")</f>
        <v>-14.32</v>
      </c>
      <c r="O14">
        <f>IF(INDEX(營收表現!N$6:N$3000,MATCH($A14,營收表現!$A$6:$A$3000,0))="","",INDEX(營收表現!N$6:N$3000,MATCH($A14,營收表現!$A$6:$A$3000,0)))</f>
        <v>-26.69</v>
      </c>
    </row>
    <row r="15" spans="1:16">
      <c r="A15" s="2" t="s">
        <v>7829</v>
      </c>
      <c r="B15" t="str">
        <f>IFERROR(INDEX(營收表現!B$6:B$3000,MATCH($A15,營收表現!$A$6:$A$3000,0)),"")</f>
        <v>中砂</v>
      </c>
      <c r="C15" t="str">
        <f>IFERROR(INDEX(類別!G$4:G$3000,MATCH($A15,類別!$C$4:$C$3000,0)),"")</f>
        <v>半導體設備</v>
      </c>
      <c r="D15">
        <f>IFERROR(IF(INDEX(營收表現!C$6:C$3000,MATCH($A15,營收表現!$A$6:$A$3000,0))="","",INDEX(營收表現!C$6:C$3000,MATCH($A15,營收表現!$A$6:$A$3000,0))),"")</f>
        <v>-1.53</v>
      </c>
      <c r="E15">
        <f>IFERROR(IF(INDEX(營收表現!D$6:D$3000,MATCH($A15,營收表現!$A$6:$A$3000,0))="","",INDEX(營收表現!D$6:D$3000,MATCH($A15,營收表現!$A$6:$A$3000,0))),"")</f>
        <v>1.28</v>
      </c>
      <c r="F15">
        <f>IFERROR(IF(INDEX(營收表現!E$6:E$3000,MATCH($A15,營收表現!$A$6:$A$3000,0))="","",INDEX(營收表現!E$6:E$3000,MATCH($A15,營收表現!$A$6:$A$3000,0))),"")</f>
        <v>1.43</v>
      </c>
      <c r="G15">
        <f>IFERROR(IF(INDEX(營收表現!F$6:F$3000,MATCH($A15,營收表現!$A$6:$A$3000,0))="","",INDEX(營收表現!F$6:F$3000,MATCH($A15,營收表現!$A$6:$A$3000,0))),"")</f>
        <v>2.6</v>
      </c>
      <c r="H15">
        <f>IFERROR(IF(INDEX(營收表現!G$6:G$3000,MATCH($A15,營收表現!$A$6:$A$3000,0))="","",INDEX(營收表現!G$6:G$3000,MATCH($A15,營收表現!$A$6:$A$3000,0))),"")</f>
        <v>1.21</v>
      </c>
      <c r="I15">
        <f>IFERROR(IF(INDEX(營收表現!H$6:H$3000,MATCH($A15,營收表現!$A$6:$A$3000,0))="","",INDEX(營收表現!H$6:H$3000,MATCH($A15,營收表現!$A$6:$A$3000,0))),"")</f>
        <v>2.35</v>
      </c>
      <c r="J15">
        <f>IFERROR(IF(INDEX(營收表現!I$6:I$3000,MATCH($A15,營收表現!$A$6:$A$3000,0))="","",INDEX(營收表現!I$6:I$3000,MATCH($A15,營收表現!$A$6:$A$3000,0))),"")</f>
        <v>17.63</v>
      </c>
      <c r="K15">
        <f>IFERROR(IF(INDEX(營收表現!J$6:J$3000,MATCH($A15,營收表現!$A$6:$A$3000,0))="","",INDEX(營收表現!J$6:J$3000,MATCH($A15,營收表現!$A$6:$A$3000,0))),"")</f>
        <v>9.4499999999999993</v>
      </c>
      <c r="L15">
        <f>IFERROR(IF(INDEX(營收表現!K$6:K$3000,MATCH($A15,營收表現!$A$6:$A$3000,0))="","",INDEX(營收表現!K$6:K$3000,MATCH($A15,營收表現!$A$6:$A$3000,0))),"")</f>
        <v>19.36</v>
      </c>
      <c r="M15">
        <f>IFERROR(IF(INDEX(營收表現!L$6:L$3000,MATCH($A15,營收表現!$A$6:$A$3000,0))="","",INDEX(營收表現!L$6:L$3000,MATCH($A15,營收表現!$A$6:$A$3000,0))),"")</f>
        <v>19.239999999999998</v>
      </c>
      <c r="N15">
        <f>IFERROR(IF(INDEX(營收表現!M$6:M$3000,MATCH($A15,營收表現!$A$6:$A$3000,0))="","",INDEX(營收表現!M$6:M$3000,MATCH($A15,營收表現!$A$6:$A$3000,0))),"")</f>
        <v>16.670000000000002</v>
      </c>
      <c r="O15">
        <f>IF(INDEX(營收表現!N$6:N$3000,MATCH($A15,營收表現!$A$6:$A$3000,0))="","",INDEX(營收表現!N$6:N$3000,MATCH($A15,營收表現!$A$6:$A$3000,0)))</f>
        <v>33.07</v>
      </c>
    </row>
    <row r="16" spans="1:16">
      <c r="A16" s="2" t="s">
        <v>7839</v>
      </c>
      <c r="B16" t="str">
        <f>IFERROR(INDEX(營收表現!B$6:B$3000,MATCH($A16,營收表現!$A$6:$A$3000,0)),"")</f>
        <v>崇越</v>
      </c>
      <c r="C16" t="str">
        <f>IFERROR(INDEX(類別!G$4:G$3000,MATCH($A16,類別!$C$4:$C$3000,0)),"")</f>
        <v>電子通路</v>
      </c>
      <c r="D16">
        <f>IFERROR(IF(INDEX(營收表現!C$6:C$3000,MATCH($A16,營收表現!$A$6:$A$3000,0))="","",INDEX(營收表現!C$6:C$3000,MATCH($A16,營收表現!$A$6:$A$3000,0))),"")</f>
        <v>-0.28000000000000003</v>
      </c>
      <c r="E16">
        <f>IFERROR(IF(INDEX(營收表現!D$6:D$3000,MATCH($A16,營收表現!$A$6:$A$3000,0))="","",INDEX(營收表現!D$6:D$3000,MATCH($A16,營收表現!$A$6:$A$3000,0))),"")</f>
        <v>6.59</v>
      </c>
      <c r="F16">
        <f>IFERROR(IF(INDEX(營收表現!E$6:E$3000,MATCH($A16,營收表現!$A$6:$A$3000,0))="","",INDEX(營收表現!E$6:E$3000,MATCH($A16,營收表現!$A$6:$A$3000,0))),"")</f>
        <v>-16.63</v>
      </c>
      <c r="G16">
        <f>IFERROR(IF(INDEX(營收表現!F$6:F$3000,MATCH($A16,營收表現!$A$6:$A$3000,0))="","",INDEX(營收表現!F$6:F$3000,MATCH($A16,營收表現!$A$6:$A$3000,0))),"")</f>
        <v>13.02</v>
      </c>
      <c r="H16">
        <f>IFERROR(IF(INDEX(營收表現!G$6:G$3000,MATCH($A16,營收表現!$A$6:$A$3000,0))="","",INDEX(營收表現!G$6:G$3000,MATCH($A16,營收表現!$A$6:$A$3000,0))),"")</f>
        <v>12.88</v>
      </c>
      <c r="I16">
        <f>IFERROR(IF(INDEX(營收表現!H$6:H$3000,MATCH($A16,營收表現!$A$6:$A$3000,0))="","",INDEX(營收表現!H$6:H$3000,MATCH($A16,營收表現!$A$6:$A$3000,0))),"")</f>
        <v>-7.33</v>
      </c>
      <c r="J16">
        <f>IFERROR(IF(INDEX(營收表現!I$6:I$3000,MATCH($A16,營收表現!$A$6:$A$3000,0))="","",INDEX(營收表現!I$6:I$3000,MATCH($A16,營收表現!$A$6:$A$3000,0))),"")</f>
        <v>7.74</v>
      </c>
      <c r="K16">
        <f>IFERROR(IF(INDEX(營收表現!J$6:J$3000,MATCH($A16,營收表現!$A$6:$A$3000,0))="","",INDEX(營收表現!J$6:J$3000,MATCH($A16,營收表現!$A$6:$A$3000,0))),"")</f>
        <v>14.64</v>
      </c>
      <c r="L16">
        <f>IFERROR(IF(INDEX(營收表現!K$6:K$3000,MATCH($A16,營收表現!$A$6:$A$3000,0))="","",INDEX(營收表現!K$6:K$3000,MATCH($A16,營收表現!$A$6:$A$3000,0))),"")</f>
        <v>-3.04</v>
      </c>
      <c r="M16">
        <f>IFERROR(IF(INDEX(營收表現!L$6:L$3000,MATCH($A16,營收表現!$A$6:$A$3000,0))="","",INDEX(營收表現!L$6:L$3000,MATCH($A16,營收表現!$A$6:$A$3000,0))),"")</f>
        <v>9.99</v>
      </c>
      <c r="N16">
        <f>IFERROR(IF(INDEX(營收表現!M$6:M$3000,MATCH($A16,營收表現!$A$6:$A$3000,0))="","",INDEX(營收表現!M$6:M$3000,MATCH($A16,營收表現!$A$6:$A$3000,0))),"")</f>
        <v>18.88</v>
      </c>
      <c r="O16">
        <f>IF(INDEX(營收表現!N$6:N$3000,MATCH($A16,營收表現!$A$6:$A$3000,0))="","",INDEX(營收表現!N$6:N$3000,MATCH($A16,營收表現!$A$6:$A$3000,0)))</f>
        <v>8.25</v>
      </c>
    </row>
    <row r="17" spans="1:15">
      <c r="A17" s="2" t="s">
        <v>7843</v>
      </c>
      <c r="B17" t="str">
        <f>IFERROR(INDEX(營收表現!B$6:B$3000,MATCH($A17,營收表現!$A$6:$A$3000,0)),"")</f>
        <v>瑞耘</v>
      </c>
      <c r="C17" t="str">
        <f>IFERROR(INDEX(類別!G$4:G$3000,MATCH($A17,類別!$C$4:$C$3000,0)),"")</f>
        <v>半導體設備</v>
      </c>
      <c r="D17">
        <f>IFERROR(IF(INDEX(營收表現!C$6:C$3000,MATCH($A17,營收表現!$A$6:$A$3000,0))="","",INDEX(營收表現!C$6:C$3000,MATCH($A17,營收表現!$A$6:$A$3000,0))),"")</f>
        <v>-25.42</v>
      </c>
      <c r="E17">
        <f>IFERROR(IF(INDEX(營收表現!D$6:D$3000,MATCH($A17,營收表現!$A$6:$A$3000,0))="","",INDEX(營收表現!D$6:D$3000,MATCH($A17,營收表現!$A$6:$A$3000,0))),"")</f>
        <v>13.31</v>
      </c>
      <c r="F17">
        <f>IFERROR(IF(INDEX(營收表現!E$6:E$3000,MATCH($A17,營收表現!$A$6:$A$3000,0))="","",INDEX(營收表現!E$6:E$3000,MATCH($A17,營收表現!$A$6:$A$3000,0))),"")</f>
        <v>-19.38</v>
      </c>
      <c r="G17">
        <f>IFERROR(IF(INDEX(營收表現!F$6:F$3000,MATCH($A17,營收表現!$A$6:$A$3000,0))="","",INDEX(營收表現!F$6:F$3000,MATCH($A17,營收表現!$A$6:$A$3000,0))),"")</f>
        <v>57.66</v>
      </c>
      <c r="H17">
        <f>IFERROR(IF(INDEX(營收表現!G$6:G$3000,MATCH($A17,營收表現!$A$6:$A$3000,0))="","",INDEX(營收表現!G$6:G$3000,MATCH($A17,營收表現!$A$6:$A$3000,0))),"")</f>
        <v>-1.2</v>
      </c>
      <c r="I17">
        <f>IFERROR(IF(INDEX(營收表現!H$6:H$3000,MATCH($A17,營收表現!$A$6:$A$3000,0))="","",INDEX(營收表現!H$6:H$3000,MATCH($A17,營收表現!$A$6:$A$3000,0))),"")</f>
        <v>-19.91</v>
      </c>
      <c r="J17">
        <f>IFERROR(IF(INDEX(營收表現!I$6:I$3000,MATCH($A17,營收表現!$A$6:$A$3000,0))="","",INDEX(營收表現!I$6:I$3000,MATCH($A17,營收表現!$A$6:$A$3000,0))),"")</f>
        <v>-39.04</v>
      </c>
      <c r="K17">
        <f>IFERROR(IF(INDEX(營收表現!J$6:J$3000,MATCH($A17,營收表現!$A$6:$A$3000,0))="","",INDEX(營收表現!J$6:J$3000,MATCH($A17,營收表現!$A$6:$A$3000,0))),"")</f>
        <v>-17.809999999999999</v>
      </c>
      <c r="L17">
        <f>IFERROR(IF(INDEX(營收表現!K$6:K$3000,MATCH($A17,營收表現!$A$6:$A$3000,0))="","",INDEX(營收表現!K$6:K$3000,MATCH($A17,營收表現!$A$6:$A$3000,0))),"")</f>
        <v>-28.71</v>
      </c>
      <c r="M17">
        <f>IFERROR(IF(INDEX(營收表現!L$6:L$3000,MATCH($A17,營收表現!$A$6:$A$3000,0))="","",INDEX(營收表現!L$6:L$3000,MATCH($A17,營收表現!$A$6:$A$3000,0))),"")</f>
        <v>-6.76</v>
      </c>
      <c r="N17">
        <f>IFERROR(IF(INDEX(營收表現!M$6:M$3000,MATCH($A17,營收表現!$A$6:$A$3000,0))="","",INDEX(營收表現!M$6:M$3000,MATCH($A17,營收表現!$A$6:$A$3000,0))),"")</f>
        <v>-11.07</v>
      </c>
      <c r="O17">
        <f>IF(INDEX(營收表現!N$6:N$3000,MATCH($A17,營收表現!$A$6:$A$3000,0))="","",INDEX(營收表現!N$6:N$3000,MATCH($A17,營收表現!$A$6:$A$3000,0)))</f>
        <v>-19.239999999999998</v>
      </c>
    </row>
    <row r="18" spans="1:15">
      <c r="A18" s="2" t="s">
        <v>7845</v>
      </c>
      <c r="B18" t="str">
        <f>IFERROR(INDEX(營收表現!B$6:B$3000,MATCH($A18,營收表現!$A$6:$A$3000,0)),"")</f>
        <v>大量</v>
      </c>
      <c r="C18" t="str">
        <f>IFERROR(INDEX(類別!G$4:G$3000,MATCH($A18,類別!$C$4:$C$3000,0)),"")</f>
        <v>儀器設備</v>
      </c>
      <c r="D18">
        <f>IFERROR(IF(INDEX(營收表現!C$6:C$3000,MATCH($A18,營收表現!$A$6:$A$3000,0))="","",INDEX(營收表現!C$6:C$3000,MATCH($A18,營收表現!$A$6:$A$3000,0))),"")</f>
        <v>6.33</v>
      </c>
      <c r="E18">
        <f>IFERROR(IF(INDEX(營收表現!D$6:D$3000,MATCH($A18,營收表現!$A$6:$A$3000,0))="","",INDEX(營收表現!D$6:D$3000,MATCH($A18,營收表現!$A$6:$A$3000,0))),"")</f>
        <v>-0.68</v>
      </c>
      <c r="F18">
        <f>IFERROR(IF(INDEX(營收表現!E$6:E$3000,MATCH($A18,營收表現!$A$6:$A$3000,0))="","",INDEX(營收表現!E$6:E$3000,MATCH($A18,營收表現!$A$6:$A$3000,0))),"")</f>
        <v>4.1100000000000003</v>
      </c>
      <c r="G18">
        <f>IFERROR(IF(INDEX(營收表現!F$6:F$3000,MATCH($A18,營收表現!$A$6:$A$3000,0))="","",INDEX(營收表現!F$6:F$3000,MATCH($A18,營收表現!$A$6:$A$3000,0))),"")</f>
        <v>-1.58</v>
      </c>
      <c r="H18">
        <f>IFERROR(IF(INDEX(營收表現!G$6:G$3000,MATCH($A18,營收表現!$A$6:$A$3000,0))="","",INDEX(營收表現!G$6:G$3000,MATCH($A18,營收表現!$A$6:$A$3000,0))),"")</f>
        <v>13.98</v>
      </c>
      <c r="I18">
        <f>IFERROR(IF(INDEX(營收表現!H$6:H$3000,MATCH($A18,營收表現!$A$6:$A$3000,0))="","",INDEX(營收表現!H$6:H$3000,MATCH($A18,營收表現!$A$6:$A$3000,0))),"")</f>
        <v>7.53</v>
      </c>
      <c r="J18">
        <f>IFERROR(IF(INDEX(營收表現!I$6:I$3000,MATCH($A18,營收表現!$A$6:$A$3000,0))="","",INDEX(營收表現!I$6:I$3000,MATCH($A18,營收表現!$A$6:$A$3000,0))),"")</f>
        <v>113.06</v>
      </c>
      <c r="K18">
        <f>IFERROR(IF(INDEX(營收表現!J$6:J$3000,MATCH($A18,營收表現!$A$6:$A$3000,0))="","",INDEX(營收表現!J$6:J$3000,MATCH($A18,營收表現!$A$6:$A$3000,0))),"")</f>
        <v>73.3</v>
      </c>
      <c r="L18">
        <f>IFERROR(IF(INDEX(營收表現!K$6:K$3000,MATCH($A18,營收表現!$A$6:$A$3000,0))="","",INDEX(營收表現!K$6:K$3000,MATCH($A18,營收表現!$A$6:$A$3000,0))),"")</f>
        <v>54.98</v>
      </c>
      <c r="M18">
        <f>IFERROR(IF(INDEX(營收表現!L$6:L$3000,MATCH($A18,營收表現!$A$6:$A$3000,0))="","",INDEX(營收表現!L$6:L$3000,MATCH($A18,營收表現!$A$6:$A$3000,0))),"")</f>
        <v>53.42</v>
      </c>
      <c r="N18">
        <f>IFERROR(IF(INDEX(營收表現!M$6:M$3000,MATCH($A18,營收表現!$A$6:$A$3000,0))="","",INDEX(營收表現!M$6:M$3000,MATCH($A18,營收表現!$A$6:$A$3000,0))),"")</f>
        <v>61.02</v>
      </c>
      <c r="O18">
        <f>IF(INDEX(營收表現!N$6:N$3000,MATCH($A18,營收表現!$A$6:$A$3000,0))="","",INDEX(營收表現!N$6:N$3000,MATCH($A18,營收表現!$A$6:$A$3000,0)))</f>
        <v>119.57</v>
      </c>
    </row>
    <row r="19" spans="1:15">
      <c r="A19" s="2" t="s">
        <v>7846</v>
      </c>
      <c r="B19" t="str">
        <f>IFERROR(INDEX(營收表現!B$6:B$3000,MATCH($A19,營收表現!$A$6:$A$3000,0)),"")</f>
        <v>友威科</v>
      </c>
      <c r="C19" t="str">
        <f>IFERROR(INDEX(類別!G$4:G$3000,MATCH($A19,類別!$C$4:$C$3000,0)),"")</f>
        <v>儀器設備</v>
      </c>
      <c r="D19">
        <f>IFERROR(IF(INDEX(營收表現!C$6:C$3000,MATCH($A19,營收表現!$A$6:$A$3000,0))="","",INDEX(營收表現!C$6:C$3000,MATCH($A19,營收表現!$A$6:$A$3000,0))),"")</f>
        <v>-13.12</v>
      </c>
      <c r="E19">
        <f>IFERROR(IF(INDEX(營收表現!D$6:D$3000,MATCH($A19,營收表現!$A$6:$A$3000,0))="","",INDEX(營收表現!D$6:D$3000,MATCH($A19,營收表現!$A$6:$A$3000,0))),"")</f>
        <v>-3.55</v>
      </c>
      <c r="F19">
        <f>IFERROR(IF(INDEX(營收表現!E$6:E$3000,MATCH($A19,營收表現!$A$6:$A$3000,0))="","",INDEX(營收表現!E$6:E$3000,MATCH($A19,營收表現!$A$6:$A$3000,0))),"")</f>
        <v>38.26</v>
      </c>
      <c r="G19">
        <f>IFERROR(IF(INDEX(營收表現!F$6:F$3000,MATCH($A19,營收表現!$A$6:$A$3000,0))="","",INDEX(營收表現!F$6:F$3000,MATCH($A19,營收表現!$A$6:$A$3000,0))),"")</f>
        <v>-41.03</v>
      </c>
      <c r="H19">
        <f>IFERROR(IF(INDEX(營收表現!G$6:G$3000,MATCH($A19,營收表現!$A$6:$A$3000,0))="","",INDEX(營收表現!G$6:G$3000,MATCH($A19,營收表現!$A$6:$A$3000,0))),"")</f>
        <v>28.01</v>
      </c>
      <c r="I19">
        <f>IFERROR(IF(INDEX(營收表現!H$6:H$3000,MATCH($A19,營收表現!$A$6:$A$3000,0))="","",INDEX(營收表現!H$6:H$3000,MATCH($A19,營收表現!$A$6:$A$3000,0))),"")</f>
        <v>-26.81</v>
      </c>
      <c r="J19">
        <f>IFERROR(IF(INDEX(營收表現!I$6:I$3000,MATCH($A19,營收表現!$A$6:$A$3000,0))="","",INDEX(營收表現!I$6:I$3000,MATCH($A19,營收表現!$A$6:$A$3000,0))),"")</f>
        <v>-27.26</v>
      </c>
      <c r="K19">
        <f>IFERROR(IF(INDEX(營收表現!J$6:J$3000,MATCH($A19,營收表現!$A$6:$A$3000,0))="","",INDEX(營收表現!J$6:J$3000,MATCH($A19,營收表現!$A$6:$A$3000,0))),"")</f>
        <v>-37.26</v>
      </c>
      <c r="L19">
        <f>IFERROR(IF(INDEX(營收表現!K$6:K$3000,MATCH($A19,營收表現!$A$6:$A$3000,0))="","",INDEX(營收表現!K$6:K$3000,MATCH($A19,營收表現!$A$6:$A$3000,0))),"")</f>
        <v>-33</v>
      </c>
      <c r="M19">
        <f>IFERROR(IF(INDEX(營收表現!L$6:L$3000,MATCH($A19,營收表現!$A$6:$A$3000,0))="","",INDEX(營收表現!L$6:L$3000,MATCH($A19,營收表現!$A$6:$A$3000,0))),"")</f>
        <v>-29.47</v>
      </c>
      <c r="N19">
        <f>IFERROR(IF(INDEX(營收表現!M$6:M$3000,MATCH($A19,營收表現!$A$6:$A$3000,0))="","",INDEX(營收表現!M$6:M$3000,MATCH($A19,營收表現!$A$6:$A$3000,0))),"")</f>
        <v>-8.01</v>
      </c>
      <c r="O19">
        <f>IF(INDEX(營收表現!N$6:N$3000,MATCH($A19,營收表現!$A$6:$A$3000,0))="","",INDEX(營收表現!N$6:N$3000,MATCH($A19,營收表現!$A$6:$A$3000,0)))</f>
        <v>-10.41</v>
      </c>
    </row>
    <row r="20" spans="1:15">
      <c r="A20" s="2" t="s">
        <v>7847</v>
      </c>
      <c r="B20" t="str">
        <f>IFERROR(INDEX(營收表現!B$6:B$3000,MATCH($A20,營收表現!$A$6:$A$3000,0)),"")</f>
        <v>弘塑</v>
      </c>
      <c r="C20" t="str">
        <f>IFERROR(INDEX(類別!G$4:G$3000,MATCH($A20,類別!$C$4:$C$3000,0)),"")</f>
        <v>半導體設備</v>
      </c>
      <c r="D20">
        <f>IFERROR(IF(INDEX(營收表現!C$6:C$3000,MATCH($A20,營收表現!$A$6:$A$3000,0))="","",INDEX(營收表現!C$6:C$3000,MATCH($A20,營收表現!$A$6:$A$3000,0))),"")</f>
        <v>-14.63</v>
      </c>
      <c r="E20">
        <f>IFERROR(IF(INDEX(營收表現!D$6:D$3000,MATCH($A20,營收表現!$A$6:$A$3000,0))="","",INDEX(營收表現!D$6:D$3000,MATCH($A20,營收表現!$A$6:$A$3000,0))),"")</f>
        <v>-2.9</v>
      </c>
      <c r="F20">
        <f>IFERROR(IF(INDEX(營收表現!E$6:E$3000,MATCH($A20,營收表現!$A$6:$A$3000,0))="","",INDEX(營收表現!E$6:E$3000,MATCH($A20,營收表現!$A$6:$A$3000,0))),"")</f>
        <v>24.99</v>
      </c>
      <c r="G20">
        <f>IFERROR(IF(INDEX(營收表現!F$6:F$3000,MATCH($A20,營收表現!$A$6:$A$3000,0))="","",INDEX(營收表現!F$6:F$3000,MATCH($A20,營收表現!$A$6:$A$3000,0))),"")</f>
        <v>-1.95</v>
      </c>
      <c r="H20">
        <f>IFERROR(IF(INDEX(營收表現!G$6:G$3000,MATCH($A20,營收表現!$A$6:$A$3000,0))="","",INDEX(營收表現!G$6:G$3000,MATCH($A20,營收表現!$A$6:$A$3000,0))),"")</f>
        <v>78.12</v>
      </c>
      <c r="I20">
        <f>IFERROR(IF(INDEX(營收表現!H$6:H$3000,MATCH($A20,營收表現!$A$6:$A$3000,0))="","",INDEX(營收表現!H$6:H$3000,MATCH($A20,營收表現!$A$6:$A$3000,0))),"")</f>
        <v>-47.71</v>
      </c>
      <c r="J20">
        <f>IFERROR(IF(INDEX(營收表現!I$6:I$3000,MATCH($A20,營收表現!$A$6:$A$3000,0))="","",INDEX(營收表現!I$6:I$3000,MATCH($A20,營收表現!$A$6:$A$3000,0))),"")</f>
        <v>45.32</v>
      </c>
      <c r="K20">
        <f>IFERROR(IF(INDEX(營收表現!J$6:J$3000,MATCH($A20,營收表現!$A$6:$A$3000,0))="","",INDEX(營收表現!J$6:J$3000,MATCH($A20,營收表現!$A$6:$A$3000,0))),"")</f>
        <v>39.020000000000003</v>
      </c>
      <c r="L20">
        <f>IFERROR(IF(INDEX(營收表現!K$6:K$3000,MATCH($A20,營收表現!$A$6:$A$3000,0))="","",INDEX(營收表現!K$6:K$3000,MATCH($A20,營收表現!$A$6:$A$3000,0))),"")</f>
        <v>52.58</v>
      </c>
      <c r="M20">
        <f>IFERROR(IF(INDEX(營收表現!L$6:L$3000,MATCH($A20,營收表現!$A$6:$A$3000,0))="","",INDEX(營收表現!L$6:L$3000,MATCH($A20,營收表現!$A$6:$A$3000,0))),"")</f>
        <v>60.14</v>
      </c>
      <c r="N20">
        <f>IFERROR(IF(INDEX(營收表現!M$6:M$3000,MATCH($A20,營收表現!$A$6:$A$3000,0))="","",INDEX(營收表現!M$6:M$3000,MATCH($A20,營收表現!$A$6:$A$3000,0))),"")</f>
        <v>105.3</v>
      </c>
      <c r="O20">
        <f>IF(INDEX(營收表現!N$6:N$3000,MATCH($A20,營收表現!$A$6:$A$3000,0))="","",INDEX(營收表現!N$6:N$3000,MATCH($A20,營收表現!$A$6:$A$3000,0)))</f>
        <v>41.97</v>
      </c>
    </row>
    <row r="21" spans="1:15">
      <c r="A21" s="2" t="s">
        <v>7848</v>
      </c>
      <c r="B21" t="str">
        <f>IFERROR(INDEX(營收表現!B$6:B$3000,MATCH($A21,營收表現!$A$6:$A$3000,0)),"")</f>
        <v>均豪</v>
      </c>
      <c r="C21" t="str">
        <f>IFERROR(INDEX(類別!G$4:G$3000,MATCH($A21,類別!$C$4:$C$3000,0)),"")</f>
        <v>儀器設備</v>
      </c>
      <c r="D21">
        <f>IFERROR(IF(INDEX(營收表現!C$6:C$3000,MATCH($A21,營收表現!$A$6:$A$3000,0))="","",INDEX(營收表現!C$6:C$3000,MATCH($A21,營收表現!$A$6:$A$3000,0))),"")</f>
        <v>71.989999999999995</v>
      </c>
      <c r="E21">
        <f>IFERROR(IF(INDEX(營收表現!D$6:D$3000,MATCH($A21,營收表現!$A$6:$A$3000,0))="","",INDEX(營收表現!D$6:D$3000,MATCH($A21,營收表現!$A$6:$A$3000,0))),"")</f>
        <v>-21.24</v>
      </c>
      <c r="F21">
        <f>IFERROR(IF(INDEX(營收表現!E$6:E$3000,MATCH($A21,營收表現!$A$6:$A$3000,0))="","",INDEX(營收表現!E$6:E$3000,MATCH($A21,營收表現!$A$6:$A$3000,0))),"")</f>
        <v>-25.78</v>
      </c>
      <c r="G21">
        <f>IFERROR(IF(INDEX(營收表現!F$6:F$3000,MATCH($A21,營收表現!$A$6:$A$3000,0))="","",INDEX(營收表現!F$6:F$3000,MATCH($A21,營收表現!$A$6:$A$3000,0))),"")</f>
        <v>16.690000000000001</v>
      </c>
      <c r="H21">
        <f>IFERROR(IF(INDEX(營收表現!G$6:G$3000,MATCH($A21,營收表現!$A$6:$A$3000,0))="","",INDEX(營收表現!G$6:G$3000,MATCH($A21,營收表現!$A$6:$A$3000,0))),"")</f>
        <v>50.14</v>
      </c>
      <c r="I21">
        <f>IFERROR(IF(INDEX(營收表現!H$6:H$3000,MATCH($A21,營收表現!$A$6:$A$3000,0))="","",INDEX(營收表現!H$6:H$3000,MATCH($A21,營收表現!$A$6:$A$3000,0))),"")</f>
        <v>-51.47</v>
      </c>
      <c r="J21">
        <f>IFERROR(IF(INDEX(營收表現!I$6:I$3000,MATCH($A21,營收表現!$A$6:$A$3000,0))="","",INDEX(營收表現!I$6:I$3000,MATCH($A21,營收表現!$A$6:$A$3000,0))),"")</f>
        <v>30.44</v>
      </c>
      <c r="K21">
        <f>IFERROR(IF(INDEX(營收表現!J$6:J$3000,MATCH($A21,營收表現!$A$6:$A$3000,0))="","",INDEX(營收表現!J$6:J$3000,MATCH($A21,營收表現!$A$6:$A$3000,0))),"")</f>
        <v>69.13</v>
      </c>
      <c r="L21">
        <f>IFERROR(IF(INDEX(營收表現!K$6:K$3000,MATCH($A21,營收表現!$A$6:$A$3000,0))="","",INDEX(營收表現!K$6:K$3000,MATCH($A21,營收表現!$A$6:$A$3000,0))),"")</f>
        <v>-33.06</v>
      </c>
      <c r="M21">
        <f>IFERROR(IF(INDEX(營收表現!L$6:L$3000,MATCH($A21,營收表現!$A$6:$A$3000,0))="","",INDEX(營收表現!L$6:L$3000,MATCH($A21,營收表現!$A$6:$A$3000,0))),"")</f>
        <v>-23.66</v>
      </c>
      <c r="N21">
        <f>IFERROR(IF(INDEX(營收表現!M$6:M$3000,MATCH($A21,營收表現!$A$6:$A$3000,0))="","",INDEX(營收表現!M$6:M$3000,MATCH($A21,營收表現!$A$6:$A$3000,0))),"")</f>
        <v>1.3</v>
      </c>
      <c r="O21">
        <f>IF(INDEX(營收表現!N$6:N$3000,MATCH($A21,營收表現!$A$6:$A$3000,0))="","",INDEX(營收表現!N$6:N$3000,MATCH($A21,營收表現!$A$6:$A$3000,0)))</f>
        <v>-5.41</v>
      </c>
    </row>
    <row r="22" spans="1:15">
      <c r="A22" s="2" t="s">
        <v>7834</v>
      </c>
      <c r="B22" t="str">
        <f>IFERROR(INDEX(營收表現!B$6:B$3000,MATCH($A22,營收表現!$A$6:$A$3000,0)),"")</f>
        <v>志聖</v>
      </c>
      <c r="C22" t="str">
        <f>IFERROR(INDEX(類別!G$4:G$3000,MATCH($A22,類別!$C$4:$C$3000,0)),"")</f>
        <v>儀器設備</v>
      </c>
      <c r="D22">
        <f>IFERROR(IF(INDEX(營收表現!C$6:C$3000,MATCH($A22,營收表現!$A$6:$A$3000,0))="","",INDEX(營收表現!C$6:C$3000,MATCH($A22,營收表現!$A$6:$A$3000,0))),"")</f>
        <v>7.38</v>
      </c>
      <c r="E22">
        <f>IFERROR(IF(INDEX(營收表現!D$6:D$3000,MATCH($A22,營收表現!$A$6:$A$3000,0))="","",INDEX(營收表現!D$6:D$3000,MATCH($A22,營收表現!$A$6:$A$3000,0))),"")</f>
        <v>-7.97</v>
      </c>
      <c r="F22">
        <f>IFERROR(IF(INDEX(營收表現!E$6:E$3000,MATCH($A22,營收表現!$A$6:$A$3000,0))="","",INDEX(營收表現!E$6:E$3000,MATCH($A22,營收表現!$A$6:$A$3000,0))),"")</f>
        <v>13.13</v>
      </c>
      <c r="G22">
        <f>IFERROR(IF(INDEX(營收表現!F$6:F$3000,MATCH($A22,營收表現!$A$6:$A$3000,0))="","",INDEX(營收表現!F$6:F$3000,MATCH($A22,營收表現!$A$6:$A$3000,0))),"")</f>
        <v>3.84</v>
      </c>
      <c r="H22">
        <f>IFERROR(IF(INDEX(營收表現!G$6:G$3000,MATCH($A22,營收表現!$A$6:$A$3000,0))="","",INDEX(營收表現!G$6:G$3000,MATCH($A22,營收表現!$A$6:$A$3000,0))),"")</f>
        <v>3.66</v>
      </c>
      <c r="I22">
        <f>IFERROR(IF(INDEX(營收表現!H$6:H$3000,MATCH($A22,營收表現!$A$6:$A$3000,0))="","",INDEX(營收表現!H$6:H$3000,MATCH($A22,營收表現!$A$6:$A$3000,0))),"")</f>
        <v>64.599999999999994</v>
      </c>
      <c r="J22">
        <f>IFERROR(IF(INDEX(營收表現!I$6:I$3000,MATCH($A22,營收表現!$A$6:$A$3000,0))="","",INDEX(營收表現!I$6:I$3000,MATCH($A22,營收表現!$A$6:$A$3000,0))),"")</f>
        <v>50.77</v>
      </c>
      <c r="K22">
        <f>IFERROR(IF(INDEX(營收表現!J$6:J$3000,MATCH($A22,營收表現!$A$6:$A$3000,0))="","",INDEX(營收表現!J$6:J$3000,MATCH($A22,營收表現!$A$6:$A$3000,0))),"")</f>
        <v>48.78</v>
      </c>
      <c r="L22">
        <f>IFERROR(IF(INDEX(營收表現!K$6:K$3000,MATCH($A22,營收表現!$A$6:$A$3000,0))="","",INDEX(營收表現!K$6:K$3000,MATCH($A22,營收表現!$A$6:$A$3000,0))),"")</f>
        <v>50.99</v>
      </c>
      <c r="M22">
        <f>IFERROR(IF(INDEX(營收表現!L$6:L$3000,MATCH($A22,營收表現!$A$6:$A$3000,0))="","",INDEX(營收表現!L$6:L$3000,MATCH($A22,營收表現!$A$6:$A$3000,0))),"")</f>
        <v>9.76</v>
      </c>
      <c r="N22">
        <f>IFERROR(IF(INDEX(營收表現!M$6:M$3000,MATCH($A22,營收表現!$A$6:$A$3000,0))="","",INDEX(營收表現!M$6:M$3000,MATCH($A22,營收表現!$A$6:$A$3000,0))),"")</f>
        <v>39.200000000000003</v>
      </c>
      <c r="O22">
        <f>IF(INDEX(營收表現!N$6:N$3000,MATCH($A22,營收表現!$A$6:$A$3000,0))="","",INDEX(營收表現!N$6:N$3000,MATCH($A22,營收表現!$A$6:$A$3000,0)))</f>
        <v>124.1</v>
      </c>
    </row>
    <row r="23" spans="1:15">
      <c r="A23" s="2" t="s">
        <v>7849</v>
      </c>
      <c r="B23" t="str">
        <f>IFERROR(INDEX(營收表現!B$6:B$3000,MATCH($A23,營收表現!$A$6:$A$3000,0)),"")</f>
        <v>辛耘</v>
      </c>
      <c r="C23" t="str">
        <f>IFERROR(INDEX(類別!G$4:G$3000,MATCH($A23,類別!$C$4:$C$3000,0)),"")</f>
        <v>半導體設備</v>
      </c>
      <c r="D23">
        <f>IFERROR(IF(INDEX(營收表現!C$6:C$3000,MATCH($A23,營收表現!$A$6:$A$3000,0))="","",INDEX(營收表現!C$6:C$3000,MATCH($A23,營收表現!$A$6:$A$3000,0))),"")</f>
        <v>-0.9</v>
      </c>
      <c r="E23">
        <f>IFERROR(IF(INDEX(營收表現!D$6:D$3000,MATCH($A23,營收表現!$A$6:$A$3000,0))="","",INDEX(營收表現!D$6:D$3000,MATCH($A23,營收表現!$A$6:$A$3000,0))),"")</f>
        <v>11.88</v>
      </c>
      <c r="F23">
        <f>IFERROR(IF(INDEX(營收表現!E$6:E$3000,MATCH($A23,營收表現!$A$6:$A$3000,0))="","",INDEX(營收表現!E$6:E$3000,MATCH($A23,營收表現!$A$6:$A$3000,0))),"")</f>
        <v>-13.37</v>
      </c>
      <c r="G23">
        <f>IFERROR(IF(INDEX(營收表現!F$6:F$3000,MATCH($A23,營收表現!$A$6:$A$3000,0))="","",INDEX(營收表現!F$6:F$3000,MATCH($A23,營收表現!$A$6:$A$3000,0))),"")</f>
        <v>9.2100000000000009</v>
      </c>
      <c r="H23">
        <f>IFERROR(IF(INDEX(營收表現!G$6:G$3000,MATCH($A23,營收表現!$A$6:$A$3000,0))="","",INDEX(營收表現!G$6:G$3000,MATCH($A23,營收表現!$A$6:$A$3000,0))),"")</f>
        <v>2.2799999999999998</v>
      </c>
      <c r="I23">
        <f>IFERROR(IF(INDEX(營收表現!H$6:H$3000,MATCH($A23,營收表現!$A$6:$A$3000,0))="","",INDEX(營收表現!H$6:H$3000,MATCH($A23,營收表現!$A$6:$A$3000,0))),"")</f>
        <v>3.86</v>
      </c>
      <c r="J23">
        <f>IFERROR(IF(INDEX(營收表現!I$6:I$3000,MATCH($A23,營收表現!$A$6:$A$3000,0))="","",INDEX(營收表現!I$6:I$3000,MATCH($A23,營收表現!$A$6:$A$3000,0))),"")</f>
        <v>2.8</v>
      </c>
      <c r="K23">
        <f>IFERROR(IF(INDEX(營收表現!J$6:J$3000,MATCH($A23,營收表現!$A$6:$A$3000,0))="","",INDEX(營收表現!J$6:J$3000,MATCH($A23,營收表現!$A$6:$A$3000,0))),"")</f>
        <v>16.88</v>
      </c>
      <c r="L23">
        <f>IFERROR(IF(INDEX(營收表現!K$6:K$3000,MATCH($A23,營收表現!$A$6:$A$3000,0))="","",INDEX(營收表現!K$6:K$3000,MATCH($A23,營收表現!$A$6:$A$3000,0))),"")</f>
        <v>-0.52</v>
      </c>
      <c r="M23">
        <f>IFERROR(IF(INDEX(營收表現!L$6:L$3000,MATCH($A23,營收表現!$A$6:$A$3000,0))="","",INDEX(營收表現!L$6:L$3000,MATCH($A23,營收表現!$A$6:$A$3000,0))),"")</f>
        <v>6.55</v>
      </c>
      <c r="N23">
        <f>IFERROR(IF(INDEX(營收表現!M$6:M$3000,MATCH($A23,營收表現!$A$6:$A$3000,0))="","",INDEX(營收表現!M$6:M$3000,MATCH($A23,營收表現!$A$6:$A$3000,0))),"")</f>
        <v>24.03</v>
      </c>
      <c r="O23">
        <f>IF(INDEX(營收表現!N$6:N$3000,MATCH($A23,營收表現!$A$6:$A$3000,0))="","",INDEX(營收表現!N$6:N$3000,MATCH($A23,營收表現!$A$6:$A$3000,0)))</f>
        <v>14.44</v>
      </c>
    </row>
    <row r="24" spans="1:15">
      <c r="A24" s="2" t="s">
        <v>7850</v>
      </c>
      <c r="B24" t="str">
        <f>IFERROR(INDEX(營收表現!B$6:B$3000,MATCH($A24,營收表現!$A$6:$A$3000,0)),"")</f>
        <v>迅得</v>
      </c>
      <c r="C24" t="str">
        <f>IFERROR(INDEX(類別!G$4:G$3000,MATCH($A24,類別!$C$4:$C$3000,0)),"")</f>
        <v>儀器設備</v>
      </c>
      <c r="D24">
        <f>IFERROR(IF(INDEX(營收表現!C$6:C$3000,MATCH($A24,營收表現!$A$6:$A$3000,0))="","",INDEX(營收表現!C$6:C$3000,MATCH($A24,營收表現!$A$6:$A$3000,0))),"")</f>
        <v>-12.62</v>
      </c>
      <c r="E24">
        <f>IFERROR(IF(INDEX(營收表現!D$6:D$3000,MATCH($A24,營收表現!$A$6:$A$3000,0))="","",INDEX(營收表現!D$6:D$3000,MATCH($A24,營收表現!$A$6:$A$3000,0))),"")</f>
        <v>0.45</v>
      </c>
      <c r="F24">
        <f>IFERROR(IF(INDEX(營收表現!E$6:E$3000,MATCH($A24,營收表現!$A$6:$A$3000,0))="","",INDEX(營收表現!E$6:E$3000,MATCH($A24,營收表現!$A$6:$A$3000,0))),"")</f>
        <v>-1.06</v>
      </c>
      <c r="G24">
        <f>IFERROR(IF(INDEX(營收表現!F$6:F$3000,MATCH($A24,營收表現!$A$6:$A$3000,0))="","",INDEX(營收表現!F$6:F$3000,MATCH($A24,營收表現!$A$6:$A$3000,0))),"")</f>
        <v>8.48</v>
      </c>
      <c r="H24">
        <f>IFERROR(IF(INDEX(營收表現!G$6:G$3000,MATCH($A24,營收表現!$A$6:$A$3000,0))="","",INDEX(營收表現!G$6:G$3000,MATCH($A24,營收表現!$A$6:$A$3000,0))),"")</f>
        <v>1.93</v>
      </c>
      <c r="I24">
        <f>IFERROR(IF(INDEX(營收表現!H$6:H$3000,MATCH($A24,營收表現!$A$6:$A$3000,0))="","",INDEX(營收表現!H$6:H$3000,MATCH($A24,營收表現!$A$6:$A$3000,0))),"")</f>
        <v>-2.74</v>
      </c>
      <c r="J24">
        <f>IFERROR(IF(INDEX(營收表現!I$6:I$3000,MATCH($A24,營收表現!$A$6:$A$3000,0))="","",INDEX(營收表現!I$6:I$3000,MATCH($A24,營收表現!$A$6:$A$3000,0))),"")</f>
        <v>28.11</v>
      </c>
      <c r="K24">
        <f>IFERROR(IF(INDEX(營收表現!J$6:J$3000,MATCH($A24,營收表現!$A$6:$A$3000,0))="","",INDEX(營收表現!J$6:J$3000,MATCH($A24,營收表現!$A$6:$A$3000,0))),"")</f>
        <v>12.14</v>
      </c>
      <c r="L24">
        <f>IFERROR(IF(INDEX(營收表現!K$6:K$3000,MATCH($A24,營收表現!$A$6:$A$3000,0))="","",INDEX(營收表現!K$6:K$3000,MATCH($A24,營收表現!$A$6:$A$3000,0))),"")</f>
        <v>26.39</v>
      </c>
      <c r="M24">
        <f>IFERROR(IF(INDEX(營收表現!L$6:L$3000,MATCH($A24,營收表現!$A$6:$A$3000,0))="","",INDEX(營收表現!L$6:L$3000,MATCH($A24,營收表現!$A$6:$A$3000,0))),"")</f>
        <v>29.22</v>
      </c>
      <c r="N24">
        <f>IFERROR(IF(INDEX(營收表現!M$6:M$3000,MATCH($A24,營收表現!$A$6:$A$3000,0))="","",INDEX(營收表現!M$6:M$3000,MATCH($A24,營收表現!$A$6:$A$3000,0))),"")</f>
        <v>36.33</v>
      </c>
      <c r="O24">
        <f>IF(INDEX(營收表現!N$6:N$3000,MATCH($A24,營收表現!$A$6:$A$3000,0))="","",INDEX(營收表現!N$6:N$3000,MATCH($A24,營收表現!$A$6:$A$3000,0)))</f>
        <v>11.15</v>
      </c>
    </row>
    <row r="25" spans="1:15">
      <c r="A25" s="2" t="s">
        <v>7851</v>
      </c>
      <c r="B25" t="str">
        <f>IFERROR(INDEX(營收表現!B$6:B$3000,MATCH($A25,營收表現!$A$6:$A$3000,0)),"")</f>
        <v>京鼎</v>
      </c>
      <c r="C25" t="str">
        <f>IFERROR(INDEX(類別!G$4:G$3000,MATCH($A25,類別!$C$4:$C$3000,0)),"")</f>
        <v>半導體設備</v>
      </c>
      <c r="D25">
        <f>IFERROR(IF(INDEX(營收表現!C$6:C$3000,MATCH($A25,營收表現!$A$6:$A$3000,0))="","",INDEX(營收表現!C$6:C$3000,MATCH($A25,營收表現!$A$6:$A$3000,0))),"")</f>
        <v>9.51</v>
      </c>
      <c r="E25">
        <f>IFERROR(IF(INDEX(營收表現!D$6:D$3000,MATCH($A25,營收表現!$A$6:$A$3000,0))="","",INDEX(營收表現!D$6:D$3000,MATCH($A25,營收表現!$A$6:$A$3000,0))),"")</f>
        <v>13.12</v>
      </c>
      <c r="F25">
        <f>IFERROR(IF(INDEX(營收表現!E$6:E$3000,MATCH($A25,營收表現!$A$6:$A$3000,0))="","",INDEX(營收表現!E$6:E$3000,MATCH($A25,營收表現!$A$6:$A$3000,0))),"")</f>
        <v>-10.199999999999999</v>
      </c>
      <c r="G25">
        <f>IFERROR(IF(INDEX(營收表現!F$6:F$3000,MATCH($A25,營收表現!$A$6:$A$3000,0))="","",INDEX(營收表現!F$6:F$3000,MATCH($A25,營收表現!$A$6:$A$3000,0))),"")</f>
        <v>-6.19</v>
      </c>
      <c r="H25">
        <f>IFERROR(IF(INDEX(營收表現!G$6:G$3000,MATCH($A25,營收表現!$A$6:$A$3000,0))="","",INDEX(營收表現!G$6:G$3000,MATCH($A25,營收表現!$A$6:$A$3000,0))),"")</f>
        <v>-5.3</v>
      </c>
      <c r="I25">
        <f>IFERROR(IF(INDEX(營收表現!H$6:H$3000,MATCH($A25,營收表現!$A$6:$A$3000,0))="","",INDEX(營收表現!H$6:H$3000,MATCH($A25,營收表現!$A$6:$A$3000,0))),"")</f>
        <v>15.07</v>
      </c>
      <c r="J25">
        <f>IFERROR(IF(INDEX(營收表現!I$6:I$3000,MATCH($A25,營收表現!$A$6:$A$3000,0))="","",INDEX(營收表現!I$6:I$3000,MATCH($A25,營收表現!$A$6:$A$3000,0))),"")</f>
        <v>12.83</v>
      </c>
      <c r="K25">
        <f>IFERROR(IF(INDEX(營收表現!J$6:J$3000,MATCH($A25,營收表現!$A$6:$A$3000,0))="","",INDEX(營收表現!J$6:J$3000,MATCH($A25,營收表現!$A$6:$A$3000,0))),"")</f>
        <v>27.4</v>
      </c>
      <c r="L25">
        <f>IFERROR(IF(INDEX(營收表現!K$6:K$3000,MATCH($A25,營收表現!$A$6:$A$3000,0))="","",INDEX(營收表現!K$6:K$3000,MATCH($A25,營收表現!$A$6:$A$3000,0))),"")</f>
        <v>15.25</v>
      </c>
      <c r="M25">
        <f>IFERROR(IF(INDEX(營收表現!L$6:L$3000,MATCH($A25,營收表現!$A$6:$A$3000,0))="","",INDEX(營收表現!L$6:L$3000,MATCH($A25,營收表現!$A$6:$A$3000,0))),"")</f>
        <v>7.9</v>
      </c>
      <c r="N25">
        <f>IFERROR(IF(INDEX(營收表現!M$6:M$3000,MATCH($A25,營收表現!$A$6:$A$3000,0))="","",INDEX(營收表現!M$6:M$3000,MATCH($A25,營收表現!$A$6:$A$3000,0))),"")</f>
        <v>3.54</v>
      </c>
      <c r="O25">
        <f>IF(INDEX(營收表現!N$6:N$3000,MATCH($A25,營收表現!$A$6:$A$3000,0))="","",INDEX(營收表現!N$6:N$3000,MATCH($A25,營收表現!$A$6:$A$3000,0)))</f>
        <v>11.77</v>
      </c>
    </row>
    <row r="26" spans="1:15">
      <c r="A26" s="2" t="s">
        <v>7852</v>
      </c>
      <c r="B26" t="str">
        <f>IFERROR(INDEX(營收表現!B$6:B$3000,MATCH($A26,營收表現!$A$6:$A$3000,0)),"")</f>
        <v>東捷</v>
      </c>
      <c r="C26" t="str">
        <f>IFERROR(INDEX(類別!G$4:G$3000,MATCH($A26,類別!$C$4:$C$3000,0)),"")</f>
        <v>儀器設備</v>
      </c>
      <c r="D26">
        <f>IFERROR(IF(INDEX(營收表現!C$6:C$3000,MATCH($A26,營收表現!$A$6:$A$3000,0))="","",INDEX(營收表現!C$6:C$3000,MATCH($A26,營收表現!$A$6:$A$3000,0))),"")</f>
        <v>6.47</v>
      </c>
      <c r="E26">
        <f>IFERROR(IF(INDEX(營收表現!D$6:D$3000,MATCH($A26,營收表現!$A$6:$A$3000,0))="","",INDEX(營收表現!D$6:D$3000,MATCH($A26,營收表現!$A$6:$A$3000,0))),"")</f>
        <v>0.68</v>
      </c>
      <c r="F26">
        <f>IFERROR(IF(INDEX(營收表現!E$6:E$3000,MATCH($A26,營收表現!$A$6:$A$3000,0))="","",INDEX(營收表現!E$6:E$3000,MATCH($A26,營收表現!$A$6:$A$3000,0))),"")</f>
        <v>11.95</v>
      </c>
      <c r="G26">
        <f>IFERROR(IF(INDEX(營收表現!F$6:F$3000,MATCH($A26,營收表現!$A$6:$A$3000,0))="","",INDEX(營收表現!F$6:F$3000,MATCH($A26,營收表現!$A$6:$A$3000,0))),"")</f>
        <v>-8.81</v>
      </c>
      <c r="H26">
        <f>IFERROR(IF(INDEX(營收表現!G$6:G$3000,MATCH($A26,營收表現!$A$6:$A$3000,0))="","",INDEX(營收表現!G$6:G$3000,MATCH($A26,營收表現!$A$6:$A$3000,0))),"")</f>
        <v>97.85</v>
      </c>
      <c r="I26">
        <f>IFERROR(IF(INDEX(營收表現!H$6:H$3000,MATCH($A26,營收表現!$A$6:$A$3000,0))="","",INDEX(營收表現!H$6:H$3000,MATCH($A26,營收表現!$A$6:$A$3000,0))),"")</f>
        <v>-62.51</v>
      </c>
      <c r="J26">
        <f>IFERROR(IF(INDEX(營收表現!I$6:I$3000,MATCH($A26,營收表現!$A$6:$A$3000,0))="","",INDEX(營收表現!I$6:I$3000,MATCH($A26,營收表現!$A$6:$A$3000,0))),"")</f>
        <v>-1.5</v>
      </c>
      <c r="K26">
        <f>IFERROR(IF(INDEX(營收表現!J$6:J$3000,MATCH($A26,營收表現!$A$6:$A$3000,0))="","",INDEX(營收表現!J$6:J$3000,MATCH($A26,營收表現!$A$6:$A$3000,0))),"")</f>
        <v>2.8</v>
      </c>
      <c r="L26">
        <f>IFERROR(IF(INDEX(營收表現!K$6:K$3000,MATCH($A26,營收表現!$A$6:$A$3000,0))="","",INDEX(營收表現!K$6:K$3000,MATCH($A26,營收表現!$A$6:$A$3000,0))),"")</f>
        <v>43.04</v>
      </c>
      <c r="M26">
        <f>IFERROR(IF(INDEX(營收表現!L$6:L$3000,MATCH($A26,營收表現!$A$6:$A$3000,0))="","",INDEX(營收表現!L$6:L$3000,MATCH($A26,營收表現!$A$6:$A$3000,0))),"")</f>
        <v>25.02</v>
      </c>
      <c r="N26">
        <f>IFERROR(IF(INDEX(營收表現!M$6:M$3000,MATCH($A26,營收表現!$A$6:$A$3000,0))="","",INDEX(營收表現!M$6:M$3000,MATCH($A26,營收表現!$A$6:$A$3000,0))),"")</f>
        <v>163.94</v>
      </c>
      <c r="O26">
        <f>IF(INDEX(營收表現!N$6:N$3000,MATCH($A26,營收表現!$A$6:$A$3000,0))="","",INDEX(營收表現!N$6:N$3000,MATCH($A26,營收表現!$A$6:$A$3000,0)))</f>
        <v>35.090000000000003</v>
      </c>
    </row>
    <row r="27" spans="1:15">
      <c r="A27" s="2" t="s">
        <v>7853</v>
      </c>
      <c r="B27" t="str">
        <f>IFERROR(INDEX(營收表現!B$6:B$3000,MATCH($A27,營收表現!$A$6:$A$3000,0)),"")</f>
        <v>信紘科</v>
      </c>
      <c r="C27" t="str">
        <f>IFERROR(INDEX(類別!G$4:G$3000,MATCH($A27,類別!$C$4:$C$3000,0)),"")</f>
        <v>半導體設備</v>
      </c>
      <c r="D27">
        <f>IFERROR(IF(INDEX(營收表現!C$6:C$3000,MATCH($A27,營收表現!$A$6:$A$3000,0))="","",INDEX(營收表現!C$6:C$3000,MATCH($A27,營收表現!$A$6:$A$3000,0))),"")</f>
        <v>-17.739999999999998</v>
      </c>
      <c r="E27">
        <f>IFERROR(IF(INDEX(營收表現!D$6:D$3000,MATCH($A27,營收表現!$A$6:$A$3000,0))="","",INDEX(營收表現!D$6:D$3000,MATCH($A27,營收表現!$A$6:$A$3000,0))),"")</f>
        <v>29.65</v>
      </c>
      <c r="F27">
        <f>IFERROR(IF(INDEX(營收表現!E$6:E$3000,MATCH($A27,營收表現!$A$6:$A$3000,0))="","",INDEX(營收表現!E$6:E$3000,MATCH($A27,營收表現!$A$6:$A$3000,0))),"")</f>
        <v>-22.74</v>
      </c>
      <c r="G27">
        <f>IFERROR(IF(INDEX(營收表現!F$6:F$3000,MATCH($A27,營收表現!$A$6:$A$3000,0))="","",INDEX(營收表現!F$6:F$3000,MATCH($A27,營收表現!$A$6:$A$3000,0))),"")</f>
        <v>34.520000000000003</v>
      </c>
      <c r="H27">
        <f>IFERROR(IF(INDEX(營收表現!G$6:G$3000,MATCH($A27,營收表現!$A$6:$A$3000,0))="","",INDEX(營收表現!G$6:G$3000,MATCH($A27,營收表現!$A$6:$A$3000,0))),"")</f>
        <v>-11.92</v>
      </c>
      <c r="I27" t="str">
        <f>IFERROR(IF(INDEX(營收表現!H$6:H$3000,MATCH($A27,營收表現!$A$6:$A$3000,0))="","",INDEX(營收表現!H$6:H$3000,MATCH($A27,營收表現!$A$6:$A$3000,0))),"")</f>
        <v/>
      </c>
      <c r="J27">
        <f>IFERROR(IF(INDEX(營收表現!I$6:I$3000,MATCH($A27,營收表現!$A$6:$A$3000,0))="","",INDEX(營收表現!I$6:I$3000,MATCH($A27,營收表現!$A$6:$A$3000,0))),"")</f>
        <v>25.62</v>
      </c>
      <c r="K27">
        <f>IFERROR(IF(INDEX(營收表現!J$6:J$3000,MATCH($A27,營收表現!$A$6:$A$3000,0))="","",INDEX(營收表現!J$6:J$3000,MATCH($A27,營收表現!$A$6:$A$3000,0))),"")</f>
        <v>56.99</v>
      </c>
      <c r="L27">
        <f>IFERROR(IF(INDEX(營收表現!K$6:K$3000,MATCH($A27,營收表現!$A$6:$A$3000,0))="","",INDEX(營收表現!K$6:K$3000,MATCH($A27,營收表現!$A$6:$A$3000,0))),"")</f>
        <v>34.270000000000003</v>
      </c>
      <c r="M27">
        <f>IFERROR(IF(INDEX(營收表現!L$6:L$3000,MATCH($A27,營收表現!$A$6:$A$3000,0))="","",INDEX(營收表現!L$6:L$3000,MATCH($A27,營收表現!$A$6:$A$3000,0))),"")</f>
        <v>64.77</v>
      </c>
      <c r="N27">
        <f>IFERROR(IF(INDEX(營收表現!M$6:M$3000,MATCH($A27,營收表現!$A$6:$A$3000,0))="","",INDEX(營收表現!M$6:M$3000,MATCH($A27,營收表現!$A$6:$A$3000,0))),"")</f>
        <v>81.56</v>
      </c>
      <c r="O27" t="str">
        <f>IF(INDEX(營收表現!N$6:N$3000,MATCH($A27,營收表現!$A$6:$A$3000,0))="","",INDEX(營收表現!N$6:N$3000,MATCH($A27,營收表現!$A$6:$A$3000,0)))</f>
        <v/>
      </c>
    </row>
    <row r="28" spans="1:15">
      <c r="A28" s="2" t="s">
        <v>5787</v>
      </c>
      <c r="B28" t="str">
        <f>IFERROR(INDEX(營收表現!B$6:B$3000,MATCH($A28,營收表現!$A$6:$A$3000,0)),"")</f>
        <v>家登</v>
      </c>
      <c r="C28" t="str">
        <f>IFERROR(INDEX(類別!G$4:G$3000,MATCH($A28,類別!$C$4:$C$3000,0)),"")</f>
        <v>半導體設備</v>
      </c>
      <c r="D28">
        <f>IFERROR(IF(INDEX(營收表現!C$6:C$3000,MATCH($A28,營收表現!$A$6:$A$3000,0))="","",INDEX(營收表現!C$6:C$3000,MATCH($A28,營收表現!$A$6:$A$3000,0))),"")</f>
        <v>10.4</v>
      </c>
      <c r="E28">
        <f>IFERROR(IF(INDEX(營收表現!D$6:D$3000,MATCH($A28,營收表現!$A$6:$A$3000,0))="","",INDEX(營收表現!D$6:D$3000,MATCH($A28,營收表現!$A$6:$A$3000,0))),"")</f>
        <v>5.85</v>
      </c>
      <c r="F28">
        <f>IFERROR(IF(INDEX(營收表現!E$6:E$3000,MATCH($A28,營收表現!$A$6:$A$3000,0))="","",INDEX(營收表現!E$6:E$3000,MATCH($A28,營收表現!$A$6:$A$3000,0))),"")</f>
        <v>11.11</v>
      </c>
      <c r="G28">
        <f>IFERROR(IF(INDEX(營收表現!F$6:F$3000,MATCH($A28,營收表現!$A$6:$A$3000,0))="","",INDEX(營收表現!F$6:F$3000,MATCH($A28,營收表現!$A$6:$A$3000,0))),"")</f>
        <v>11.35</v>
      </c>
      <c r="H28">
        <f>IFERROR(IF(INDEX(營收表現!G$6:G$3000,MATCH($A28,營收表現!$A$6:$A$3000,0))="","",INDEX(營收表現!G$6:G$3000,MATCH($A28,營收表現!$A$6:$A$3000,0))),"")</f>
        <v>19.07</v>
      </c>
      <c r="I28">
        <f>IFERROR(IF(INDEX(營收表現!H$6:H$3000,MATCH($A28,營收表現!$A$6:$A$3000,0))="","",INDEX(營收表現!H$6:H$3000,MATCH($A28,營收表現!$A$6:$A$3000,0))),"")</f>
        <v>-27.41</v>
      </c>
      <c r="J28">
        <f>IFERROR(IF(INDEX(營收表現!I$6:I$3000,MATCH($A28,營收表現!$A$6:$A$3000,0))="","",INDEX(營收表現!I$6:I$3000,MATCH($A28,營收表現!$A$6:$A$3000,0))),"")</f>
        <v>-13.3</v>
      </c>
      <c r="K28">
        <f>IFERROR(IF(INDEX(營收表現!J$6:J$3000,MATCH($A28,營收表現!$A$6:$A$3000,0))="","",INDEX(營收表現!J$6:J$3000,MATCH($A28,營收表現!$A$6:$A$3000,0))),"")</f>
        <v>-2.3199999999999998</v>
      </c>
      <c r="L28">
        <f>IFERROR(IF(INDEX(營收表現!K$6:K$3000,MATCH($A28,營收表現!$A$6:$A$3000,0))="","",INDEX(營收表現!K$6:K$3000,MATCH($A28,營收表現!$A$6:$A$3000,0))),"")</f>
        <v>69.28</v>
      </c>
      <c r="M28">
        <f>IFERROR(IF(INDEX(營收表現!L$6:L$3000,MATCH($A28,營收表現!$A$6:$A$3000,0))="","",INDEX(營收表現!L$6:L$3000,MATCH($A28,營收表現!$A$6:$A$3000,0))),"")</f>
        <v>46.04</v>
      </c>
      <c r="N28">
        <f>IFERROR(IF(INDEX(營收表現!M$6:M$3000,MATCH($A28,營收表現!$A$6:$A$3000,0))="","",INDEX(營收表現!M$6:M$3000,MATCH($A28,營收表現!$A$6:$A$3000,0))),"")</f>
        <v>49.17</v>
      </c>
      <c r="O28">
        <f>IF(INDEX(營收表現!N$6:N$3000,MATCH($A28,營收表現!$A$6:$A$3000,0))="","",INDEX(營收表現!N$6:N$3000,MATCH($A28,營收表現!$A$6:$A$3000,0)))</f>
        <v>62.74</v>
      </c>
    </row>
    <row r="29" spans="1:15">
      <c r="A29" s="2" t="s">
        <v>7854</v>
      </c>
      <c r="B29" t="str">
        <f>IFERROR(INDEX(營收表現!B$6:B$3000,MATCH($A29,營收表現!$A$6:$A$3000,0)),"")</f>
        <v>創控</v>
      </c>
      <c r="C29" t="str">
        <f>IFERROR(INDEX(類別!G$4:G$3000,MATCH($A29,類別!$C$4:$C$3000,0)),"")</f>
        <v>半導體設備</v>
      </c>
      <c r="D29">
        <f>IFERROR(IF(INDEX(營收表現!C$6:C$3000,MATCH($A29,營收表現!$A$6:$A$3000,0))="","",INDEX(營收表現!C$6:C$3000,MATCH($A29,營收表現!$A$6:$A$3000,0))),"")</f>
        <v>33.9</v>
      </c>
      <c r="E29">
        <f>IFERROR(IF(INDEX(營收表現!D$6:D$3000,MATCH($A29,營收表現!$A$6:$A$3000,0))="","",INDEX(營收表現!D$6:D$3000,MATCH($A29,營收表現!$A$6:$A$3000,0))),"")</f>
        <v>-19.45</v>
      </c>
      <c r="F29">
        <f>IFERROR(IF(INDEX(營收表現!E$6:E$3000,MATCH($A29,營收表現!$A$6:$A$3000,0))="","",INDEX(營收表現!E$6:E$3000,MATCH($A29,營收表現!$A$6:$A$3000,0))),"")</f>
        <v>41.7</v>
      </c>
      <c r="G29">
        <f>IFERROR(IF(INDEX(營收表現!F$6:F$3000,MATCH($A29,營收表現!$A$6:$A$3000,0))="","",INDEX(營收表現!F$6:F$3000,MATCH($A29,營收表現!$A$6:$A$3000,0))),"")</f>
        <v>3.67</v>
      </c>
      <c r="H29">
        <f>IFERROR(IF(INDEX(營收表現!G$6:G$3000,MATCH($A29,營收表現!$A$6:$A$3000,0))="","",INDEX(營收表現!G$6:G$3000,MATCH($A29,營收表現!$A$6:$A$3000,0))),"")</f>
        <v>91.19</v>
      </c>
      <c r="I29">
        <f>IFERROR(IF(INDEX(營收表現!H$6:H$3000,MATCH($A29,營收表現!$A$6:$A$3000,0))="","",INDEX(營收表現!H$6:H$3000,MATCH($A29,營收表現!$A$6:$A$3000,0))),"")</f>
        <v>-68.59</v>
      </c>
      <c r="J29">
        <f>IFERROR(IF(INDEX(營收表現!I$6:I$3000,MATCH($A29,營收表現!$A$6:$A$3000,0))="","",INDEX(營收表現!I$6:I$3000,MATCH($A29,營收表現!$A$6:$A$3000,0))),"")</f>
        <v>-4.08</v>
      </c>
      <c r="K29">
        <f>IFERROR(IF(INDEX(營收表現!J$6:J$3000,MATCH($A29,營收表現!$A$6:$A$3000,0))="","",INDEX(營收表現!J$6:J$3000,MATCH($A29,營收表現!$A$6:$A$3000,0))),"")</f>
        <v>-37.64</v>
      </c>
      <c r="L29">
        <f>IFERROR(IF(INDEX(營收表現!K$6:K$3000,MATCH($A29,營收表現!$A$6:$A$3000,0))="","",INDEX(營收表現!K$6:K$3000,MATCH($A29,營收表現!$A$6:$A$3000,0))),"")</f>
        <v>50.62</v>
      </c>
      <c r="M29">
        <f>IFERROR(IF(INDEX(營收表現!L$6:L$3000,MATCH($A29,營收表現!$A$6:$A$3000,0))="","",INDEX(營收表現!L$6:L$3000,MATCH($A29,營收表現!$A$6:$A$3000,0))),"")</f>
        <v>5.68</v>
      </c>
      <c r="N29">
        <f>IFERROR(IF(INDEX(營收表現!M$6:M$3000,MATCH($A29,營收表現!$A$6:$A$3000,0))="","",INDEX(營收表現!M$6:M$3000,MATCH($A29,營收表現!$A$6:$A$3000,0))),"")</f>
        <v>6.05</v>
      </c>
      <c r="O29">
        <f>IF(INDEX(營收表現!N$6:N$3000,MATCH($A29,營收表現!$A$6:$A$3000,0))="","",INDEX(營收表現!N$6:N$3000,MATCH($A29,營收表現!$A$6:$A$3000,0)))</f>
        <v>-23.97</v>
      </c>
    </row>
    <row r="30" spans="1:15">
      <c r="A30" s="2" t="s">
        <v>7855</v>
      </c>
      <c r="B30" t="str">
        <f>IFERROR(INDEX(營收表現!B$6:B$3000,MATCH($A30,營收表現!$A$6:$A$3000,0)),"")</f>
        <v>鈦昇</v>
      </c>
      <c r="C30" t="str">
        <f>IFERROR(INDEX(類別!G$4:G$3000,MATCH($A30,類別!$C$4:$C$3000,0)),"")</f>
        <v>半導體設備</v>
      </c>
      <c r="D30">
        <f>IFERROR(IF(INDEX(營收表現!C$6:C$3000,MATCH($A30,營收表現!$A$6:$A$3000,0))="","",INDEX(營收表現!C$6:C$3000,MATCH($A30,營收表現!$A$6:$A$3000,0))),"")</f>
        <v>-4.43</v>
      </c>
      <c r="E30">
        <f>IFERROR(IF(INDEX(營收表現!D$6:D$3000,MATCH($A30,營收表現!$A$6:$A$3000,0))="","",INDEX(營收表現!D$6:D$3000,MATCH($A30,營收表現!$A$6:$A$3000,0))),"")</f>
        <v>53.23</v>
      </c>
      <c r="F30">
        <f>IFERROR(IF(INDEX(營收表現!E$6:E$3000,MATCH($A30,營收表現!$A$6:$A$3000,0))="","",INDEX(營收表現!E$6:E$3000,MATCH($A30,營收表現!$A$6:$A$3000,0))),"")</f>
        <v>-27.84</v>
      </c>
      <c r="G30">
        <f>IFERROR(IF(INDEX(營收表現!F$6:F$3000,MATCH($A30,營收表現!$A$6:$A$3000,0))="","",INDEX(營收表現!F$6:F$3000,MATCH($A30,營收表現!$A$6:$A$3000,0))),"")</f>
        <v>45.68</v>
      </c>
      <c r="H30">
        <f>IFERROR(IF(INDEX(營收表現!G$6:G$3000,MATCH($A30,營收表現!$A$6:$A$3000,0))="","",INDEX(營收表現!G$6:G$3000,MATCH($A30,營收表現!$A$6:$A$3000,0))),"")</f>
        <v>133.57</v>
      </c>
      <c r="I30">
        <f>IFERROR(IF(INDEX(營收表現!H$6:H$3000,MATCH($A30,營收表現!$A$6:$A$3000,0))="","",INDEX(營收表現!H$6:H$3000,MATCH($A30,營收表現!$A$6:$A$3000,0))),"")</f>
        <v>-75.650000000000006</v>
      </c>
      <c r="J30">
        <f>IFERROR(IF(INDEX(營收表現!I$6:I$3000,MATCH($A30,營收表現!$A$6:$A$3000,0))="","",INDEX(營收表現!I$6:I$3000,MATCH($A30,營收表現!$A$6:$A$3000,0))),"")</f>
        <v>-20.34</v>
      </c>
      <c r="K30">
        <f>IFERROR(IF(INDEX(營收表現!J$6:J$3000,MATCH($A30,營收表現!$A$6:$A$3000,0))="","",INDEX(營收表現!J$6:J$3000,MATCH($A30,營收表現!$A$6:$A$3000,0))),"")</f>
        <v>21.52</v>
      </c>
      <c r="L30">
        <f>IFERROR(IF(INDEX(營收表現!K$6:K$3000,MATCH($A30,營收表現!$A$6:$A$3000,0))="","",INDEX(營收表現!K$6:K$3000,MATCH($A30,營收表現!$A$6:$A$3000,0))),"")</f>
        <v>12.26</v>
      </c>
      <c r="M30">
        <f>IFERROR(IF(INDEX(營收表現!L$6:L$3000,MATCH($A30,營收表現!$A$6:$A$3000,0))="","",INDEX(營收表現!L$6:L$3000,MATCH($A30,營收表現!$A$6:$A$3000,0))),"")</f>
        <v>18.77</v>
      </c>
      <c r="N30">
        <f>IFERROR(IF(INDEX(營收表現!M$6:M$3000,MATCH($A30,營收表現!$A$6:$A$3000,0))="","",INDEX(營收表現!M$6:M$3000,MATCH($A30,營收表現!$A$6:$A$3000,0))),"")</f>
        <v>146.44999999999999</v>
      </c>
      <c r="O30">
        <f>IF(INDEX(營收表現!N$6:N$3000,MATCH($A30,營收表現!$A$6:$A$3000,0))="","",INDEX(營收表現!N$6:N$3000,MATCH($A30,營收表現!$A$6:$A$3000,0)))</f>
        <v>43.36</v>
      </c>
    </row>
    <row r="31" spans="1:15">
      <c r="A31" s="2" t="s">
        <v>7856</v>
      </c>
      <c r="B31" t="str">
        <f>IFERROR(INDEX(營收表現!B$6:B$3000,MATCH($A31,營收表現!$A$6:$A$3000,0)),"")</f>
        <v>意德士</v>
      </c>
      <c r="C31" t="str">
        <f>IFERROR(INDEX(類別!G$4:G$3000,MATCH($A31,類別!$C$4:$C$3000,0)),"")</f>
        <v>半導體設備</v>
      </c>
      <c r="D31">
        <f>IFERROR(IF(INDEX(營收表現!C$6:C$3000,MATCH($A31,營收表現!$A$6:$A$3000,0))="","",INDEX(營收表現!C$6:C$3000,MATCH($A31,營收表現!$A$6:$A$3000,0))),"")</f>
        <v>-17.02</v>
      </c>
      <c r="E31">
        <f>IFERROR(IF(INDEX(營收表現!D$6:D$3000,MATCH($A31,營收表現!$A$6:$A$3000,0))="","",INDEX(營收表現!D$6:D$3000,MATCH($A31,營收表現!$A$6:$A$3000,0))),"")</f>
        <v>-1.47</v>
      </c>
      <c r="F31">
        <f>IFERROR(IF(INDEX(營收表現!E$6:E$3000,MATCH($A31,營收表現!$A$6:$A$3000,0))="","",INDEX(營收表現!E$6:E$3000,MATCH($A31,營收表現!$A$6:$A$3000,0))),"")</f>
        <v>15.91</v>
      </c>
      <c r="G31">
        <f>IFERROR(IF(INDEX(營收表現!F$6:F$3000,MATCH($A31,營收表現!$A$6:$A$3000,0))="","",INDEX(營收表現!F$6:F$3000,MATCH($A31,營收表現!$A$6:$A$3000,0))),"")</f>
        <v>5.27</v>
      </c>
      <c r="H31">
        <f>IFERROR(IF(INDEX(營收表現!G$6:G$3000,MATCH($A31,營收表現!$A$6:$A$3000,0))="","",INDEX(營收表現!G$6:G$3000,MATCH($A31,營收表現!$A$6:$A$3000,0))),"")</f>
        <v>2.5</v>
      </c>
      <c r="I31">
        <f>IFERROR(IF(INDEX(營收表現!H$6:H$3000,MATCH($A31,營收表現!$A$6:$A$3000,0))="","",INDEX(營收表現!H$6:H$3000,MATCH($A31,營收表現!$A$6:$A$3000,0))),"")</f>
        <v>13.96</v>
      </c>
      <c r="J31">
        <f>IFERROR(IF(INDEX(營收表現!I$6:I$3000,MATCH($A31,營收表現!$A$6:$A$3000,0))="","",INDEX(營收表現!I$6:I$3000,MATCH($A31,營收表現!$A$6:$A$3000,0))),"")</f>
        <v>-11.77</v>
      </c>
      <c r="K31">
        <f>IFERROR(IF(INDEX(營收表現!J$6:J$3000,MATCH($A31,營收表現!$A$6:$A$3000,0))="","",INDEX(營收表現!J$6:J$3000,MATCH($A31,營收表現!$A$6:$A$3000,0))),"")</f>
        <v>0.9</v>
      </c>
      <c r="L31">
        <f>IFERROR(IF(INDEX(營收表現!K$6:K$3000,MATCH($A31,營收表現!$A$6:$A$3000,0))="","",INDEX(營收表現!K$6:K$3000,MATCH($A31,營收表現!$A$6:$A$3000,0))),"")</f>
        <v>30.64</v>
      </c>
      <c r="M31">
        <f>IFERROR(IF(INDEX(營收表現!L$6:L$3000,MATCH($A31,營收表現!$A$6:$A$3000,0))="","",INDEX(營收表現!L$6:L$3000,MATCH($A31,營收表現!$A$6:$A$3000,0))),"")</f>
        <v>8</v>
      </c>
      <c r="N31">
        <f>IFERROR(IF(INDEX(營收表現!M$6:M$3000,MATCH($A31,營收表現!$A$6:$A$3000,0))="","",INDEX(營收表現!M$6:M$3000,MATCH($A31,營收表現!$A$6:$A$3000,0))),"")</f>
        <v>19.8</v>
      </c>
      <c r="O31">
        <f>IF(INDEX(營收表現!N$6:N$3000,MATCH($A31,營收表現!$A$6:$A$3000,0))="","",INDEX(營收表現!N$6:N$3000,MATCH($A31,營收表現!$A$6:$A$3000,0)))</f>
        <v>21.21</v>
      </c>
    </row>
    <row r="32" spans="1:15">
      <c r="A32" s="2" t="s">
        <v>7843</v>
      </c>
      <c r="B32" t="str">
        <f>IFERROR(INDEX(營收表現!B$6:B$3000,MATCH($A32,營收表現!$A$6:$A$3000,0)),"")</f>
        <v>瑞耘</v>
      </c>
      <c r="C32" t="str">
        <f>IFERROR(INDEX(類別!G$4:G$3000,MATCH($A32,類別!$C$4:$C$3000,0)),"")</f>
        <v>半導體設備</v>
      </c>
      <c r="D32">
        <f>IFERROR(IF(INDEX(營收表現!C$6:C$3000,MATCH($A32,營收表現!$A$6:$A$3000,0))="","",INDEX(營收表現!C$6:C$3000,MATCH($A32,營收表現!$A$6:$A$3000,0))),"")</f>
        <v>-25.42</v>
      </c>
      <c r="E32">
        <f>IFERROR(IF(INDEX(營收表現!D$6:D$3000,MATCH($A32,營收表現!$A$6:$A$3000,0))="","",INDEX(營收表現!D$6:D$3000,MATCH($A32,營收表現!$A$6:$A$3000,0))),"")</f>
        <v>13.31</v>
      </c>
      <c r="F32">
        <f>IFERROR(IF(INDEX(營收表現!E$6:E$3000,MATCH($A32,營收表現!$A$6:$A$3000,0))="","",INDEX(營收表現!E$6:E$3000,MATCH($A32,營收表現!$A$6:$A$3000,0))),"")</f>
        <v>-19.38</v>
      </c>
      <c r="G32">
        <f>IFERROR(IF(INDEX(營收表現!F$6:F$3000,MATCH($A32,營收表現!$A$6:$A$3000,0))="","",INDEX(營收表現!F$6:F$3000,MATCH($A32,營收表現!$A$6:$A$3000,0))),"")</f>
        <v>57.66</v>
      </c>
      <c r="H32">
        <f>IFERROR(IF(INDEX(營收表現!G$6:G$3000,MATCH($A32,營收表現!$A$6:$A$3000,0))="","",INDEX(營收表現!G$6:G$3000,MATCH($A32,營收表現!$A$6:$A$3000,0))),"")</f>
        <v>-1.2</v>
      </c>
      <c r="I32">
        <f>IFERROR(IF(INDEX(營收表現!H$6:H$3000,MATCH($A32,營收表現!$A$6:$A$3000,0))="","",INDEX(營收表現!H$6:H$3000,MATCH($A32,營收表現!$A$6:$A$3000,0))),"")</f>
        <v>-19.91</v>
      </c>
      <c r="J32">
        <f>IFERROR(IF(INDEX(營收表現!I$6:I$3000,MATCH($A32,營收表現!$A$6:$A$3000,0))="","",INDEX(營收表現!I$6:I$3000,MATCH($A32,營收表現!$A$6:$A$3000,0))),"")</f>
        <v>-39.04</v>
      </c>
      <c r="K32">
        <f>IFERROR(IF(INDEX(營收表現!J$6:J$3000,MATCH($A32,營收表現!$A$6:$A$3000,0))="","",INDEX(營收表現!J$6:J$3000,MATCH($A32,營收表現!$A$6:$A$3000,0))),"")</f>
        <v>-17.809999999999999</v>
      </c>
      <c r="L32">
        <f>IFERROR(IF(INDEX(營收表現!K$6:K$3000,MATCH($A32,營收表現!$A$6:$A$3000,0))="","",INDEX(營收表現!K$6:K$3000,MATCH($A32,營收表現!$A$6:$A$3000,0))),"")</f>
        <v>-28.71</v>
      </c>
      <c r="M32">
        <f>IFERROR(IF(INDEX(營收表現!L$6:L$3000,MATCH($A32,營收表現!$A$6:$A$3000,0))="","",INDEX(營收表現!L$6:L$3000,MATCH($A32,營收表現!$A$6:$A$3000,0))),"")</f>
        <v>-6.76</v>
      </c>
      <c r="N32">
        <f>IFERROR(IF(INDEX(營收表現!M$6:M$3000,MATCH($A32,營收表現!$A$6:$A$3000,0))="","",INDEX(營收表現!M$6:M$3000,MATCH($A32,營收表現!$A$6:$A$3000,0))),"")</f>
        <v>-11.07</v>
      </c>
      <c r="O32">
        <f>IF(INDEX(營收表現!N$6:N$3000,MATCH($A32,營收表現!$A$6:$A$3000,0))="","",INDEX(營收表現!N$6:N$3000,MATCH($A32,營收表現!$A$6:$A$3000,0)))</f>
        <v>-19.239999999999998</v>
      </c>
    </row>
    <row r="33" spans="1:15">
      <c r="A33" s="2" t="s">
        <v>7833</v>
      </c>
      <c r="B33" t="str">
        <f>IFERROR(INDEX(營收表現!B$6:B$3000,MATCH($A33,營收表現!$A$6:$A$3000,0)),"")</f>
        <v>盟立</v>
      </c>
      <c r="C33" t="str">
        <f>IFERROR(INDEX(類別!G$4:G$3000,MATCH($A33,類別!$C$4:$C$3000,0)),"")</f>
        <v>儀器設備</v>
      </c>
      <c r="D33">
        <f>IFERROR(IF(INDEX(營收表現!C$6:C$3000,MATCH($A33,營收表現!$A$6:$A$3000,0))="","",INDEX(營收表現!C$6:C$3000,MATCH($A33,營收表現!$A$6:$A$3000,0))),"")</f>
        <v>0.37</v>
      </c>
      <c r="E33">
        <f>IFERROR(IF(INDEX(營收表現!D$6:D$3000,MATCH($A33,營收表現!$A$6:$A$3000,0))="","",INDEX(營收表現!D$6:D$3000,MATCH($A33,營收表現!$A$6:$A$3000,0))),"")</f>
        <v>4.93</v>
      </c>
      <c r="F33">
        <f>IFERROR(IF(INDEX(營收表現!E$6:E$3000,MATCH($A33,營收表現!$A$6:$A$3000,0))="","",INDEX(營收表現!E$6:E$3000,MATCH($A33,營收表現!$A$6:$A$3000,0))),"")</f>
        <v>0.53</v>
      </c>
      <c r="G33">
        <f>IFERROR(IF(INDEX(營收表現!F$6:F$3000,MATCH($A33,營收表現!$A$6:$A$3000,0))="","",INDEX(營收表現!F$6:F$3000,MATCH($A33,營收表現!$A$6:$A$3000,0))),"")</f>
        <v>-0.49</v>
      </c>
      <c r="H33">
        <f>IFERROR(IF(INDEX(營收表現!G$6:G$3000,MATCH($A33,營收表現!$A$6:$A$3000,0))="","",INDEX(營收表現!G$6:G$3000,MATCH($A33,營收表現!$A$6:$A$3000,0))),"")</f>
        <v>0.54</v>
      </c>
      <c r="I33">
        <f>IFERROR(IF(INDEX(營收表現!H$6:H$3000,MATCH($A33,營收表現!$A$6:$A$3000,0))="","",INDEX(營收表現!H$6:H$3000,MATCH($A33,營收表現!$A$6:$A$3000,0))),"")</f>
        <v>4.6500000000000004</v>
      </c>
      <c r="J33">
        <f>IFERROR(IF(INDEX(營收表現!I$6:I$3000,MATCH($A33,營收表現!$A$6:$A$3000,0))="","",INDEX(營收表現!I$6:I$3000,MATCH($A33,營收表現!$A$6:$A$3000,0))),"")</f>
        <v>-27.95</v>
      </c>
      <c r="K33">
        <f>IFERROR(IF(INDEX(營收表現!J$6:J$3000,MATCH($A33,營收表現!$A$6:$A$3000,0))="","",INDEX(營收表現!J$6:J$3000,MATCH($A33,營收表現!$A$6:$A$3000,0))),"")</f>
        <v>-29.57</v>
      </c>
      <c r="L33">
        <f>IFERROR(IF(INDEX(營收表現!K$6:K$3000,MATCH($A33,營收表現!$A$6:$A$3000,0))="","",INDEX(營收表現!K$6:K$3000,MATCH($A33,營收表現!$A$6:$A$3000,0))),"")</f>
        <v>-26.1</v>
      </c>
      <c r="M33">
        <f>IFERROR(IF(INDEX(營收表現!L$6:L$3000,MATCH($A33,營收表現!$A$6:$A$3000,0))="","",INDEX(營收表現!L$6:L$3000,MATCH($A33,營收表現!$A$6:$A$3000,0))),"")</f>
        <v>-15.33</v>
      </c>
      <c r="N33">
        <f>IFERROR(IF(INDEX(營收表現!M$6:M$3000,MATCH($A33,營收表現!$A$6:$A$3000,0))="","",INDEX(營收表現!M$6:M$3000,MATCH($A33,營收表現!$A$6:$A$3000,0))),"")</f>
        <v>-21.41</v>
      </c>
      <c r="O33">
        <f>IF(INDEX(營收表現!N$6:N$3000,MATCH($A33,營收表現!$A$6:$A$3000,0))="","",INDEX(營收表現!N$6:N$3000,MATCH($A33,營收表現!$A$6:$A$3000,0)))</f>
        <v>7.85</v>
      </c>
    </row>
    <row r="34" spans="1:15">
      <c r="A34" s="2" t="s">
        <v>7857</v>
      </c>
      <c r="B34" t="str">
        <f>IFERROR(INDEX(營收表現!B$6:B$3000,MATCH($A34,營收表現!$A$6:$A$3000,0)),"")</f>
        <v>萬潤</v>
      </c>
      <c r="C34" t="str">
        <f>IFERROR(INDEX(類別!G$4:G$3000,MATCH($A34,類別!$C$4:$C$3000,0)),"")</f>
        <v>半導體設備</v>
      </c>
      <c r="D34">
        <f>IFERROR(IF(INDEX(營收表現!C$6:C$3000,MATCH($A34,營收表現!$A$6:$A$3000,0))="","",INDEX(營收表現!C$6:C$3000,MATCH($A34,營收表現!$A$6:$A$3000,0))),"")</f>
        <v>-10.210000000000001</v>
      </c>
      <c r="E34">
        <f>IFERROR(IF(INDEX(營收表現!D$6:D$3000,MATCH($A34,營收表現!$A$6:$A$3000,0))="","",INDEX(營收表現!D$6:D$3000,MATCH($A34,營收表現!$A$6:$A$3000,0))),"")</f>
        <v>1.56</v>
      </c>
      <c r="F34">
        <f>IFERROR(IF(INDEX(營收表現!E$6:E$3000,MATCH($A34,營收表現!$A$6:$A$3000,0))="","",INDEX(營收表現!E$6:E$3000,MATCH($A34,營收表現!$A$6:$A$3000,0))),"")</f>
        <v>-44.49</v>
      </c>
      <c r="G34">
        <f>IFERROR(IF(INDEX(營收表現!F$6:F$3000,MATCH($A34,營收表現!$A$6:$A$3000,0))="","",INDEX(營收表現!F$6:F$3000,MATCH($A34,營收表現!$A$6:$A$3000,0))),"")</f>
        <v>-1.1100000000000001</v>
      </c>
      <c r="H34">
        <f>IFERROR(IF(INDEX(營收表現!G$6:G$3000,MATCH($A34,營收表現!$A$6:$A$3000,0))="","",INDEX(營收表現!G$6:G$3000,MATCH($A34,營收表現!$A$6:$A$3000,0))),"")</f>
        <v>-9.44</v>
      </c>
      <c r="I34">
        <f>IFERROR(IF(INDEX(營收表現!H$6:H$3000,MATCH($A34,營收表現!$A$6:$A$3000,0))="","",INDEX(營收表現!H$6:H$3000,MATCH($A34,營收表現!$A$6:$A$3000,0))),"")</f>
        <v>41.77</v>
      </c>
      <c r="J34">
        <f>IFERROR(IF(INDEX(營收表現!I$6:I$3000,MATCH($A34,營收表現!$A$6:$A$3000,0))="","",INDEX(營收表現!I$6:I$3000,MATCH($A34,營收表現!$A$6:$A$3000,0))),"")</f>
        <v>-19.43</v>
      </c>
      <c r="K34">
        <f>IFERROR(IF(INDEX(營收表現!J$6:J$3000,MATCH($A34,營收表現!$A$6:$A$3000,0))="","",INDEX(營收表現!J$6:J$3000,MATCH($A34,營收表現!$A$6:$A$3000,0))),"")</f>
        <v>-18.75</v>
      </c>
      <c r="L34">
        <f>IFERROR(IF(INDEX(營收表現!K$6:K$3000,MATCH($A34,營收表現!$A$6:$A$3000,0))="","",INDEX(營收表現!K$6:K$3000,MATCH($A34,營收表現!$A$6:$A$3000,0))),"")</f>
        <v>-39.83</v>
      </c>
      <c r="M34">
        <f>IFERROR(IF(INDEX(營收表現!L$6:L$3000,MATCH($A34,營收表現!$A$6:$A$3000,0))="","",INDEX(營收表現!L$6:L$3000,MATCH($A34,營收表現!$A$6:$A$3000,0))),"")</f>
        <v>-42.38</v>
      </c>
      <c r="N34">
        <f>IFERROR(IF(INDEX(營收表現!M$6:M$3000,MATCH($A34,營收表現!$A$6:$A$3000,0))="","",INDEX(營收表現!M$6:M$3000,MATCH($A34,營收表現!$A$6:$A$3000,0))),"")</f>
        <v>-50.57</v>
      </c>
      <c r="O34">
        <f>IF(INDEX(營收表現!N$6:N$3000,MATCH($A34,營收表現!$A$6:$A$3000,0))="","",INDEX(營收表現!N$6:N$3000,MATCH($A34,營收表現!$A$6:$A$3000,0)))</f>
        <v>6.18</v>
      </c>
    </row>
    <row r="35" spans="1:15">
      <c r="A35" s="2" t="s">
        <v>7858</v>
      </c>
      <c r="B35" t="str">
        <f>IFERROR(INDEX(營收表現!B$6:B$3000,MATCH($A35,營收表現!$A$6:$A$3000,0)),"")</f>
        <v>群翊</v>
      </c>
      <c r="C35" t="str">
        <f>IFERROR(INDEX(類別!G$4:G$3000,MATCH($A35,類別!$C$4:$C$3000,0)),"")</f>
        <v>儀器設備</v>
      </c>
      <c r="D35">
        <f>IFERROR(IF(INDEX(營收表現!C$6:C$3000,MATCH($A35,營收表現!$A$6:$A$3000,0))="","",INDEX(營收表現!C$6:C$3000,MATCH($A35,營收表現!$A$6:$A$3000,0))),"")</f>
        <v>-1.36</v>
      </c>
      <c r="E35">
        <f>IFERROR(IF(INDEX(營收表現!D$6:D$3000,MATCH($A35,營收表現!$A$6:$A$3000,0))="","",INDEX(營收表現!D$6:D$3000,MATCH($A35,營收表現!$A$6:$A$3000,0))),"")</f>
        <v>7.18</v>
      </c>
      <c r="F35">
        <f>IFERROR(IF(INDEX(營收表現!E$6:E$3000,MATCH($A35,營收表現!$A$6:$A$3000,0))="","",INDEX(營收表現!E$6:E$3000,MATCH($A35,營收表現!$A$6:$A$3000,0))),"")</f>
        <v>2.0699999999999998</v>
      </c>
      <c r="G35">
        <f>IFERROR(IF(INDEX(營收表現!F$6:F$3000,MATCH($A35,營收表現!$A$6:$A$3000,0))="","",INDEX(營收表現!F$6:F$3000,MATCH($A35,營收表現!$A$6:$A$3000,0))),"")</f>
        <v>8.3800000000000008</v>
      </c>
      <c r="H35">
        <f>IFERROR(IF(INDEX(營收表現!G$6:G$3000,MATCH($A35,營收表現!$A$6:$A$3000,0))="","",INDEX(營收表現!G$6:G$3000,MATCH($A35,營收表現!$A$6:$A$3000,0))),"")</f>
        <v>1.64</v>
      </c>
      <c r="I35" t="str">
        <f>IFERROR(IF(INDEX(營收表現!H$6:H$3000,MATCH($A35,營收表現!$A$6:$A$3000,0))="","",INDEX(營收表現!H$6:H$3000,MATCH($A35,營收表現!$A$6:$A$3000,0))),"")</f>
        <v/>
      </c>
      <c r="J35">
        <f>IFERROR(IF(INDEX(營收表現!I$6:I$3000,MATCH($A35,營收表現!$A$6:$A$3000,0))="","",INDEX(營收表現!I$6:I$3000,MATCH($A35,營收表現!$A$6:$A$3000,0))),"")</f>
        <v>-5.95</v>
      </c>
      <c r="K35">
        <f>IFERROR(IF(INDEX(營收表現!J$6:J$3000,MATCH($A35,營收表現!$A$6:$A$3000,0))="","",INDEX(營收表現!J$6:J$3000,MATCH($A35,營收表現!$A$6:$A$3000,0))),"")</f>
        <v>13.32</v>
      </c>
      <c r="L35">
        <f>IFERROR(IF(INDEX(營收表現!K$6:K$3000,MATCH($A35,營收表現!$A$6:$A$3000,0))="","",INDEX(營收表現!K$6:K$3000,MATCH($A35,營收表現!$A$6:$A$3000,0))),"")</f>
        <v>-1.1299999999999999</v>
      </c>
      <c r="M35">
        <f>IFERROR(IF(INDEX(營收表現!L$6:L$3000,MATCH($A35,營收表現!$A$6:$A$3000,0))="","",INDEX(營收表現!L$6:L$3000,MATCH($A35,營收表現!$A$6:$A$3000,0))),"")</f>
        <v>14.47</v>
      </c>
      <c r="N35">
        <f>IFERROR(IF(INDEX(營收表現!M$6:M$3000,MATCH($A35,營收表現!$A$6:$A$3000,0))="","",INDEX(營收表現!M$6:M$3000,MATCH($A35,營收表現!$A$6:$A$3000,0))),"")</f>
        <v>24.58</v>
      </c>
      <c r="O35" t="str">
        <f>IF(INDEX(營收表現!N$6:N$3000,MATCH($A35,營收表現!$A$6:$A$3000,0))="","",INDEX(營收表現!N$6:N$3000,MATCH($A35,營收表現!$A$6:$A$3000,0)))</f>
        <v/>
      </c>
    </row>
    <row r="36" spans="1:15">
      <c r="A36" s="2" t="s">
        <v>7859</v>
      </c>
      <c r="B36" t="str">
        <f>IFERROR(INDEX(營收表現!B$6:B$3000,MATCH($A36,營收表現!$A$6:$A$3000,0)),"")</f>
        <v>銳澤</v>
      </c>
      <c r="C36" t="str">
        <f>IFERROR(INDEX(類別!G$4:G$3000,MATCH($A36,類別!$C$4:$C$3000,0)),"")</f>
        <v>儀器設備</v>
      </c>
      <c r="D36">
        <f>IFERROR(IF(INDEX(營收表現!C$6:C$3000,MATCH($A36,營收表現!$A$6:$A$3000,0))="","",INDEX(營收表現!C$6:C$3000,MATCH($A36,營收表現!$A$6:$A$3000,0))),"")</f>
        <v>12.02</v>
      </c>
      <c r="E36">
        <f>IFERROR(IF(INDEX(營收表現!D$6:D$3000,MATCH($A36,營收表現!$A$6:$A$3000,0))="","",INDEX(營收表現!D$6:D$3000,MATCH($A36,營收表現!$A$6:$A$3000,0))),"")</f>
        <v>9.26</v>
      </c>
      <c r="F36">
        <f>IFERROR(IF(INDEX(營收表現!E$6:E$3000,MATCH($A36,營收表現!$A$6:$A$3000,0))="","",INDEX(營收表現!E$6:E$3000,MATCH($A36,營收表現!$A$6:$A$3000,0))),"")</f>
        <v>15.14</v>
      </c>
      <c r="G36">
        <f>IFERROR(IF(INDEX(營收表現!F$6:F$3000,MATCH($A36,營收表現!$A$6:$A$3000,0))="","",INDEX(營收表現!F$6:F$3000,MATCH($A36,營收表現!$A$6:$A$3000,0))),"")</f>
        <v>20.88</v>
      </c>
      <c r="H36">
        <f>IFERROR(IF(INDEX(營收表現!G$6:G$3000,MATCH($A36,營收表現!$A$6:$A$3000,0))="","",INDEX(營收表現!G$6:G$3000,MATCH($A36,營收表現!$A$6:$A$3000,0))),"")</f>
        <v>-25.54</v>
      </c>
      <c r="I36">
        <f>IFERROR(IF(INDEX(營收表現!H$6:H$3000,MATCH($A36,營收表現!$A$6:$A$3000,0))="","",INDEX(營收表現!H$6:H$3000,MATCH($A36,營收表現!$A$6:$A$3000,0))),"")</f>
        <v>-18.54</v>
      </c>
      <c r="J36">
        <f>IFERROR(IF(INDEX(營收表現!I$6:I$3000,MATCH($A36,營收表現!$A$6:$A$3000,0))="","",INDEX(營收表現!I$6:I$3000,MATCH($A36,營收表現!$A$6:$A$3000,0))),"")</f>
        <v>21.91</v>
      </c>
      <c r="K36">
        <f>IFERROR(IF(INDEX(營收表現!J$6:J$3000,MATCH($A36,營收表現!$A$6:$A$3000,0))="","",INDEX(營收表現!J$6:J$3000,MATCH($A36,營收表現!$A$6:$A$3000,0))),"")</f>
        <v>10.59</v>
      </c>
      <c r="L36">
        <f>IFERROR(IF(INDEX(營收表現!K$6:K$3000,MATCH($A36,營收表現!$A$6:$A$3000,0))="","",INDEX(營收表現!K$6:K$3000,MATCH($A36,營收表現!$A$6:$A$3000,0))),"")</f>
        <v>38.869999999999997</v>
      </c>
      <c r="M36">
        <f>IFERROR(IF(INDEX(營收表現!L$6:L$3000,MATCH($A36,營收表現!$A$6:$A$3000,0))="","",INDEX(營收表現!L$6:L$3000,MATCH($A36,營收表現!$A$6:$A$3000,0))),"")</f>
        <v>42.3</v>
      </c>
      <c r="N36">
        <f>IFERROR(IF(INDEX(營收表現!M$6:M$3000,MATCH($A36,營收表現!$A$6:$A$3000,0))="","",INDEX(營收表現!M$6:M$3000,MATCH($A36,營收表現!$A$6:$A$3000,0))),"")</f>
        <v>-3.31</v>
      </c>
      <c r="O36">
        <f>IF(INDEX(營收表現!N$6:N$3000,MATCH($A36,營收表現!$A$6:$A$3000,0))="","",INDEX(營收表現!N$6:N$3000,MATCH($A36,營收表現!$A$6:$A$3000,0)))</f>
        <v>15.46</v>
      </c>
    </row>
    <row r="37" spans="1:15">
      <c r="A37" s="2" t="s">
        <v>7862</v>
      </c>
      <c r="B37" t="str">
        <f>IFERROR(INDEX(營收表現!B$6:B$3000,MATCH($A37,營收表現!$A$6:$A$3000,0)),"")</f>
        <v>上詮</v>
      </c>
      <c r="C37" t="str">
        <f>IFERROR(INDEX(類別!G$4:G$3000,MATCH($A37,類別!$C$4:$C$3000,0)),"")</f>
        <v>光通訊</v>
      </c>
      <c r="D37">
        <f>IFERROR(IF(INDEX(營收表現!C$6:C$3000,MATCH($A37,營收表現!$A$6:$A$3000,0))="","",INDEX(營收表現!C$6:C$3000,MATCH($A37,營收表現!$A$6:$A$3000,0))),"")</f>
        <v>18.52</v>
      </c>
      <c r="E37">
        <f>IFERROR(IF(INDEX(營收表現!D$6:D$3000,MATCH($A37,營收表現!$A$6:$A$3000,0))="","",INDEX(營收表現!D$6:D$3000,MATCH($A37,營收表現!$A$6:$A$3000,0))),"")</f>
        <v>-3.3</v>
      </c>
      <c r="F37">
        <f>IFERROR(IF(INDEX(營收表現!E$6:E$3000,MATCH($A37,營收表現!$A$6:$A$3000,0))="","",INDEX(營收表現!E$6:E$3000,MATCH($A37,營收表現!$A$6:$A$3000,0))),"")</f>
        <v>-23.12</v>
      </c>
      <c r="G37">
        <f>IFERROR(IF(INDEX(營收表現!F$6:F$3000,MATCH($A37,營收表現!$A$6:$A$3000,0))="","",INDEX(營收表現!F$6:F$3000,MATCH($A37,營收表現!$A$6:$A$3000,0))),"")</f>
        <v>-6.59</v>
      </c>
      <c r="H37">
        <f>IFERROR(IF(INDEX(營收表現!G$6:G$3000,MATCH($A37,營收表現!$A$6:$A$3000,0))="","",INDEX(營收表現!G$6:G$3000,MATCH($A37,營收表現!$A$6:$A$3000,0))),"")</f>
        <v>4.47</v>
      </c>
      <c r="I37">
        <f>IFERROR(IF(INDEX(營收表現!H$6:H$3000,MATCH($A37,營收表現!$A$6:$A$3000,0))="","",INDEX(營收表現!H$6:H$3000,MATCH($A37,營收表現!$A$6:$A$3000,0))),"")</f>
        <v>4.3</v>
      </c>
      <c r="J37">
        <f>IFERROR(IF(INDEX(營收表現!I$6:I$3000,MATCH($A37,營收表現!$A$6:$A$3000,0))="","",INDEX(營收表現!I$6:I$3000,MATCH($A37,營收表現!$A$6:$A$3000,0))),"")</f>
        <v>42.64</v>
      </c>
      <c r="K37">
        <f>IFERROR(IF(INDEX(營收表現!J$6:J$3000,MATCH($A37,營收表現!$A$6:$A$3000,0))="","",INDEX(營收表現!J$6:J$3000,MATCH($A37,營收表現!$A$6:$A$3000,0))),"")</f>
        <v>42.79</v>
      </c>
      <c r="L37">
        <f>IFERROR(IF(INDEX(營收表現!K$6:K$3000,MATCH($A37,營收表現!$A$6:$A$3000,0))="","",INDEX(營收表現!K$6:K$3000,MATCH($A37,營收表現!$A$6:$A$3000,0))),"")</f>
        <v>31.58</v>
      </c>
      <c r="M37">
        <f>IFERROR(IF(INDEX(營收表現!L$6:L$3000,MATCH($A37,營收表現!$A$6:$A$3000,0))="","",INDEX(營收表現!L$6:L$3000,MATCH($A37,營收表現!$A$6:$A$3000,0))),"")</f>
        <v>-16.48</v>
      </c>
      <c r="N37">
        <f>IFERROR(IF(INDEX(營收表現!M$6:M$3000,MATCH($A37,營收表現!$A$6:$A$3000,0))="","",INDEX(營收表現!M$6:M$3000,MATCH($A37,營收表現!$A$6:$A$3000,0))),"")</f>
        <v>21.76</v>
      </c>
      <c r="O37">
        <f>IF(INDEX(營收表現!N$6:N$3000,MATCH($A37,營收表現!$A$6:$A$3000,0))="","",INDEX(營收表現!N$6:N$3000,MATCH($A37,營收表現!$A$6:$A$3000,0)))</f>
        <v>-10.82</v>
      </c>
    </row>
    <row r="38" spans="1:15">
      <c r="A38" s="2" t="s">
        <v>7863</v>
      </c>
      <c r="B38" t="str">
        <f>IFERROR(INDEX(營收表現!B$6:B$3000,MATCH($A38,營收表現!$A$6:$A$3000,0)),"")</f>
        <v>印能科技</v>
      </c>
      <c r="C38" t="str">
        <f>IFERROR(INDEX(類別!G$4:G$3000,MATCH($A38,類別!$C$4:$C$3000,0)),"")</f>
        <v>未分類-電子</v>
      </c>
      <c r="D38">
        <f>IFERROR(IF(INDEX(營收表現!C$6:C$3000,MATCH($A38,營收表現!$A$6:$A$3000,0))="","",INDEX(營收表現!C$6:C$3000,MATCH($A38,營收表現!$A$6:$A$3000,0))),"")</f>
        <v>2.74</v>
      </c>
      <c r="E38">
        <f>IFERROR(IF(INDEX(營收表現!D$6:D$3000,MATCH($A38,營收表現!$A$6:$A$3000,0))="","",INDEX(營收表現!D$6:D$3000,MATCH($A38,營收表現!$A$6:$A$3000,0))),"")</f>
        <v>-21.95</v>
      </c>
      <c r="F38">
        <f>IFERROR(IF(INDEX(營收表現!E$6:E$3000,MATCH($A38,營收表現!$A$6:$A$3000,0))="","",INDEX(營收表現!E$6:E$3000,MATCH($A38,營收表現!$A$6:$A$3000,0))),"")</f>
        <v>-35.700000000000003</v>
      </c>
      <c r="G38">
        <f>IFERROR(IF(INDEX(營收表現!F$6:F$3000,MATCH($A38,營收表現!$A$6:$A$3000,0))="","",INDEX(營收表現!F$6:F$3000,MATCH($A38,營收表現!$A$6:$A$3000,0))),"")</f>
        <v>23.15</v>
      </c>
      <c r="H38">
        <f>IFERROR(IF(INDEX(營收表現!G$6:G$3000,MATCH($A38,營收表現!$A$6:$A$3000,0))="","",INDEX(營收表現!G$6:G$3000,MATCH($A38,營收表現!$A$6:$A$3000,0))),"")</f>
        <v>26.4</v>
      </c>
      <c r="I38">
        <f>IFERROR(IF(INDEX(營收表現!H$6:H$3000,MATCH($A38,營收表現!$A$6:$A$3000,0))="","",INDEX(營收表現!H$6:H$3000,MATCH($A38,營收表現!$A$6:$A$3000,0))),"")</f>
        <v>50.44</v>
      </c>
      <c r="J38">
        <f>IFERROR(IF(INDEX(營收表現!I$6:I$3000,MATCH($A38,營收表現!$A$6:$A$3000,0))="","",INDEX(營收表現!I$6:I$3000,MATCH($A38,營收表現!$A$6:$A$3000,0))),"")</f>
        <v>75.28</v>
      </c>
      <c r="K38">
        <f>IFERROR(IF(INDEX(營收表現!J$6:J$3000,MATCH($A38,營收表現!$A$6:$A$3000,0))="","",INDEX(營收表現!J$6:J$3000,MATCH($A38,營收表現!$A$6:$A$3000,0))),"")</f>
        <v>95.79</v>
      </c>
      <c r="L38">
        <f>IFERROR(IF(INDEX(營收表現!K$6:K$3000,MATCH($A38,營收表現!$A$6:$A$3000,0))="","",INDEX(營收表現!K$6:K$3000,MATCH($A38,營收表現!$A$6:$A$3000,0))),"")</f>
        <v>-34.11</v>
      </c>
      <c r="M38">
        <f>IFERROR(IF(INDEX(營收表現!L$6:L$3000,MATCH($A38,營收表現!$A$6:$A$3000,0))="","",INDEX(營收表現!L$6:L$3000,MATCH($A38,營收表現!$A$6:$A$3000,0))),"")</f>
        <v>6.31</v>
      </c>
      <c r="N38">
        <f>IFERROR(IF(INDEX(營收表現!M$6:M$3000,MATCH($A38,營收表現!$A$6:$A$3000,0))="","",INDEX(營收表現!M$6:M$3000,MATCH($A38,營收表現!$A$6:$A$3000,0))),"")</f>
        <v>9.09</v>
      </c>
      <c r="O38">
        <f>IF(INDEX(營收表現!N$6:N$3000,MATCH($A38,營收表現!$A$6:$A$3000,0))="","",INDEX(營收表現!N$6:N$3000,MATCH($A38,營收表現!$A$6:$A$3000,0)))</f>
        <v>142</v>
      </c>
    </row>
    <row r="39" spans="1:15">
      <c r="A39" s="2" t="s">
        <v>7864</v>
      </c>
      <c r="B39" t="str">
        <f>IFERROR(INDEX(營收表現!B$6:B$3000,MATCH($A39,營收表現!$A$6:$A$3000,0)),"")</f>
        <v>和椿</v>
      </c>
      <c r="C39" t="str">
        <f>IFERROR(INDEX(類別!G$4:G$3000,MATCH($A39,類別!$C$4:$C$3000,0)),"")</f>
        <v>儀器設備</v>
      </c>
      <c r="D39">
        <f>IFERROR(IF(INDEX(營收表現!C$6:C$3000,MATCH($A39,營收表現!$A$6:$A$3000,0))="","",INDEX(營收表現!C$6:C$3000,MATCH($A39,營收表現!$A$6:$A$3000,0))),"")</f>
        <v>-36.520000000000003</v>
      </c>
      <c r="E39">
        <f>IFERROR(IF(INDEX(營收表現!D$6:D$3000,MATCH($A39,營收表現!$A$6:$A$3000,0))="","",INDEX(營收表現!D$6:D$3000,MATCH($A39,營收表現!$A$6:$A$3000,0))),"")</f>
        <v>45.27</v>
      </c>
      <c r="F39">
        <f>IFERROR(IF(INDEX(營收表現!E$6:E$3000,MATCH($A39,營收表現!$A$6:$A$3000,0))="","",INDEX(營收表現!E$6:E$3000,MATCH($A39,營收表現!$A$6:$A$3000,0))),"")</f>
        <v>-10.19</v>
      </c>
      <c r="G39">
        <f>IFERROR(IF(INDEX(營收表現!F$6:F$3000,MATCH($A39,營收表現!$A$6:$A$3000,0))="","",INDEX(營收表現!F$6:F$3000,MATCH($A39,營收表現!$A$6:$A$3000,0))),"")</f>
        <v>-17.21</v>
      </c>
      <c r="H39">
        <f>IFERROR(IF(INDEX(營收表現!G$6:G$3000,MATCH($A39,營收表現!$A$6:$A$3000,0))="","",INDEX(營收表現!G$6:G$3000,MATCH($A39,營收表現!$A$6:$A$3000,0))),"")</f>
        <v>50.62</v>
      </c>
      <c r="I39">
        <f>IFERROR(IF(INDEX(營收表現!H$6:H$3000,MATCH($A39,營收表現!$A$6:$A$3000,0))="","",INDEX(營收表現!H$6:H$3000,MATCH($A39,營收表現!$A$6:$A$3000,0))),"")</f>
        <v>-9.85</v>
      </c>
      <c r="J39">
        <f>IFERROR(IF(INDEX(營收表現!I$6:I$3000,MATCH($A39,營收表現!$A$6:$A$3000,0))="","",INDEX(營收表現!I$6:I$3000,MATCH($A39,營收表現!$A$6:$A$3000,0))),"")</f>
        <v>-5.55</v>
      </c>
      <c r="K39">
        <f>IFERROR(IF(INDEX(營收表現!J$6:J$3000,MATCH($A39,營收表現!$A$6:$A$3000,0))="","",INDEX(營收表現!J$6:J$3000,MATCH($A39,營收表現!$A$6:$A$3000,0))),"")</f>
        <v>62.14</v>
      </c>
      <c r="L39">
        <f>IFERROR(IF(INDEX(營收表現!K$6:K$3000,MATCH($A39,營收表現!$A$6:$A$3000,0))="","",INDEX(營收表現!K$6:K$3000,MATCH($A39,營收表現!$A$6:$A$3000,0))),"")</f>
        <v>75.5</v>
      </c>
      <c r="M39">
        <f>IFERROR(IF(INDEX(營收表現!L$6:L$3000,MATCH($A39,營收表現!$A$6:$A$3000,0))="","",INDEX(營收表現!L$6:L$3000,MATCH($A39,營收表現!$A$6:$A$3000,0))),"")</f>
        <v>-17.45</v>
      </c>
      <c r="N39">
        <f>IFERROR(IF(INDEX(營收表現!M$6:M$3000,MATCH($A39,營收表現!$A$6:$A$3000,0))="","",INDEX(營收表現!M$6:M$3000,MATCH($A39,營收表現!$A$6:$A$3000,0))),"")</f>
        <v>42.42</v>
      </c>
      <c r="O39">
        <f>IF(INDEX(營收表現!N$6:N$3000,MATCH($A39,營收表現!$A$6:$A$3000,0))="","",INDEX(營收表現!N$6:N$3000,MATCH($A39,營收表現!$A$6:$A$3000,0)))</f>
        <v>80.81</v>
      </c>
    </row>
    <row r="40" spans="1:15">
      <c r="A40" s="2" t="s">
        <v>7865</v>
      </c>
      <c r="B40" t="str">
        <f>IFERROR(INDEX(營收表現!B$6:B$3000,MATCH($A40,營收表現!$A$6:$A$3000,0)),"")</f>
        <v>大綜</v>
      </c>
      <c r="C40" t="str">
        <f>IFERROR(INDEX(類別!G$4:G$3000,MATCH($A40,類別!$C$4:$C$3000,0)),"")</f>
        <v>軟體與韌體</v>
      </c>
      <c r="D40">
        <f>IFERROR(IF(INDEX(營收表現!C$6:C$3000,MATCH($A40,營收表現!$A$6:$A$3000,0))="","",INDEX(營收表現!C$6:C$3000,MATCH($A40,營收表現!$A$6:$A$3000,0))),"")</f>
        <v>-36.049999999999997</v>
      </c>
      <c r="E40">
        <f>IFERROR(IF(INDEX(營收表現!D$6:D$3000,MATCH($A40,營收表現!$A$6:$A$3000,0))="","",INDEX(營收表現!D$6:D$3000,MATCH($A40,營收表現!$A$6:$A$3000,0))),"")</f>
        <v>-0.65</v>
      </c>
      <c r="F40">
        <f>IFERROR(IF(INDEX(營收表現!E$6:E$3000,MATCH($A40,營收表現!$A$6:$A$3000,0))="","",INDEX(營收表現!E$6:E$3000,MATCH($A40,營收表現!$A$6:$A$3000,0))),"")</f>
        <v>158.13999999999999</v>
      </c>
      <c r="G40">
        <f>IFERROR(IF(INDEX(營收表現!F$6:F$3000,MATCH($A40,營收表現!$A$6:$A$3000,0))="","",INDEX(營收表現!F$6:F$3000,MATCH($A40,營收表現!$A$6:$A$3000,0))),"")</f>
        <v>-56.99</v>
      </c>
      <c r="H40">
        <f>IFERROR(IF(INDEX(營收表現!G$6:G$3000,MATCH($A40,營收表現!$A$6:$A$3000,0))="","",INDEX(營收表現!G$6:G$3000,MATCH($A40,營收表現!$A$6:$A$3000,0))),"")</f>
        <v>-23.33</v>
      </c>
      <c r="I40">
        <f>IFERROR(IF(INDEX(營收表現!H$6:H$3000,MATCH($A40,營收表現!$A$6:$A$3000,0))="","",INDEX(營收表現!H$6:H$3000,MATCH($A40,營收表現!$A$6:$A$3000,0))),"")</f>
        <v>262.54000000000002</v>
      </c>
      <c r="J40">
        <f>IFERROR(IF(INDEX(營收表現!I$6:I$3000,MATCH($A40,營收表現!$A$6:$A$3000,0))="","",INDEX(營收表現!I$6:I$3000,MATCH($A40,營收表現!$A$6:$A$3000,0))),"")</f>
        <v>-9.81</v>
      </c>
      <c r="K40">
        <f>IFERROR(IF(INDEX(營收表現!J$6:J$3000,MATCH($A40,營收表現!$A$6:$A$3000,0))="","",INDEX(營收表現!J$6:J$3000,MATCH($A40,營收表現!$A$6:$A$3000,0))),"")</f>
        <v>5.1100000000000003</v>
      </c>
      <c r="L40">
        <f>IFERROR(IF(INDEX(營收表現!K$6:K$3000,MATCH($A40,營收表現!$A$6:$A$3000,0))="","",INDEX(營收表現!K$6:K$3000,MATCH($A40,營收表現!$A$6:$A$3000,0))),"")</f>
        <v>126.22</v>
      </c>
      <c r="M40">
        <f>IFERROR(IF(INDEX(營收表現!L$6:L$3000,MATCH($A40,營收表現!$A$6:$A$3000,0))="","",INDEX(營收表現!L$6:L$3000,MATCH($A40,營收表現!$A$6:$A$3000,0))),"")</f>
        <v>5.03</v>
      </c>
      <c r="N40">
        <f>IFERROR(IF(INDEX(營收表現!M$6:M$3000,MATCH($A40,營收表現!$A$6:$A$3000,0))="","",INDEX(營收表現!M$6:M$3000,MATCH($A40,營收表現!$A$6:$A$3000,0))),"")</f>
        <v>-34.64</v>
      </c>
      <c r="O40">
        <f>IF(INDEX(營收表現!N$6:N$3000,MATCH($A40,營收表現!$A$6:$A$3000,0))="","",INDEX(營收表現!N$6:N$3000,MATCH($A40,營收表現!$A$6:$A$3000,0)))</f>
        <v>206.61</v>
      </c>
    </row>
    <row r="41" spans="1:15">
      <c r="A41" s="2" t="s">
        <v>7870</v>
      </c>
      <c r="B41" t="str">
        <f>IFERROR(INDEX(營收表現!B$6:B$3000,MATCH($A41,營收表現!$A$6:$A$3000,0)),"")</f>
        <v>台勝科</v>
      </c>
      <c r="C41" t="str">
        <f>IFERROR(INDEX(類別!G$4:G$3000,MATCH($A41,類別!$C$4:$C$3000,0)),"")</f>
        <v>晶圓製造</v>
      </c>
      <c r="D41">
        <f>IFERROR(IF(INDEX(營收表現!C$6:C$3000,MATCH($A41,營收表現!$A$6:$A$3000,0))="","",INDEX(營收表現!C$6:C$3000,MATCH($A41,營收表現!$A$6:$A$3000,0))),"")</f>
        <v>1.81</v>
      </c>
      <c r="E41">
        <f>IFERROR(IF(INDEX(營收表現!D$6:D$3000,MATCH($A41,營收表現!$A$6:$A$3000,0))="","",INDEX(營收表現!D$6:D$3000,MATCH($A41,營收表現!$A$6:$A$3000,0))),"")</f>
        <v>1.56</v>
      </c>
      <c r="F41">
        <f>IFERROR(IF(INDEX(營收表現!E$6:E$3000,MATCH($A41,營收表現!$A$6:$A$3000,0))="","",INDEX(營收表現!E$6:E$3000,MATCH($A41,營收表現!$A$6:$A$3000,0))),"")</f>
        <v>1.85</v>
      </c>
      <c r="G41">
        <f>IFERROR(IF(INDEX(營收表現!F$6:F$3000,MATCH($A41,營收表現!$A$6:$A$3000,0))="","",INDEX(營收表現!F$6:F$3000,MATCH($A41,營收表現!$A$6:$A$3000,0))),"")</f>
        <v>1.57</v>
      </c>
      <c r="H41">
        <f>IFERROR(IF(INDEX(營收表現!G$6:G$3000,MATCH($A41,營收表現!$A$6:$A$3000,0))="","",INDEX(營收表現!G$6:G$3000,MATCH($A41,營收表現!$A$6:$A$3000,0))),"")</f>
        <v>3.52</v>
      </c>
      <c r="I41">
        <f>IFERROR(IF(INDEX(營收表現!H$6:H$3000,MATCH($A41,營收表現!$A$6:$A$3000,0))="","",INDEX(營收表現!H$6:H$3000,MATCH($A41,營收表現!$A$6:$A$3000,0))),"")</f>
        <v>-0.47</v>
      </c>
      <c r="J41">
        <f>IFERROR(IF(INDEX(營收表現!I$6:I$3000,MATCH($A41,營收表現!$A$6:$A$3000,0))="","",INDEX(營收表現!I$6:I$3000,MATCH($A41,營收表現!$A$6:$A$3000,0))),"")</f>
        <v>2.2400000000000002</v>
      </c>
      <c r="K41">
        <f>IFERROR(IF(INDEX(營收表現!J$6:J$3000,MATCH($A41,營收表現!$A$6:$A$3000,0))="","",INDEX(營收表現!J$6:J$3000,MATCH($A41,營收表現!$A$6:$A$3000,0))),"")</f>
        <v>2.44</v>
      </c>
      <c r="L41">
        <f>IFERROR(IF(INDEX(營收表現!K$6:K$3000,MATCH($A41,營收表現!$A$6:$A$3000,0))="","",INDEX(營收表現!K$6:K$3000,MATCH($A41,營收表現!$A$6:$A$3000,0))),"")</f>
        <v>9.4</v>
      </c>
      <c r="M41">
        <f>IFERROR(IF(INDEX(營收表現!L$6:L$3000,MATCH($A41,營收表現!$A$6:$A$3000,0))="","",INDEX(營收表現!L$6:L$3000,MATCH($A41,營收表現!$A$6:$A$3000,0))),"")</f>
        <v>1.77</v>
      </c>
      <c r="N41">
        <f>IFERROR(IF(INDEX(營收表現!M$6:M$3000,MATCH($A41,營收表現!$A$6:$A$3000,0))="","",INDEX(營收表現!M$6:M$3000,MATCH($A41,營收表現!$A$6:$A$3000,0))),"")</f>
        <v>3.82</v>
      </c>
      <c r="O41">
        <f>IF(INDEX(營收表現!N$6:N$3000,MATCH($A41,營收表現!$A$6:$A$3000,0))="","",INDEX(營收表現!N$6:N$3000,MATCH($A41,營收表現!$A$6:$A$3000,0)))</f>
        <v>21.95</v>
      </c>
    </row>
    <row r="42" spans="1:15">
      <c r="A42" s="2" t="s">
        <v>7871</v>
      </c>
      <c r="B42" t="str">
        <f>IFERROR(INDEX(營收表現!B$6:B$3000,MATCH($A42,營收表現!$A$6:$A$3000,0)),"")</f>
        <v>合晶</v>
      </c>
      <c r="C42" t="str">
        <f>IFERROR(INDEX(類別!G$4:G$3000,MATCH($A42,類別!$C$4:$C$3000,0)),"")</f>
        <v>晶圓製造</v>
      </c>
      <c r="D42">
        <f>IFERROR(IF(INDEX(營收表現!C$6:C$3000,MATCH($A42,營收表現!$A$6:$A$3000,0))="","",INDEX(營收表現!C$6:C$3000,MATCH($A42,營收表現!$A$6:$A$3000,0))),"")</f>
        <v>0.11</v>
      </c>
      <c r="E42">
        <f>IFERROR(IF(INDEX(營收表現!D$6:D$3000,MATCH($A42,營收表現!$A$6:$A$3000,0))="","",INDEX(營收表現!D$6:D$3000,MATCH($A42,營收表現!$A$6:$A$3000,0))),"")</f>
        <v>6.33</v>
      </c>
      <c r="F42">
        <f>IFERROR(IF(INDEX(營收表現!E$6:E$3000,MATCH($A42,營收表現!$A$6:$A$3000,0))="","",INDEX(營收表現!E$6:E$3000,MATCH($A42,營收表現!$A$6:$A$3000,0))),"")</f>
        <v>-3.2</v>
      </c>
      <c r="G42">
        <f>IFERROR(IF(INDEX(營收表現!F$6:F$3000,MATCH($A42,營收表現!$A$6:$A$3000,0))="","",INDEX(營收表現!F$6:F$3000,MATCH($A42,營收表現!$A$6:$A$3000,0))),"")</f>
        <v>-5.23</v>
      </c>
      <c r="H42">
        <f>IFERROR(IF(INDEX(營收表現!G$6:G$3000,MATCH($A42,營收表現!$A$6:$A$3000,0))="","",INDEX(營收表現!G$6:G$3000,MATCH($A42,營收表現!$A$6:$A$3000,0))),"")</f>
        <v>-6.81</v>
      </c>
      <c r="I42">
        <f>IFERROR(IF(INDEX(營收表現!H$6:H$3000,MATCH($A42,營收表現!$A$6:$A$3000,0))="","",INDEX(營收表現!H$6:H$3000,MATCH($A42,營收表現!$A$6:$A$3000,0))),"")</f>
        <v>12.05</v>
      </c>
      <c r="J42">
        <f>IFERROR(IF(INDEX(營收表現!I$6:I$3000,MATCH($A42,營收表現!$A$6:$A$3000,0))="","",INDEX(營收表現!I$6:I$3000,MATCH($A42,營收表現!$A$6:$A$3000,0))),"")</f>
        <v>6.03</v>
      </c>
      <c r="K42">
        <f>IFERROR(IF(INDEX(營收表現!J$6:J$3000,MATCH($A42,營收表現!$A$6:$A$3000,0))="","",INDEX(營收表現!J$6:J$3000,MATCH($A42,營收表現!$A$6:$A$3000,0))),"")</f>
        <v>10.26</v>
      </c>
      <c r="L42">
        <f>IFERROR(IF(INDEX(營收表現!K$6:K$3000,MATCH($A42,營收表現!$A$6:$A$3000,0))="","",INDEX(營收表現!K$6:K$3000,MATCH($A42,營收表現!$A$6:$A$3000,0))),"")</f>
        <v>14.98</v>
      </c>
      <c r="M42">
        <f>IFERROR(IF(INDEX(營收表現!L$6:L$3000,MATCH($A42,營收表現!$A$6:$A$3000,0))="","",INDEX(營收表現!L$6:L$3000,MATCH($A42,營收表現!$A$6:$A$3000,0))),"")</f>
        <v>15</v>
      </c>
      <c r="N42">
        <f>IFERROR(IF(INDEX(營收表現!M$6:M$3000,MATCH($A42,營收表現!$A$6:$A$3000,0))="","",INDEX(營收表現!M$6:M$3000,MATCH($A42,營收表現!$A$6:$A$3000,0))),"")</f>
        <v>22.08</v>
      </c>
      <c r="O42">
        <f>IF(INDEX(營收表現!N$6:N$3000,MATCH($A42,營收表現!$A$6:$A$3000,0))="","",INDEX(營收表現!N$6:N$3000,MATCH($A42,營收表現!$A$6:$A$3000,0)))</f>
        <v>18.86</v>
      </c>
    </row>
    <row r="43" spans="1:15">
      <c r="A43" s="2" t="s">
        <v>7872</v>
      </c>
      <c r="B43" t="str">
        <f>IFERROR(INDEX(營收表現!B$6:B$3000,MATCH($A43,營收表現!$A$6:$A$3000,0)),"")</f>
        <v>昇陽半導體</v>
      </c>
      <c r="C43" t="str">
        <f>IFERROR(INDEX(類別!G$4:G$3000,MATCH($A43,類別!$C$4:$C$3000,0)),"")</f>
        <v>晶圓製造</v>
      </c>
      <c r="D43">
        <f>IFERROR(IF(INDEX(營收表現!C$6:C$3000,MATCH($A43,營收表現!$A$6:$A$3000,0))="","",INDEX(營收表現!C$6:C$3000,MATCH($A43,營收表現!$A$6:$A$3000,0))),"")</f>
        <v>6.77</v>
      </c>
      <c r="E43">
        <f>IFERROR(IF(INDEX(營收表現!D$6:D$3000,MATCH($A43,營收表現!$A$6:$A$3000,0))="","",INDEX(營收表現!D$6:D$3000,MATCH($A43,營收表現!$A$6:$A$3000,0))),"")</f>
        <v>-4.4800000000000004</v>
      </c>
      <c r="F43">
        <f>IFERROR(IF(INDEX(營收表現!E$6:E$3000,MATCH($A43,營收表現!$A$6:$A$3000,0))="","",INDEX(營收表現!E$6:E$3000,MATCH($A43,營收表現!$A$6:$A$3000,0))),"")</f>
        <v>6.14</v>
      </c>
      <c r="G43">
        <f>IFERROR(IF(INDEX(營收表現!F$6:F$3000,MATCH($A43,營收表現!$A$6:$A$3000,0))="","",INDEX(營收表現!F$6:F$3000,MATCH($A43,營收表現!$A$6:$A$3000,0))),"")</f>
        <v>0.61</v>
      </c>
      <c r="H43">
        <f>IFERROR(IF(INDEX(營收表現!G$6:G$3000,MATCH($A43,營收表現!$A$6:$A$3000,0))="","",INDEX(營收表現!G$6:G$3000,MATCH($A43,營收表現!$A$6:$A$3000,0))),"")</f>
        <v>-2.4</v>
      </c>
      <c r="I43">
        <f>IFERROR(IF(INDEX(營收表現!H$6:H$3000,MATCH($A43,營收表現!$A$6:$A$3000,0))="","",INDEX(營收表現!H$6:H$3000,MATCH($A43,營收表現!$A$6:$A$3000,0))),"")</f>
        <v>4.8499999999999996</v>
      </c>
      <c r="J43">
        <f>IFERROR(IF(INDEX(營收表現!I$6:I$3000,MATCH($A43,營收表現!$A$6:$A$3000,0))="","",INDEX(營收表現!I$6:I$3000,MATCH($A43,營收表現!$A$6:$A$3000,0))),"")</f>
        <v>29.56</v>
      </c>
      <c r="K43">
        <f>IFERROR(IF(INDEX(營收表現!J$6:J$3000,MATCH($A43,營收表現!$A$6:$A$3000,0))="","",INDEX(營收表現!J$6:J$3000,MATCH($A43,營收表現!$A$6:$A$3000,0))),"")</f>
        <v>22.93</v>
      </c>
      <c r="L43">
        <f>IFERROR(IF(INDEX(營收表現!K$6:K$3000,MATCH($A43,營收表現!$A$6:$A$3000,0))="","",INDEX(營收表現!K$6:K$3000,MATCH($A43,營收表現!$A$6:$A$3000,0))),"")</f>
        <v>18.39</v>
      </c>
      <c r="M43">
        <f>IFERROR(IF(INDEX(營收表現!L$6:L$3000,MATCH($A43,營收表現!$A$6:$A$3000,0))="","",INDEX(營收表現!L$6:L$3000,MATCH($A43,營收表現!$A$6:$A$3000,0))),"")</f>
        <v>16.71</v>
      </c>
      <c r="N43">
        <f>IFERROR(IF(INDEX(營收表現!M$6:M$3000,MATCH($A43,營收表現!$A$6:$A$3000,0))="","",INDEX(營收表現!M$6:M$3000,MATCH($A43,營收表現!$A$6:$A$3000,0))),"")</f>
        <v>13.34</v>
      </c>
      <c r="O43">
        <f>IF(INDEX(營收表現!N$6:N$3000,MATCH($A43,營收表現!$A$6:$A$3000,0))="","",INDEX(營收表現!N$6:N$3000,MATCH($A43,營收表現!$A$6:$A$3000,0)))</f>
        <v>16.68</v>
      </c>
    </row>
    <row r="44" spans="1:15">
      <c r="A44" s="2" t="s">
        <v>7873</v>
      </c>
      <c r="B44" t="str">
        <f>IFERROR(INDEX(營收表現!B$6:B$3000,MATCH($A44,營收表現!$A$6:$A$3000,0)),"")</f>
        <v>環球晶</v>
      </c>
      <c r="C44" t="str">
        <f>IFERROR(INDEX(類別!G$4:G$3000,MATCH($A44,類別!$C$4:$C$3000,0)),"")</f>
        <v>晶圓製造</v>
      </c>
      <c r="D44">
        <f>IFERROR(IF(INDEX(營收表現!C$6:C$3000,MATCH($A44,營收表現!$A$6:$A$3000,0))="","",INDEX(營收表現!C$6:C$3000,MATCH($A44,營收表現!$A$6:$A$3000,0))),"")</f>
        <v>6.37</v>
      </c>
      <c r="E44">
        <f>IFERROR(IF(INDEX(營收表現!D$6:D$3000,MATCH($A44,營收表現!$A$6:$A$3000,0))="","",INDEX(營收表現!D$6:D$3000,MATCH($A44,營收表現!$A$6:$A$3000,0))),"")</f>
        <v>33.33</v>
      </c>
      <c r="F44">
        <f>IFERROR(IF(INDEX(營收表現!E$6:E$3000,MATCH($A44,營收表現!$A$6:$A$3000,0))="","",INDEX(營收表現!E$6:E$3000,MATCH($A44,營收表現!$A$6:$A$3000,0))),"")</f>
        <v>-27.42</v>
      </c>
      <c r="G44">
        <f>IFERROR(IF(INDEX(營收表現!F$6:F$3000,MATCH($A44,營收表現!$A$6:$A$3000,0))="","",INDEX(營收表現!F$6:F$3000,MATCH($A44,營收表現!$A$6:$A$3000,0))),"")</f>
        <v>9.9700000000000006</v>
      </c>
      <c r="H44">
        <f>IFERROR(IF(INDEX(營收表現!G$6:G$3000,MATCH($A44,營收表現!$A$6:$A$3000,0))="","",INDEX(營收表現!G$6:G$3000,MATCH($A44,營收表現!$A$6:$A$3000,0))),"")</f>
        <v>16.86</v>
      </c>
      <c r="I44" t="str">
        <f>IFERROR(IF(INDEX(營收表現!H$6:H$3000,MATCH($A44,營收表現!$A$6:$A$3000,0))="","",INDEX(營收表現!H$6:H$3000,MATCH($A44,營收表現!$A$6:$A$3000,0))),"")</f>
        <v/>
      </c>
      <c r="J44">
        <f>IFERROR(IF(INDEX(營收表現!I$6:I$3000,MATCH($A44,營收表現!$A$6:$A$3000,0))="","",INDEX(營收表現!I$6:I$3000,MATCH($A44,營收表現!$A$6:$A$3000,0))),"")</f>
        <v>-17.39</v>
      </c>
      <c r="K44">
        <f>IFERROR(IF(INDEX(營收表現!J$6:J$3000,MATCH($A44,營收表現!$A$6:$A$3000,0))="","",INDEX(營收表現!J$6:J$3000,MATCH($A44,營收表現!$A$6:$A$3000,0))),"")</f>
        <v>14.6</v>
      </c>
      <c r="L44">
        <f>IFERROR(IF(INDEX(營收表現!K$6:K$3000,MATCH($A44,營收表現!$A$6:$A$3000,0))="","",INDEX(營收表現!K$6:K$3000,MATCH($A44,營收表現!$A$6:$A$3000,0))),"")</f>
        <v>-25.28</v>
      </c>
      <c r="M44">
        <f>IFERROR(IF(INDEX(營收表現!L$6:L$3000,MATCH($A44,營收表現!$A$6:$A$3000,0))="","",INDEX(營收表現!L$6:L$3000,MATCH($A44,營收表現!$A$6:$A$3000,0))),"")</f>
        <v>-7.94</v>
      </c>
      <c r="N44">
        <f>IFERROR(IF(INDEX(營收表現!M$6:M$3000,MATCH($A44,營收表現!$A$6:$A$3000,0))="","",INDEX(營收表現!M$6:M$3000,MATCH($A44,營收表現!$A$6:$A$3000,0))),"")</f>
        <v>0.27</v>
      </c>
      <c r="O44" t="str">
        <f>IF(INDEX(營收表現!N$6:N$3000,MATCH($A44,營收表現!$A$6:$A$3000,0))="","",INDEX(營收表現!N$6:N$3000,MATCH($A44,營收表現!$A$6:$A$3000,0)))</f>
        <v/>
      </c>
    </row>
    <row r="45" spans="1:15">
      <c r="A45" s="2" t="s">
        <v>7875</v>
      </c>
      <c r="B45" t="str">
        <f>IFERROR(INDEX(營收表現!B$6:B$3000,MATCH($A45,營收表現!$A$6:$A$3000,0)),"")</f>
        <v>均華</v>
      </c>
      <c r="C45" t="str">
        <f>IFERROR(INDEX(類別!G$4:G$3000,MATCH($A45,類別!$C$4:$C$3000,0)),"")</f>
        <v>半導體設備</v>
      </c>
      <c r="D45">
        <f>IFERROR(IF(INDEX(營收表現!C$6:C$3000,MATCH($A45,營收表現!$A$6:$A$3000,0))="","",INDEX(營收表現!C$6:C$3000,MATCH($A45,營收表現!$A$6:$A$3000,0))),"")</f>
        <v>109.38</v>
      </c>
      <c r="E45">
        <f>IFERROR(IF(INDEX(營收表現!D$6:D$3000,MATCH($A45,營收表現!$A$6:$A$3000,0))="","",INDEX(營收表現!D$6:D$3000,MATCH($A45,營收表現!$A$6:$A$3000,0))),"")</f>
        <v>-32.409999999999997</v>
      </c>
      <c r="F45">
        <f>IFERROR(IF(INDEX(營收表現!E$6:E$3000,MATCH($A45,營收表現!$A$6:$A$3000,0))="","",INDEX(營收表現!E$6:E$3000,MATCH($A45,營收表現!$A$6:$A$3000,0))),"")</f>
        <v>-43.62</v>
      </c>
      <c r="G45">
        <f>IFERROR(IF(INDEX(營收表現!F$6:F$3000,MATCH($A45,營收表現!$A$6:$A$3000,0))="","",INDEX(營收表現!F$6:F$3000,MATCH($A45,營收表現!$A$6:$A$3000,0))),"")</f>
        <v>39.979999999999997</v>
      </c>
      <c r="H45">
        <f>IFERROR(IF(INDEX(營收表現!G$6:G$3000,MATCH($A45,營收表現!$A$6:$A$3000,0))="","",INDEX(營收表現!G$6:G$3000,MATCH($A45,營收表現!$A$6:$A$3000,0))),"")</f>
        <v>49.39</v>
      </c>
      <c r="I45">
        <f>IFERROR(IF(INDEX(營收表現!H$6:H$3000,MATCH($A45,營收表現!$A$6:$A$3000,0))="","",INDEX(營收表現!H$6:H$3000,MATCH($A45,營收表現!$A$6:$A$3000,0))),"")</f>
        <v>-26.55</v>
      </c>
      <c r="J45">
        <f>IFERROR(IF(INDEX(營收表現!I$6:I$3000,MATCH($A45,營收表現!$A$6:$A$3000,0))="","",INDEX(營收表現!I$6:I$3000,MATCH($A45,營收表現!$A$6:$A$3000,0))),"")</f>
        <v>133.08000000000001</v>
      </c>
      <c r="K45">
        <f>IFERROR(IF(INDEX(營收表現!J$6:J$3000,MATCH($A45,營收表現!$A$6:$A$3000,0))="","",INDEX(營收表現!J$6:J$3000,MATCH($A45,營收表現!$A$6:$A$3000,0))),"")</f>
        <v>94.92</v>
      </c>
      <c r="L45">
        <f>IFERROR(IF(INDEX(營收表現!K$6:K$3000,MATCH($A45,營收表現!$A$6:$A$3000,0))="","",INDEX(營收表現!K$6:K$3000,MATCH($A45,營收表現!$A$6:$A$3000,0))),"")</f>
        <v>-52.39</v>
      </c>
      <c r="M45">
        <f>IFERROR(IF(INDEX(營收表現!L$6:L$3000,MATCH($A45,營收表現!$A$6:$A$3000,0))="","",INDEX(營收表現!L$6:L$3000,MATCH($A45,營收表現!$A$6:$A$3000,0))),"")</f>
        <v>-30.49</v>
      </c>
      <c r="N45">
        <f>IFERROR(IF(INDEX(營收表現!M$6:M$3000,MATCH($A45,營收表現!$A$6:$A$3000,0))="","",INDEX(營收表現!M$6:M$3000,MATCH($A45,營收表現!$A$6:$A$3000,0))),"")</f>
        <v>35.659999999999997</v>
      </c>
      <c r="O45">
        <f>IF(INDEX(營收表現!N$6:N$3000,MATCH($A45,營收表現!$A$6:$A$3000,0))="","",INDEX(營收表現!N$6:N$3000,MATCH($A45,營收表現!$A$6:$A$3000,0)))</f>
        <v>56.66</v>
      </c>
    </row>
    <row r="46" spans="1:15">
      <c r="A46" s="2" t="s">
        <v>7876</v>
      </c>
      <c r="B46" t="str">
        <f>IFERROR(INDEX(營收表現!B$6:B$3000,MATCH($A46,營收表現!$A$6:$A$3000,0)),"")</f>
        <v>鴻勁</v>
      </c>
      <c r="C46" t="str">
        <f>IFERROR(INDEX(類別!G$4:G$3000,MATCH($A46,類別!$C$4:$C$3000,0)),"")</f>
        <v>半導體設備</v>
      </c>
      <c r="D46">
        <f>IFERROR(IF(INDEX(營收表現!C$6:C$3000,MATCH($A46,營收表現!$A$6:$A$3000,0))="","",INDEX(營收表現!C$6:C$3000,MATCH($A46,營收表現!$A$6:$A$3000,0))),"")</f>
        <v>4.29</v>
      </c>
      <c r="E46">
        <f>IFERROR(IF(INDEX(營收表現!D$6:D$3000,MATCH($A46,營收表現!$A$6:$A$3000,0))="","",INDEX(營收表現!D$6:D$3000,MATCH($A46,營收表現!$A$6:$A$3000,0))),"")</f>
        <v>5.05</v>
      </c>
      <c r="F46">
        <f>IFERROR(IF(INDEX(營收表現!E$6:E$3000,MATCH($A46,營收表現!$A$6:$A$3000,0))="","",INDEX(營收表現!E$6:E$3000,MATCH($A46,營收表現!$A$6:$A$3000,0))),"")</f>
        <v>2.08</v>
      </c>
      <c r="G46">
        <f>IFERROR(IF(INDEX(營收表現!F$6:F$3000,MATCH($A46,營收表現!$A$6:$A$3000,0))="","",INDEX(營收表現!F$6:F$3000,MATCH($A46,營收表現!$A$6:$A$3000,0))),"")</f>
        <v>3.57</v>
      </c>
      <c r="H46">
        <f>IFERROR(IF(INDEX(營收表現!G$6:G$3000,MATCH($A46,營收表現!$A$6:$A$3000,0))="","",INDEX(營收表現!G$6:G$3000,MATCH($A46,營收表現!$A$6:$A$3000,0))),"")</f>
        <v>10.039999999999999</v>
      </c>
      <c r="I46">
        <f>IFERROR(IF(INDEX(營收表現!H$6:H$3000,MATCH($A46,營收表現!$A$6:$A$3000,0))="","",INDEX(營收表現!H$6:H$3000,MATCH($A46,營收表現!$A$6:$A$3000,0))),"")</f>
        <v>0.35</v>
      </c>
      <c r="J46">
        <f>IFERROR(IF(INDEX(營收表現!I$6:I$3000,MATCH($A46,營收表現!$A$6:$A$3000,0))="","",INDEX(營收表現!I$6:I$3000,MATCH($A46,營收表現!$A$6:$A$3000,0))),"")</f>
        <v>145.9</v>
      </c>
      <c r="K46">
        <f>IFERROR(IF(INDEX(營收表現!J$6:J$3000,MATCH($A46,營收表現!$A$6:$A$3000,0))="","",INDEX(營收表現!J$6:J$3000,MATCH($A46,營收表現!$A$6:$A$3000,0))),"")</f>
        <v>131.25</v>
      </c>
      <c r="L46">
        <f>IFERROR(IF(INDEX(營收表現!K$6:K$3000,MATCH($A46,營收表現!$A$6:$A$3000,0))="","",INDEX(營收表現!K$6:K$3000,MATCH($A46,營收表現!$A$6:$A$3000,0))),"")</f>
        <v>95.15</v>
      </c>
      <c r="M46">
        <f>IFERROR(IF(INDEX(營收表現!L$6:L$3000,MATCH($A46,營收表現!$A$6:$A$3000,0))="","",INDEX(營收表現!L$6:L$3000,MATCH($A46,營收表現!$A$6:$A$3000,0))),"")</f>
        <v>94.44</v>
      </c>
      <c r="N46">
        <f>IFERROR(IF(INDEX(營收表現!M$6:M$3000,MATCH($A46,營收表現!$A$6:$A$3000,0))="","",INDEX(營收表現!M$6:M$3000,MATCH($A46,營收表現!$A$6:$A$3000,0))),"")</f>
        <v>74.53</v>
      </c>
      <c r="O46">
        <f>IF(INDEX(營收表現!N$6:N$3000,MATCH($A46,營收表現!$A$6:$A$3000,0))="","",INDEX(營收表現!N$6:N$3000,MATCH($A46,營收表現!$A$6:$A$3000,0)))</f>
        <v>73.94</v>
      </c>
    </row>
    <row r="47" spans="1:15">
      <c r="A47" s="2" t="s">
        <v>7878</v>
      </c>
      <c r="B47" t="str">
        <f>IFERROR(INDEX(營收表現!B$6:B$3000,MATCH($A47,營收表現!$A$6:$A$3000,0)),"")</f>
        <v>穎崴</v>
      </c>
      <c r="C47" t="str">
        <f>IFERROR(INDEX(類別!G$4:G$3000,MATCH($A47,類別!$C$4:$C$3000,0)),"")</f>
        <v>IC封測</v>
      </c>
      <c r="D47">
        <f>IFERROR(IF(INDEX(營收表現!C$6:C$3000,MATCH($A47,營收表現!$A$6:$A$3000,0))="","",INDEX(營收表現!C$6:C$3000,MATCH($A47,營收表現!$A$6:$A$3000,0))),"")</f>
        <v>-18.29</v>
      </c>
      <c r="E47">
        <f>IFERROR(IF(INDEX(營收表現!D$6:D$3000,MATCH($A47,營收表現!$A$6:$A$3000,0))="","",INDEX(營收表現!D$6:D$3000,MATCH($A47,營收表現!$A$6:$A$3000,0))),"")</f>
        <v>30.19</v>
      </c>
      <c r="F47">
        <f>IFERROR(IF(INDEX(營收表現!E$6:E$3000,MATCH($A47,營收表現!$A$6:$A$3000,0))="","",INDEX(營收表現!E$6:E$3000,MATCH($A47,營收表現!$A$6:$A$3000,0))),"")</f>
        <v>2.15</v>
      </c>
      <c r="G47">
        <f>IFERROR(IF(INDEX(營收表現!F$6:F$3000,MATCH($A47,營收表現!$A$6:$A$3000,0))="","",INDEX(營收表現!F$6:F$3000,MATCH($A47,營收表現!$A$6:$A$3000,0))),"")</f>
        <v>-8.11</v>
      </c>
      <c r="H47">
        <f>IFERROR(IF(INDEX(營收表現!G$6:G$3000,MATCH($A47,營收表現!$A$6:$A$3000,0))="","",INDEX(營收表現!G$6:G$3000,MATCH($A47,營收表現!$A$6:$A$3000,0))),"")</f>
        <v>48.42</v>
      </c>
      <c r="I47">
        <f>IFERROR(IF(INDEX(營收表現!H$6:H$3000,MATCH($A47,營收表現!$A$6:$A$3000,0))="","",INDEX(營收表現!H$6:H$3000,MATCH($A47,營收表現!$A$6:$A$3000,0))),"")</f>
        <v>-4.53</v>
      </c>
      <c r="J47">
        <f>IFERROR(IF(INDEX(營收表現!I$6:I$3000,MATCH($A47,營收表現!$A$6:$A$3000,0))="","",INDEX(營收表現!I$6:I$3000,MATCH($A47,營收表現!$A$6:$A$3000,0))),"")</f>
        <v>-18.14</v>
      </c>
      <c r="K47">
        <f>IFERROR(IF(INDEX(營收表現!J$6:J$3000,MATCH($A47,營收表現!$A$6:$A$3000,0))="","",INDEX(營收表現!J$6:J$3000,MATCH($A47,營收表現!$A$6:$A$3000,0))),"")</f>
        <v>-6.36</v>
      </c>
      <c r="L47">
        <f>IFERROR(IF(INDEX(營收表現!K$6:K$3000,MATCH($A47,營收表現!$A$6:$A$3000,0))="","",INDEX(營收表現!K$6:K$3000,MATCH($A47,營收表現!$A$6:$A$3000,0))),"")</f>
        <v>4.99</v>
      </c>
      <c r="M47">
        <f>IFERROR(IF(INDEX(營收表現!L$6:L$3000,MATCH($A47,營收表現!$A$6:$A$3000,0))="","",INDEX(營收表現!L$6:L$3000,MATCH($A47,營收表現!$A$6:$A$3000,0))),"")</f>
        <v>43.54</v>
      </c>
      <c r="N47">
        <f>IFERROR(IF(INDEX(營收表現!M$6:M$3000,MATCH($A47,營收表現!$A$6:$A$3000,0))="","",INDEX(營收表現!M$6:M$3000,MATCH($A47,營收表現!$A$6:$A$3000,0))),"")</f>
        <v>103.79</v>
      </c>
      <c r="O47">
        <f>IF(INDEX(營收表現!N$6:N$3000,MATCH($A47,營收表現!$A$6:$A$3000,0))="","",INDEX(營收表現!N$6:N$3000,MATCH($A47,營收表現!$A$6:$A$3000,0)))</f>
        <v>32.619999999999997</v>
      </c>
    </row>
    <row r="48" spans="1:15">
      <c r="A48" s="2" t="s">
        <v>7879</v>
      </c>
      <c r="B48" t="str">
        <f>IFERROR(INDEX(營收表現!B$6:B$3000,MATCH($A48,營收表現!$A$6:$A$3000,0)),"")</f>
        <v>旺矽</v>
      </c>
      <c r="C48" t="str">
        <f>IFERROR(INDEX(類別!G$4:G$3000,MATCH($A48,類別!$C$4:$C$3000,0)),"")</f>
        <v>IC封測</v>
      </c>
      <c r="D48">
        <f>IFERROR(IF(INDEX(營收表現!C$6:C$3000,MATCH($A48,營收表現!$A$6:$A$3000,0))="","",INDEX(營收表現!C$6:C$3000,MATCH($A48,營收表現!$A$6:$A$3000,0))),"")</f>
        <v>11.19</v>
      </c>
      <c r="E48">
        <f>IFERROR(IF(INDEX(營收表現!D$6:D$3000,MATCH($A48,營收表現!$A$6:$A$3000,0))="","",INDEX(營收表現!D$6:D$3000,MATCH($A48,營收表現!$A$6:$A$3000,0))),"")</f>
        <v>-6.78</v>
      </c>
      <c r="F48">
        <f>IFERROR(IF(INDEX(營收表現!E$6:E$3000,MATCH($A48,營收表現!$A$6:$A$3000,0))="","",INDEX(營收表現!E$6:E$3000,MATCH($A48,營收表現!$A$6:$A$3000,0))),"")</f>
        <v>3.03</v>
      </c>
      <c r="G48">
        <f>IFERROR(IF(INDEX(營收表現!F$6:F$3000,MATCH($A48,營收表現!$A$6:$A$3000,0))="","",INDEX(營收表現!F$6:F$3000,MATCH($A48,營收表現!$A$6:$A$3000,0))),"")</f>
        <v>11.19</v>
      </c>
      <c r="H48">
        <f>IFERROR(IF(INDEX(營收表現!G$6:G$3000,MATCH($A48,營收表現!$A$6:$A$3000,0))="","",INDEX(營收表現!G$6:G$3000,MATCH($A48,營收表現!$A$6:$A$3000,0))),"")</f>
        <v>8.4</v>
      </c>
      <c r="I48">
        <f>IFERROR(IF(INDEX(營收表現!H$6:H$3000,MATCH($A48,營收表現!$A$6:$A$3000,0))="","",INDEX(營收表現!H$6:H$3000,MATCH($A48,營收表現!$A$6:$A$3000,0))),"")</f>
        <v>-12.06</v>
      </c>
      <c r="J48">
        <f>IFERROR(IF(INDEX(營收表現!I$6:I$3000,MATCH($A48,營收表現!$A$6:$A$3000,0))="","",INDEX(營收表現!I$6:I$3000,MATCH($A48,營收表現!$A$6:$A$3000,0))),"")</f>
        <v>33.75</v>
      </c>
      <c r="K48">
        <f>IFERROR(IF(INDEX(營收表現!J$6:J$3000,MATCH($A48,營收表現!$A$6:$A$3000,0))="","",INDEX(營收表現!J$6:J$3000,MATCH($A48,營收表現!$A$6:$A$3000,0))),"")</f>
        <v>12.74</v>
      </c>
      <c r="L48">
        <f>IFERROR(IF(INDEX(營收表現!K$6:K$3000,MATCH($A48,營收表現!$A$6:$A$3000,0))="","",INDEX(營收表現!K$6:K$3000,MATCH($A48,營收表現!$A$6:$A$3000,0))),"")</f>
        <v>19.350000000000001</v>
      </c>
      <c r="M48">
        <f>IFERROR(IF(INDEX(營收表現!L$6:L$3000,MATCH($A48,營收表現!$A$6:$A$3000,0))="","",INDEX(營收表現!L$6:L$3000,MATCH($A48,營收表現!$A$6:$A$3000,0))),"")</f>
        <v>31.38</v>
      </c>
      <c r="N48">
        <f>IFERROR(IF(INDEX(營收表現!M$6:M$3000,MATCH($A48,營收表現!$A$6:$A$3000,0))="","",INDEX(營收表現!M$6:M$3000,MATCH($A48,營收表現!$A$6:$A$3000,0))),"")</f>
        <v>32.630000000000003</v>
      </c>
      <c r="O48">
        <f>IF(INDEX(營收表現!N$6:N$3000,MATCH($A48,營收表現!$A$6:$A$3000,0))="","",INDEX(營收表現!N$6:N$3000,MATCH($A48,營收表現!$A$6:$A$3000,0)))</f>
        <v>33.06</v>
      </c>
    </row>
    <row r="49" spans="1:15">
      <c r="A49" s="2" t="s">
        <v>7880</v>
      </c>
      <c r="B49" t="str">
        <f>IFERROR(INDEX(營收表現!B$6:B$3000,MATCH($A49,營收表現!$A$6:$A$3000,0)),"")</f>
        <v>M31</v>
      </c>
      <c r="C49" t="str">
        <f>IFERROR(INDEX(類別!G$4:G$3000,MATCH($A49,類別!$C$4:$C$3000,0)),"")</f>
        <v>IP</v>
      </c>
      <c r="D49">
        <f>IFERROR(IF(INDEX(營收表現!C$6:C$3000,MATCH($A49,營收表現!$A$6:$A$3000,0))="","",INDEX(營收表現!C$6:C$3000,MATCH($A49,營收表現!$A$6:$A$3000,0))),"")</f>
        <v>-20.52</v>
      </c>
      <c r="E49">
        <f>IFERROR(IF(INDEX(營收表現!D$6:D$3000,MATCH($A49,營收表現!$A$6:$A$3000,0))="","",INDEX(營收表現!D$6:D$3000,MATCH($A49,營收表現!$A$6:$A$3000,0))),"")</f>
        <v>22.3</v>
      </c>
      <c r="F49">
        <f>IFERROR(IF(INDEX(營收表現!E$6:E$3000,MATCH($A49,營收表現!$A$6:$A$3000,0))="","",INDEX(營收表現!E$6:E$3000,MATCH($A49,營收表現!$A$6:$A$3000,0))),"")</f>
        <v>12.69</v>
      </c>
      <c r="G49">
        <f>IFERROR(IF(INDEX(營收表現!F$6:F$3000,MATCH($A49,營收表現!$A$6:$A$3000,0))="","",INDEX(營收表現!F$6:F$3000,MATCH($A49,營收表現!$A$6:$A$3000,0))),"")</f>
        <v>10.9</v>
      </c>
      <c r="H49">
        <f>IFERROR(IF(INDEX(營收表現!G$6:G$3000,MATCH($A49,營收表現!$A$6:$A$3000,0))="","",INDEX(營收表現!G$6:G$3000,MATCH($A49,營收表現!$A$6:$A$3000,0))),"")</f>
        <v>59.33</v>
      </c>
      <c r="I49">
        <f>IFERROR(IF(INDEX(營收表現!H$6:H$3000,MATCH($A49,營收表現!$A$6:$A$3000,0))="","",INDEX(營收表現!H$6:H$3000,MATCH($A49,營收表現!$A$6:$A$3000,0))),"")</f>
        <v>-55.71</v>
      </c>
      <c r="J49">
        <f>IFERROR(IF(INDEX(營收表現!I$6:I$3000,MATCH($A49,營收表現!$A$6:$A$3000,0))="","",INDEX(營收表現!I$6:I$3000,MATCH($A49,營收表現!$A$6:$A$3000,0))),"")</f>
        <v>-19.59</v>
      </c>
      <c r="K49">
        <f>IFERROR(IF(INDEX(營收表現!J$6:J$3000,MATCH($A49,營收表現!$A$6:$A$3000,0))="","",INDEX(營收表現!J$6:J$3000,MATCH($A49,營收表現!$A$6:$A$3000,0))),"")</f>
        <v>-12.04</v>
      </c>
      <c r="L49">
        <f>IFERROR(IF(INDEX(營收表現!K$6:K$3000,MATCH($A49,營收表現!$A$6:$A$3000,0))="","",INDEX(營收表現!K$6:K$3000,MATCH($A49,營收表現!$A$6:$A$3000,0))),"")</f>
        <v>102.43</v>
      </c>
      <c r="M49">
        <f>IFERROR(IF(INDEX(營收表現!L$6:L$3000,MATCH($A49,營收表現!$A$6:$A$3000,0))="","",INDEX(營收表現!L$6:L$3000,MATCH($A49,營收表現!$A$6:$A$3000,0))),"")</f>
        <v>22.09</v>
      </c>
      <c r="N49">
        <f>IFERROR(IF(INDEX(營收表現!M$6:M$3000,MATCH($A49,營收表現!$A$6:$A$3000,0))="","",INDEX(營收表現!M$6:M$3000,MATCH($A49,營收表現!$A$6:$A$3000,0))),"")</f>
        <v>89.88</v>
      </c>
      <c r="O49">
        <f>IF(INDEX(營收表現!N$6:N$3000,MATCH($A49,營收表現!$A$6:$A$3000,0))="","",INDEX(營收表現!N$6:N$3000,MATCH($A49,營收表現!$A$6:$A$3000,0)))</f>
        <v>-2.46</v>
      </c>
    </row>
    <row r="50" spans="1:15">
      <c r="A50" s="2" t="s">
        <v>7881</v>
      </c>
      <c r="B50" t="str">
        <f>IFERROR(INDEX(營收表現!B$6:B$3000,MATCH($A50,營收表現!$A$6:$A$3000,0)),"")</f>
        <v>力旺</v>
      </c>
      <c r="C50" t="str">
        <f>IFERROR(INDEX(類別!G$4:G$3000,MATCH($A50,類別!$C$4:$C$3000,0)),"")</f>
        <v>IP</v>
      </c>
      <c r="D50">
        <f>IFERROR(IF(INDEX(營收表現!C$6:C$3000,MATCH($A50,營收表現!$A$6:$A$3000,0))="","",INDEX(營收表現!C$6:C$3000,MATCH($A50,營收表現!$A$6:$A$3000,0))),"")</f>
        <v>-54.22</v>
      </c>
      <c r="E50">
        <f>IFERROR(IF(INDEX(營收表現!D$6:D$3000,MATCH($A50,營收表現!$A$6:$A$3000,0))="","",INDEX(營收表現!D$6:D$3000,MATCH($A50,營收表現!$A$6:$A$3000,0))),"")</f>
        <v>-37.46</v>
      </c>
      <c r="F50">
        <f>IFERROR(IF(INDEX(營收表現!E$6:E$3000,MATCH($A50,營收表現!$A$6:$A$3000,0))="","",INDEX(營收表現!E$6:E$3000,MATCH($A50,營收表現!$A$6:$A$3000,0))),"")</f>
        <v>298.26</v>
      </c>
      <c r="G50">
        <f>IFERROR(IF(INDEX(營收表現!F$6:F$3000,MATCH($A50,營收表現!$A$6:$A$3000,0))="","",INDEX(營收表現!F$6:F$3000,MATCH($A50,營收表現!$A$6:$A$3000,0))),"")</f>
        <v>-44.48</v>
      </c>
      <c r="H50">
        <f>IFERROR(IF(INDEX(營收表現!G$6:G$3000,MATCH($A50,營收表現!$A$6:$A$3000,0))="","",INDEX(營收表現!G$6:G$3000,MATCH($A50,營收表現!$A$6:$A$3000,0))),"")</f>
        <v>-76.849999999999994</v>
      </c>
      <c r="I50">
        <f>IFERROR(IF(INDEX(營收表現!H$6:H$3000,MATCH($A50,營收表現!$A$6:$A$3000,0))="","",INDEX(營收表現!H$6:H$3000,MATCH($A50,營收表現!$A$6:$A$3000,0))),"")</f>
        <v>733.65</v>
      </c>
      <c r="J50">
        <f>IFERROR(IF(INDEX(營收表現!I$6:I$3000,MATCH($A50,營收表現!$A$6:$A$3000,0))="","",INDEX(營收表現!I$6:I$3000,MATCH($A50,營收表現!$A$6:$A$3000,0))),"")</f>
        <v>-13.12</v>
      </c>
      <c r="K50">
        <f>IFERROR(IF(INDEX(營收表現!J$6:J$3000,MATCH($A50,營收表現!$A$6:$A$3000,0))="","",INDEX(營收表現!J$6:J$3000,MATCH($A50,營收表現!$A$6:$A$3000,0))),"")</f>
        <v>52.7</v>
      </c>
      <c r="L50">
        <f>IFERROR(IF(INDEX(營收表現!K$6:K$3000,MATCH($A50,營收表現!$A$6:$A$3000,0))="","",INDEX(營收表現!K$6:K$3000,MATCH($A50,營收表現!$A$6:$A$3000,0))),"")</f>
        <v>10.89</v>
      </c>
      <c r="M50">
        <f>IFERROR(IF(INDEX(營收表現!L$6:L$3000,MATCH($A50,營收表現!$A$6:$A$3000,0))="","",INDEX(營收表現!L$6:L$3000,MATCH($A50,營收表現!$A$6:$A$3000,0))),"")</f>
        <v>7.25</v>
      </c>
      <c r="N50">
        <f>IFERROR(IF(INDEX(營收表現!M$6:M$3000,MATCH($A50,營收表現!$A$6:$A$3000,0))="","",INDEX(營收表現!M$6:M$3000,MATCH($A50,營收表現!$A$6:$A$3000,0))),"")</f>
        <v>-36.94</v>
      </c>
      <c r="O50">
        <f>IF(INDEX(營收表現!N$6:N$3000,MATCH($A50,營收表現!$A$6:$A$3000,0))="","",INDEX(營收表現!N$6:N$3000,MATCH($A50,營收表現!$A$6:$A$3000,0)))</f>
        <v>22.39</v>
      </c>
    </row>
    <row r="51" spans="1:15">
      <c r="A51" s="2" t="s">
        <v>7884</v>
      </c>
      <c r="B51" t="str">
        <f>IFERROR(INDEX(營收表現!B$6:B$3000,MATCH($A51,營收表現!$A$6:$A$3000,0)),"")</f>
        <v>千附</v>
      </c>
      <c r="C51" t="str">
        <f>IFERROR(INDEX(類別!G$4:G$3000,MATCH($A51,類別!$C$4:$C$3000,0)),"")</f>
        <v>公共工程</v>
      </c>
      <c r="D51">
        <f>IFERROR(IF(INDEX(營收表現!C$6:C$3000,MATCH($A51,營收表現!$A$6:$A$3000,0))="","",INDEX(營收表現!C$6:C$3000,MATCH($A51,營收表現!$A$6:$A$3000,0))),"")</f>
        <v>5.41</v>
      </c>
      <c r="E51">
        <f>IFERROR(IF(INDEX(營收表現!D$6:D$3000,MATCH($A51,營收表現!$A$6:$A$3000,0))="","",INDEX(營收表現!D$6:D$3000,MATCH($A51,營收表現!$A$6:$A$3000,0))),"")</f>
        <v>-13.43</v>
      </c>
      <c r="F51">
        <f>IFERROR(IF(INDEX(營收表現!E$6:E$3000,MATCH($A51,營收表現!$A$6:$A$3000,0))="","",INDEX(營收表現!E$6:E$3000,MATCH($A51,營收表現!$A$6:$A$3000,0))),"")</f>
        <v>8.4</v>
      </c>
      <c r="G51">
        <f>IFERROR(IF(INDEX(營收表現!F$6:F$3000,MATCH($A51,營收表現!$A$6:$A$3000,0))="","",INDEX(營收表現!F$6:F$3000,MATCH($A51,營收表現!$A$6:$A$3000,0))),"")</f>
        <v>10.51</v>
      </c>
      <c r="H51">
        <f>IFERROR(IF(INDEX(營收表現!G$6:G$3000,MATCH($A51,營收表現!$A$6:$A$3000,0))="","",INDEX(營收表現!G$6:G$3000,MATCH($A51,營收表現!$A$6:$A$3000,0))),"")</f>
        <v>27.14</v>
      </c>
      <c r="I51">
        <f>IFERROR(IF(INDEX(營收表現!H$6:H$3000,MATCH($A51,營收表現!$A$6:$A$3000,0))="","",INDEX(營收表現!H$6:H$3000,MATCH($A51,營收表現!$A$6:$A$3000,0))),"")</f>
        <v>-19.579999999999998</v>
      </c>
      <c r="J51">
        <f>IFERROR(IF(INDEX(營收表現!I$6:I$3000,MATCH($A51,營收表現!$A$6:$A$3000,0))="","",INDEX(營收表現!I$6:I$3000,MATCH($A51,營收表現!$A$6:$A$3000,0))),"")</f>
        <v>25.62</v>
      </c>
      <c r="K51">
        <f>IFERROR(IF(INDEX(營收表現!J$6:J$3000,MATCH($A51,營收表現!$A$6:$A$3000,0))="","",INDEX(營收表現!J$6:J$3000,MATCH($A51,營收表現!$A$6:$A$3000,0))),"")</f>
        <v>0.04</v>
      </c>
      <c r="L51">
        <f>IFERROR(IF(INDEX(營收表現!K$6:K$3000,MATCH($A51,營收表現!$A$6:$A$3000,0))="","",INDEX(營收表現!K$6:K$3000,MATCH($A51,營收表現!$A$6:$A$3000,0))),"")</f>
        <v>33.4</v>
      </c>
      <c r="M51">
        <f>IFERROR(IF(INDEX(營收表現!L$6:L$3000,MATCH($A51,營收表現!$A$6:$A$3000,0))="","",INDEX(營收表現!L$6:L$3000,MATCH($A51,營收表現!$A$6:$A$3000,0))),"")</f>
        <v>-29.29</v>
      </c>
      <c r="N51">
        <f>IFERROR(IF(INDEX(營收表現!M$6:M$3000,MATCH($A51,營收表現!$A$6:$A$3000,0))="","",INDEX(營收表現!M$6:M$3000,MATCH($A51,營收表現!$A$6:$A$3000,0))),"")</f>
        <v>36.56</v>
      </c>
      <c r="O51">
        <f>IF(INDEX(營收表現!N$6:N$3000,MATCH($A51,營收表現!$A$6:$A$3000,0))="","",INDEX(營收表現!N$6:N$3000,MATCH($A51,營收表現!$A$6:$A$3000,0)))</f>
        <v>9.31</v>
      </c>
    </row>
    <row r="52" spans="1:15">
      <c r="A52" s="2" t="s">
        <v>7885</v>
      </c>
      <c r="B52" t="str">
        <f>IFERROR(INDEX(營收表現!B$6:B$3000,MATCH($A52,營收表現!$A$6:$A$3000,0)),"")</f>
        <v>帆宣</v>
      </c>
      <c r="C52" t="str">
        <f>IFERROR(INDEX(類別!G$4:G$3000,MATCH($A52,類別!$C$4:$C$3000,0)),"")</f>
        <v>半導體設備</v>
      </c>
      <c r="D52">
        <f>IFERROR(IF(INDEX(營收表現!C$6:C$3000,MATCH($A52,營收表現!$A$6:$A$3000,0))="","",INDEX(營收表現!C$6:C$3000,MATCH($A52,營收表現!$A$6:$A$3000,0))),"")</f>
        <v>5.15</v>
      </c>
      <c r="E52">
        <f>IFERROR(IF(INDEX(營收表現!D$6:D$3000,MATCH($A52,營收表現!$A$6:$A$3000,0))="","",INDEX(營收表現!D$6:D$3000,MATCH($A52,營收表現!$A$6:$A$3000,0))),"")</f>
        <v>-3.06</v>
      </c>
      <c r="F52">
        <f>IFERROR(IF(INDEX(營收表現!E$6:E$3000,MATCH($A52,營收表現!$A$6:$A$3000,0))="","",INDEX(營收表現!E$6:E$3000,MATCH($A52,營收表現!$A$6:$A$3000,0))),"")</f>
        <v>8.77</v>
      </c>
      <c r="G52">
        <f>IFERROR(IF(INDEX(營收表現!F$6:F$3000,MATCH($A52,營收表現!$A$6:$A$3000,0))="","",INDEX(營收表現!F$6:F$3000,MATCH($A52,營收表現!$A$6:$A$3000,0))),"")</f>
        <v>31.72</v>
      </c>
      <c r="H52">
        <f>IFERROR(IF(INDEX(營收表現!G$6:G$3000,MATCH($A52,營收表現!$A$6:$A$3000,0))="","",INDEX(營收表現!G$6:G$3000,MATCH($A52,營收表現!$A$6:$A$3000,0))),"")</f>
        <v>-7.39</v>
      </c>
      <c r="I52">
        <f>IFERROR(IF(INDEX(營收表現!H$6:H$3000,MATCH($A52,營收表現!$A$6:$A$3000,0))="","",INDEX(營收表現!H$6:H$3000,MATCH($A52,營收表現!$A$6:$A$3000,0))),"")</f>
        <v>-6.71</v>
      </c>
      <c r="J52">
        <f>IFERROR(IF(INDEX(營收表現!I$6:I$3000,MATCH($A52,營收表現!$A$6:$A$3000,0))="","",INDEX(營收表現!I$6:I$3000,MATCH($A52,營收表現!$A$6:$A$3000,0))),"")</f>
        <v>-27.54</v>
      </c>
      <c r="K52">
        <f>IFERROR(IF(INDEX(營收表現!J$6:J$3000,MATCH($A52,營收表現!$A$6:$A$3000,0))="","",INDEX(營收表現!J$6:J$3000,MATCH($A52,營收表現!$A$6:$A$3000,0))),"")</f>
        <v>-27.96</v>
      </c>
      <c r="L52">
        <f>IFERROR(IF(INDEX(營收表現!K$6:K$3000,MATCH($A52,營收表現!$A$6:$A$3000,0))="","",INDEX(營收表現!K$6:K$3000,MATCH($A52,營收表現!$A$6:$A$3000,0))),"")</f>
        <v>-9.2899999999999991</v>
      </c>
      <c r="M52">
        <f>IFERROR(IF(INDEX(營收表現!L$6:L$3000,MATCH($A52,營收表現!$A$6:$A$3000,0))="","",INDEX(營收表現!L$6:L$3000,MATCH($A52,營收表現!$A$6:$A$3000,0))),"")</f>
        <v>5.72</v>
      </c>
      <c r="N52">
        <f>IFERROR(IF(INDEX(營收表現!M$6:M$3000,MATCH($A52,營收表現!$A$6:$A$3000,0))="","",INDEX(營收表現!M$6:M$3000,MATCH($A52,營收表現!$A$6:$A$3000,0))),"")</f>
        <v>-5.19</v>
      </c>
      <c r="O52">
        <f>IF(INDEX(營收表現!N$6:N$3000,MATCH($A52,營收表現!$A$6:$A$3000,0))="","",INDEX(營收表現!N$6:N$3000,MATCH($A52,營收表現!$A$6:$A$3000,0)))</f>
        <v>0.5</v>
      </c>
    </row>
    <row r="53" spans="1:15">
      <c r="A53" s="2" t="s">
        <v>7886</v>
      </c>
      <c r="B53" t="str">
        <f>IFERROR(INDEX(營收表現!B$6:B$3000,MATCH($A53,營收表現!$A$6:$A$3000,0)),"")</f>
        <v>亞翔</v>
      </c>
      <c r="C53" t="str">
        <f>IFERROR(INDEX(類別!G$4:G$3000,MATCH($A53,類別!$C$4:$C$3000,0)),"")</f>
        <v>儀器設備</v>
      </c>
      <c r="D53">
        <f>IFERROR(IF(INDEX(營收表現!C$6:C$3000,MATCH($A53,營收表現!$A$6:$A$3000,0))="","",INDEX(營收表現!C$6:C$3000,MATCH($A53,營收表現!$A$6:$A$3000,0))),"")</f>
        <v>15.48</v>
      </c>
      <c r="E53">
        <f>IFERROR(IF(INDEX(營收表現!D$6:D$3000,MATCH($A53,營收表現!$A$6:$A$3000,0))="","",INDEX(營收表現!D$6:D$3000,MATCH($A53,營收表現!$A$6:$A$3000,0))),"")</f>
        <v>29.8</v>
      </c>
      <c r="F53">
        <f>IFERROR(IF(INDEX(營收表現!E$6:E$3000,MATCH($A53,營收表現!$A$6:$A$3000,0))="","",INDEX(營收表現!E$6:E$3000,MATCH($A53,營收表現!$A$6:$A$3000,0))),"")</f>
        <v>-29.96</v>
      </c>
      <c r="G53">
        <f>IFERROR(IF(INDEX(營收表現!F$6:F$3000,MATCH($A53,營收表現!$A$6:$A$3000,0))="","",INDEX(營收表現!F$6:F$3000,MATCH($A53,營收表現!$A$6:$A$3000,0))),"")</f>
        <v>20.350000000000001</v>
      </c>
      <c r="H53">
        <f>IFERROR(IF(INDEX(營收表現!G$6:G$3000,MATCH($A53,營收表現!$A$6:$A$3000,0))="","",INDEX(營收表現!G$6:G$3000,MATCH($A53,營收表現!$A$6:$A$3000,0))),"")</f>
        <v>11.66</v>
      </c>
      <c r="I53" t="str">
        <f>IFERROR(IF(INDEX(營收表現!H$6:H$3000,MATCH($A53,營收表現!$A$6:$A$3000,0))="","",INDEX(營收表現!H$6:H$3000,MATCH($A53,營收表現!$A$6:$A$3000,0))),"")</f>
        <v/>
      </c>
      <c r="J53">
        <f>IFERROR(IF(INDEX(營收表現!I$6:I$3000,MATCH($A53,營收表現!$A$6:$A$3000,0))="","",INDEX(營收表現!I$6:I$3000,MATCH($A53,營收表現!$A$6:$A$3000,0))),"")</f>
        <v>97.38</v>
      </c>
      <c r="K53">
        <f>IFERROR(IF(INDEX(營收表現!J$6:J$3000,MATCH($A53,營收表現!$A$6:$A$3000,0))="","",INDEX(營收表現!J$6:J$3000,MATCH($A53,營收表現!$A$6:$A$3000,0))),"")</f>
        <v>79.91</v>
      </c>
      <c r="L53">
        <f>IFERROR(IF(INDEX(營收表現!K$6:K$3000,MATCH($A53,營收表現!$A$6:$A$3000,0))="","",INDEX(營收表現!K$6:K$3000,MATCH($A53,營收表現!$A$6:$A$3000,0))),"")</f>
        <v>77.010000000000005</v>
      </c>
      <c r="M53">
        <f>IFERROR(IF(INDEX(營收表現!L$6:L$3000,MATCH($A53,營收表現!$A$6:$A$3000,0))="","",INDEX(營收表現!L$6:L$3000,MATCH($A53,營收表現!$A$6:$A$3000,0))),"")</f>
        <v>169.57</v>
      </c>
      <c r="N53">
        <f>IFERROR(IF(INDEX(營收表現!M$6:M$3000,MATCH($A53,營收表現!$A$6:$A$3000,0))="","",INDEX(營收表現!M$6:M$3000,MATCH($A53,營收表現!$A$6:$A$3000,0))),"")</f>
        <v>165.15</v>
      </c>
      <c r="O53" t="str">
        <f>IF(INDEX(營收表現!N$6:N$3000,MATCH($A53,營收表現!$A$6:$A$3000,0))="","",INDEX(營收表現!N$6:N$3000,MATCH($A53,營收表現!$A$6:$A$3000,0)))</f>
        <v/>
      </c>
    </row>
    <row r="54" spans="1:15">
      <c r="A54" s="2" t="s">
        <v>7887</v>
      </c>
      <c r="B54" t="str">
        <f>IFERROR(INDEX(營收表現!B$6:B$3000,MATCH($A54,營收表現!$A$6:$A$3000,0)),"")</f>
        <v>洋基工程</v>
      </c>
      <c r="C54" t="str">
        <f>IFERROR(INDEX(類別!G$4:G$3000,MATCH($A54,類別!$C$4:$C$3000,0)),"")</f>
        <v>半導體設備</v>
      </c>
      <c r="D54">
        <f>IFERROR(IF(INDEX(營收表現!C$6:C$3000,MATCH($A54,營收表現!$A$6:$A$3000,0))="","",INDEX(營收表現!C$6:C$3000,MATCH($A54,營收表現!$A$6:$A$3000,0))),"")</f>
        <v>-1.97</v>
      </c>
      <c r="E54">
        <f>IFERROR(IF(INDEX(營收表現!D$6:D$3000,MATCH($A54,營收表現!$A$6:$A$3000,0))="","",INDEX(營收表現!D$6:D$3000,MATCH($A54,營收表現!$A$6:$A$3000,0))),"")</f>
        <v>27.23</v>
      </c>
      <c r="F54">
        <f>IFERROR(IF(INDEX(營收表現!E$6:E$3000,MATCH($A54,營收表現!$A$6:$A$3000,0))="","",INDEX(營收表現!E$6:E$3000,MATCH($A54,營收表現!$A$6:$A$3000,0))),"")</f>
        <v>-6.77</v>
      </c>
      <c r="G54">
        <f>IFERROR(IF(INDEX(營收表現!F$6:F$3000,MATCH($A54,營收表現!$A$6:$A$3000,0))="","",INDEX(營收表現!F$6:F$3000,MATCH($A54,營收表現!$A$6:$A$3000,0))),"")</f>
        <v>-6.78</v>
      </c>
      <c r="H54">
        <f>IFERROR(IF(INDEX(營收表現!G$6:G$3000,MATCH($A54,營收表現!$A$6:$A$3000,0))="","",INDEX(營收表現!G$6:G$3000,MATCH($A54,營收表現!$A$6:$A$3000,0))),"")</f>
        <v>66.959999999999994</v>
      </c>
      <c r="I54">
        <f>IFERROR(IF(INDEX(營收表現!H$6:H$3000,MATCH($A54,營收表現!$A$6:$A$3000,0))="","",INDEX(營收表現!H$6:H$3000,MATCH($A54,營收表現!$A$6:$A$3000,0))),"")</f>
        <v>-23.94</v>
      </c>
      <c r="J54">
        <f>IFERROR(IF(INDEX(營收表現!I$6:I$3000,MATCH($A54,營收表現!$A$6:$A$3000,0))="","",INDEX(營收表現!I$6:I$3000,MATCH($A54,營收表現!$A$6:$A$3000,0))),"")</f>
        <v>51.85</v>
      </c>
      <c r="K54">
        <f>IFERROR(IF(INDEX(營收表現!J$6:J$3000,MATCH($A54,營收表現!$A$6:$A$3000,0))="","",INDEX(營收表現!J$6:J$3000,MATCH($A54,營收表現!$A$6:$A$3000,0))),"")</f>
        <v>37.130000000000003</v>
      </c>
      <c r="L54">
        <f>IFERROR(IF(INDEX(營收表現!K$6:K$3000,MATCH($A54,營收表現!$A$6:$A$3000,0))="","",INDEX(營收表現!K$6:K$3000,MATCH($A54,營收表現!$A$6:$A$3000,0))),"")</f>
        <v>43.81</v>
      </c>
      <c r="M54">
        <f>IFERROR(IF(INDEX(營收表現!L$6:L$3000,MATCH($A54,營收表現!$A$6:$A$3000,0))="","",INDEX(營收表現!L$6:L$3000,MATCH($A54,營收表現!$A$6:$A$3000,0))),"")</f>
        <v>-6.78</v>
      </c>
      <c r="N54">
        <f>IFERROR(IF(INDEX(營收表現!M$6:M$3000,MATCH($A54,營收表現!$A$6:$A$3000,0))="","",INDEX(營收表現!M$6:M$3000,MATCH($A54,營收表現!$A$6:$A$3000,0))),"")</f>
        <v>68.239999999999995</v>
      </c>
      <c r="O54">
        <f>IF(INDEX(營收表現!N$6:N$3000,MATCH($A54,營收表現!$A$6:$A$3000,0))="","",INDEX(營收表現!N$6:N$3000,MATCH($A54,營收表現!$A$6:$A$3000,0)))</f>
        <v>80.45</v>
      </c>
    </row>
    <row r="55" spans="1:15">
      <c r="A55" s="2" t="s">
        <v>7888</v>
      </c>
      <c r="B55" t="str">
        <f>IFERROR(INDEX(營收表現!B$6:B$3000,MATCH($A55,營收表現!$A$6:$A$3000,0)),"")</f>
        <v>聖暉*</v>
      </c>
      <c r="C55" t="str">
        <f>IFERROR(INDEX(類別!G$4:G$3000,MATCH($A55,類別!$C$4:$C$3000,0)),"")</f>
        <v>半導體設備</v>
      </c>
      <c r="D55">
        <f>IFERROR(IF(INDEX(營收表現!C$6:C$3000,MATCH($A55,營收表現!$A$6:$A$3000,0))="","",INDEX(營收表現!C$6:C$3000,MATCH($A55,營收表現!$A$6:$A$3000,0))),"")</f>
        <v>-10.17</v>
      </c>
      <c r="E55">
        <f>IFERROR(IF(INDEX(營收表現!D$6:D$3000,MATCH($A55,營收表現!$A$6:$A$3000,0))="","",INDEX(營收表現!D$6:D$3000,MATCH($A55,營收表現!$A$6:$A$3000,0))),"")</f>
        <v>15.81</v>
      </c>
      <c r="F55">
        <f>IFERROR(IF(INDEX(營收表現!E$6:E$3000,MATCH($A55,營收表現!$A$6:$A$3000,0))="","",INDEX(營收表現!E$6:E$3000,MATCH($A55,營收表現!$A$6:$A$3000,0))),"")</f>
        <v>-18.100000000000001</v>
      </c>
      <c r="G55">
        <f>IFERROR(IF(INDEX(營收表現!F$6:F$3000,MATCH($A55,營收表現!$A$6:$A$3000,0))="","",INDEX(營收表現!F$6:F$3000,MATCH($A55,營收表現!$A$6:$A$3000,0))),"")</f>
        <v>16.41</v>
      </c>
      <c r="H55">
        <f>IFERROR(IF(INDEX(營收表現!G$6:G$3000,MATCH($A55,營收表現!$A$6:$A$3000,0))="","",INDEX(營收表現!G$6:G$3000,MATCH($A55,營收表現!$A$6:$A$3000,0))),"")</f>
        <v>8.61</v>
      </c>
      <c r="I55">
        <f>IFERROR(IF(INDEX(營收表現!H$6:H$3000,MATCH($A55,營收表現!$A$6:$A$3000,0))="","",INDEX(營收表現!H$6:H$3000,MATCH($A55,營收表現!$A$6:$A$3000,0))),"")</f>
        <v>-9.43</v>
      </c>
      <c r="J55">
        <f>IFERROR(IF(INDEX(營收表現!I$6:I$3000,MATCH($A55,營收表現!$A$6:$A$3000,0))="","",INDEX(營收表現!I$6:I$3000,MATCH($A55,營收表現!$A$6:$A$3000,0))),"")</f>
        <v>41.85</v>
      </c>
      <c r="K55">
        <f>IFERROR(IF(INDEX(營收表現!J$6:J$3000,MATCH($A55,營收表現!$A$6:$A$3000,0))="","",INDEX(營收表現!J$6:J$3000,MATCH($A55,營收表現!$A$6:$A$3000,0))),"")</f>
        <v>28.78</v>
      </c>
      <c r="L55">
        <f>IFERROR(IF(INDEX(營收表現!K$6:K$3000,MATCH($A55,營收表現!$A$6:$A$3000,0))="","",INDEX(營收表現!K$6:K$3000,MATCH($A55,營收表現!$A$6:$A$3000,0))),"")</f>
        <v>17.850000000000001</v>
      </c>
      <c r="M55">
        <f>IFERROR(IF(INDEX(營收表現!L$6:L$3000,MATCH($A55,營收表現!$A$6:$A$3000,0))="","",INDEX(營收表現!L$6:L$3000,MATCH($A55,營收表現!$A$6:$A$3000,0))),"")</f>
        <v>20.03</v>
      </c>
      <c r="N55">
        <f>IFERROR(IF(INDEX(營收表現!M$6:M$3000,MATCH($A55,營收表現!$A$6:$A$3000,0))="","",INDEX(營收表現!M$6:M$3000,MATCH($A55,營收表現!$A$6:$A$3000,0))),"")</f>
        <v>10.14</v>
      </c>
      <c r="O55">
        <f>IF(INDEX(營收表現!N$6:N$3000,MATCH($A55,營收表現!$A$6:$A$3000,0))="","",INDEX(營收表現!N$6:N$3000,MATCH($A55,營收表現!$A$6:$A$3000,0)))</f>
        <v>38.79</v>
      </c>
    </row>
    <row r="56" spans="1:15">
      <c r="A56" s="2" t="s">
        <v>7835</v>
      </c>
      <c r="B56" t="str">
        <f>IFERROR(INDEX(營收表現!B$6:B$3000,MATCH($A56,營收表現!$A$6:$A$3000,0)),"")</f>
        <v>達欣工</v>
      </c>
      <c r="C56" t="str">
        <f>IFERROR(INDEX(類別!G$4:G$3000,MATCH($A56,類別!$C$4:$C$3000,0)),"")</f>
        <v>營建與營造</v>
      </c>
      <c r="D56">
        <f>IFERROR(IF(INDEX(營收表現!C$6:C$3000,MATCH($A56,營收表現!$A$6:$A$3000,0))="","",INDEX(營收表現!C$6:C$3000,MATCH($A56,營收表現!$A$6:$A$3000,0))),"")</f>
        <v>-10.79</v>
      </c>
      <c r="E56">
        <f>IFERROR(IF(INDEX(營收表現!D$6:D$3000,MATCH($A56,營收表現!$A$6:$A$3000,0))="","",INDEX(營收表現!D$6:D$3000,MATCH($A56,營收表現!$A$6:$A$3000,0))),"")</f>
        <v>-0.23</v>
      </c>
      <c r="F56">
        <f>IFERROR(IF(INDEX(營收表現!E$6:E$3000,MATCH($A56,營收表現!$A$6:$A$3000,0))="","",INDEX(營收表現!E$6:E$3000,MATCH($A56,營收表現!$A$6:$A$3000,0))),"")</f>
        <v>-19.989999999999998</v>
      </c>
      <c r="G56">
        <f>IFERROR(IF(INDEX(營收表現!F$6:F$3000,MATCH($A56,營收表現!$A$6:$A$3000,0))="","",INDEX(營收表現!F$6:F$3000,MATCH($A56,營收表現!$A$6:$A$3000,0))),"")</f>
        <v>20.99</v>
      </c>
      <c r="H56">
        <f>IFERROR(IF(INDEX(營收表現!G$6:G$3000,MATCH($A56,營收表現!$A$6:$A$3000,0))="","",INDEX(營收表現!G$6:G$3000,MATCH($A56,營收表現!$A$6:$A$3000,0))),"")</f>
        <v>40.869999999999997</v>
      </c>
      <c r="I56" t="str">
        <f>IFERROR(IF(INDEX(營收表現!H$6:H$3000,MATCH($A56,營收表現!$A$6:$A$3000,0))="","",INDEX(營收表現!H$6:H$3000,MATCH($A56,營收表現!$A$6:$A$3000,0))),"")</f>
        <v/>
      </c>
      <c r="J56">
        <f>IFERROR(IF(INDEX(營收表現!I$6:I$3000,MATCH($A56,營收表現!$A$6:$A$3000,0))="","",INDEX(營收表現!I$6:I$3000,MATCH($A56,營收表現!$A$6:$A$3000,0))),"")</f>
        <v>54.2</v>
      </c>
      <c r="K56">
        <f>IFERROR(IF(INDEX(營收表現!J$6:J$3000,MATCH($A56,營收表現!$A$6:$A$3000,0))="","",INDEX(營收表現!J$6:J$3000,MATCH($A56,營收表現!$A$6:$A$3000,0))),"")</f>
        <v>59.15</v>
      </c>
      <c r="L56">
        <f>IFERROR(IF(INDEX(營收表現!K$6:K$3000,MATCH($A56,營收表現!$A$6:$A$3000,0))="","",INDEX(營收表現!K$6:K$3000,MATCH($A56,營收表現!$A$6:$A$3000,0))),"")</f>
        <v>55.06</v>
      </c>
      <c r="M56">
        <f>IFERROR(IF(INDEX(營收表現!L$6:L$3000,MATCH($A56,營收表現!$A$6:$A$3000,0))="","",INDEX(營收表現!L$6:L$3000,MATCH($A56,營收表現!$A$6:$A$3000,0))),"")</f>
        <v>31.34</v>
      </c>
      <c r="N56">
        <f>IFERROR(IF(INDEX(營收表現!M$6:M$3000,MATCH($A56,營收表現!$A$6:$A$3000,0))="","",INDEX(營收表現!M$6:M$3000,MATCH($A56,營收表現!$A$6:$A$3000,0))),"")</f>
        <v>88.53</v>
      </c>
      <c r="O56" t="str">
        <f>IF(INDEX(營收表現!N$6:N$3000,MATCH($A56,營收表現!$A$6:$A$3000,0))="","",INDEX(營收表現!N$6:N$3000,MATCH($A56,營收表現!$A$6:$A$3000,0)))</f>
        <v/>
      </c>
    </row>
    <row r="57" spans="1:15">
      <c r="A57" s="2" t="s">
        <v>7889</v>
      </c>
      <c r="B57" t="str">
        <f>IFERROR(INDEX(營收表現!B$6:B$3000,MATCH($A57,營收表現!$A$6:$A$3000,0)),"")</f>
        <v>漢科</v>
      </c>
      <c r="C57" t="str">
        <f>IFERROR(INDEX(類別!G$4:G$3000,MATCH($A57,類別!$C$4:$C$3000,0)),"")</f>
        <v>儀器設備</v>
      </c>
      <c r="D57">
        <f>IFERROR(IF(INDEX(營收表現!C$6:C$3000,MATCH($A57,營收表現!$A$6:$A$3000,0))="","",INDEX(營收表現!C$6:C$3000,MATCH($A57,營收表現!$A$6:$A$3000,0))),"")</f>
        <v>4.5999999999999996</v>
      </c>
      <c r="E57">
        <f>IFERROR(IF(INDEX(營收表現!D$6:D$3000,MATCH($A57,營收表現!$A$6:$A$3000,0))="","",INDEX(營收表現!D$6:D$3000,MATCH($A57,營收表現!$A$6:$A$3000,0))),"")</f>
        <v>5.3</v>
      </c>
      <c r="F57">
        <f>IFERROR(IF(INDEX(營收表現!E$6:E$3000,MATCH($A57,營收表現!$A$6:$A$3000,0))="","",INDEX(營收表現!E$6:E$3000,MATCH($A57,營收表現!$A$6:$A$3000,0))),"")</f>
        <v>-4.25</v>
      </c>
      <c r="G57">
        <f>IFERROR(IF(INDEX(營收表現!F$6:F$3000,MATCH($A57,營收表現!$A$6:$A$3000,0))="","",INDEX(營收表現!F$6:F$3000,MATCH($A57,營收表現!$A$6:$A$3000,0))),"")</f>
        <v>0.11</v>
      </c>
      <c r="H57">
        <f>IFERROR(IF(INDEX(營收表現!G$6:G$3000,MATCH($A57,營收表現!$A$6:$A$3000,0))="","",INDEX(營收表現!G$6:G$3000,MATCH($A57,營收表現!$A$6:$A$3000,0))),"")</f>
        <v>-2.36</v>
      </c>
      <c r="I57" t="str">
        <f>IFERROR(IF(INDEX(營收表現!H$6:H$3000,MATCH($A57,營收表現!$A$6:$A$3000,0))="","",INDEX(營收表現!H$6:H$3000,MATCH($A57,營收表現!$A$6:$A$3000,0))),"")</f>
        <v/>
      </c>
      <c r="J57">
        <f>IFERROR(IF(INDEX(營收表現!I$6:I$3000,MATCH($A57,營收表現!$A$6:$A$3000,0))="","",INDEX(營收表現!I$6:I$3000,MATCH($A57,營收表現!$A$6:$A$3000,0))),"")</f>
        <v>-0.32</v>
      </c>
      <c r="K57">
        <f>IFERROR(IF(INDEX(營收表現!J$6:J$3000,MATCH($A57,營收表現!$A$6:$A$3000,0))="","",INDEX(營收表現!J$6:J$3000,MATCH($A57,營收表現!$A$6:$A$3000,0))),"")</f>
        <v>1.98</v>
      </c>
      <c r="L57">
        <f>IFERROR(IF(INDEX(營收表現!K$6:K$3000,MATCH($A57,營收表現!$A$6:$A$3000,0))="","",INDEX(營收表現!K$6:K$3000,MATCH($A57,營收表現!$A$6:$A$3000,0))),"")</f>
        <v>-2.65</v>
      </c>
      <c r="M57">
        <f>IFERROR(IF(INDEX(營收表現!L$6:L$3000,MATCH($A57,營收表現!$A$6:$A$3000,0))="","",INDEX(營收表現!L$6:L$3000,MATCH($A57,營收表現!$A$6:$A$3000,0))),"")</f>
        <v>0.51</v>
      </c>
      <c r="N57">
        <f>IFERROR(IF(INDEX(營收表現!M$6:M$3000,MATCH($A57,營收表現!$A$6:$A$3000,0))="","",INDEX(營收表現!M$6:M$3000,MATCH($A57,營收表現!$A$6:$A$3000,0))),"")</f>
        <v>2.41</v>
      </c>
      <c r="O57" t="str">
        <f>IF(INDEX(營收表現!N$6:N$3000,MATCH($A57,營收表現!$A$6:$A$3000,0))="","",INDEX(營收表現!N$6:N$3000,MATCH($A57,營收表現!$A$6:$A$3000,0)))</f>
        <v/>
      </c>
    </row>
    <row r="58" spans="1:15">
      <c r="A58" s="2" t="s">
        <v>7832</v>
      </c>
      <c r="B58" t="str">
        <f>IFERROR(INDEX(營收表現!B$6:B$3000,MATCH($A58,營收表現!$A$6:$A$3000,0)),"")</f>
        <v>漢唐</v>
      </c>
      <c r="C58" t="str">
        <f>IFERROR(INDEX(類別!G$4:G$3000,MATCH($A58,類別!$C$4:$C$3000,0)),"")</f>
        <v>半導體設備</v>
      </c>
      <c r="D58">
        <f>IFERROR(IF(INDEX(營收表現!C$6:C$3000,MATCH($A58,營收表現!$A$6:$A$3000,0))="","",INDEX(營收表現!C$6:C$3000,MATCH($A58,營收表現!$A$6:$A$3000,0))),"")</f>
        <v>-2.76</v>
      </c>
      <c r="E58">
        <f>IFERROR(IF(INDEX(營收表現!D$6:D$3000,MATCH($A58,營收表現!$A$6:$A$3000,0))="","",INDEX(營收表現!D$6:D$3000,MATCH($A58,營收表現!$A$6:$A$3000,0))),"")</f>
        <v>22.89</v>
      </c>
      <c r="F58">
        <f>IFERROR(IF(INDEX(營收表現!E$6:E$3000,MATCH($A58,營收表現!$A$6:$A$3000,0))="","",INDEX(營收表現!E$6:E$3000,MATCH($A58,營收表現!$A$6:$A$3000,0))),"")</f>
        <v>-13.64</v>
      </c>
      <c r="G58">
        <f>IFERROR(IF(INDEX(營收表現!F$6:F$3000,MATCH($A58,營收表現!$A$6:$A$3000,0))="","",INDEX(營收表現!F$6:F$3000,MATCH($A58,營收表現!$A$6:$A$3000,0))),"")</f>
        <v>11.61</v>
      </c>
      <c r="H58">
        <f>IFERROR(IF(INDEX(營收表現!G$6:G$3000,MATCH($A58,營收表現!$A$6:$A$3000,0))="","",INDEX(營收表現!G$6:G$3000,MATCH($A58,營收表現!$A$6:$A$3000,0))),"")</f>
        <v>4.07</v>
      </c>
      <c r="I58" t="str">
        <f>IFERROR(IF(INDEX(營收表現!H$6:H$3000,MATCH($A58,營收表現!$A$6:$A$3000,0))="","",INDEX(營收表現!H$6:H$3000,MATCH($A58,營收表現!$A$6:$A$3000,0))),"")</f>
        <v/>
      </c>
      <c r="J58">
        <f>IFERROR(IF(INDEX(營收表現!I$6:I$3000,MATCH($A58,營收表現!$A$6:$A$3000,0))="","",INDEX(營收表現!I$6:I$3000,MATCH($A58,營收表現!$A$6:$A$3000,0))),"")</f>
        <v>65.27</v>
      </c>
      <c r="K58">
        <f>IFERROR(IF(INDEX(營收表現!J$6:J$3000,MATCH($A58,營收表現!$A$6:$A$3000,0))="","",INDEX(營收表現!J$6:J$3000,MATCH($A58,營收表現!$A$6:$A$3000,0))),"")</f>
        <v>102.35</v>
      </c>
      <c r="L58">
        <f>IFERROR(IF(INDEX(營收表現!K$6:K$3000,MATCH($A58,營收表現!$A$6:$A$3000,0))="","",INDEX(營收表現!K$6:K$3000,MATCH($A58,營收表現!$A$6:$A$3000,0))),"")</f>
        <v>56.62</v>
      </c>
      <c r="M58">
        <f>IFERROR(IF(INDEX(營收表現!L$6:L$3000,MATCH($A58,營收表現!$A$6:$A$3000,0))="","",INDEX(營收表現!L$6:L$3000,MATCH($A58,營收表現!$A$6:$A$3000,0))),"")</f>
        <v>100.39</v>
      </c>
      <c r="N58">
        <f>IFERROR(IF(INDEX(營收表現!M$6:M$3000,MATCH($A58,營收表現!$A$6:$A$3000,0))="","",INDEX(營收表現!M$6:M$3000,MATCH($A58,營收表現!$A$6:$A$3000,0))),"")</f>
        <v>41.31</v>
      </c>
      <c r="O58" t="str">
        <f>IF(INDEX(營收表現!N$6:N$3000,MATCH($A58,營收表現!$A$6:$A$3000,0))="","",INDEX(營收表現!N$6:N$3000,MATCH($A58,營收表現!$A$6:$A$3000,0)))</f>
        <v/>
      </c>
    </row>
    <row r="59" spans="1:15">
      <c r="A59" s="2" t="s">
        <v>7891</v>
      </c>
      <c r="B59" t="str">
        <f>IFERROR(INDEX(營收表現!B$6:B$3000,MATCH($A59,營收表現!$A$6:$A$3000,0)),"")</f>
        <v>三福化</v>
      </c>
      <c r="C59" t="str">
        <f>IFERROR(INDEX(類別!G$4:G$3000,MATCH($A59,類別!$C$4:$C$3000,0)),"")</f>
        <v>光電材料</v>
      </c>
      <c r="D59">
        <f>IFERROR(IF(INDEX(營收表現!C$6:C$3000,MATCH($A59,營收表現!$A$6:$A$3000,0))="","",INDEX(營收表現!C$6:C$3000,MATCH($A59,營收表現!$A$6:$A$3000,0))),"")</f>
        <v>11.09</v>
      </c>
      <c r="E59">
        <f>IFERROR(IF(INDEX(營收表現!D$6:D$3000,MATCH($A59,營收表現!$A$6:$A$3000,0))="","",INDEX(營收表現!D$6:D$3000,MATCH($A59,營收表現!$A$6:$A$3000,0))),"")</f>
        <v>2.95</v>
      </c>
      <c r="F59">
        <f>IFERROR(IF(INDEX(營收表現!E$6:E$3000,MATCH($A59,營收表現!$A$6:$A$3000,0))="","",INDEX(營收表現!E$6:E$3000,MATCH($A59,營收表現!$A$6:$A$3000,0))),"")</f>
        <v>3.35</v>
      </c>
      <c r="G59">
        <f>IFERROR(IF(INDEX(營收表現!F$6:F$3000,MATCH($A59,營收表現!$A$6:$A$3000,0))="","",INDEX(營收表現!F$6:F$3000,MATCH($A59,營收表現!$A$6:$A$3000,0))),"")</f>
        <v>-4.34</v>
      </c>
      <c r="H59">
        <f>IFERROR(IF(INDEX(營收表現!G$6:G$3000,MATCH($A59,營收表現!$A$6:$A$3000,0))="","",INDEX(營收表現!G$6:G$3000,MATCH($A59,營收表現!$A$6:$A$3000,0))),"")</f>
        <v>0.17</v>
      </c>
      <c r="I59">
        <f>IFERROR(IF(INDEX(營收表現!H$6:H$3000,MATCH($A59,營收表現!$A$6:$A$3000,0))="","",INDEX(營收表現!H$6:H$3000,MATCH($A59,營收表現!$A$6:$A$3000,0))),"")</f>
        <v>2.96</v>
      </c>
      <c r="J59">
        <f>IFERROR(IF(INDEX(營收表現!I$6:I$3000,MATCH($A59,營收表現!$A$6:$A$3000,0))="","",INDEX(營收表現!I$6:I$3000,MATCH($A59,營收表現!$A$6:$A$3000,0))),"")</f>
        <v>-11.67</v>
      </c>
      <c r="K59">
        <f>IFERROR(IF(INDEX(營收表現!J$6:J$3000,MATCH($A59,營收表現!$A$6:$A$3000,0))="","",INDEX(營收表現!J$6:J$3000,MATCH($A59,營收表現!$A$6:$A$3000,0))),"")</f>
        <v>17.38</v>
      </c>
      <c r="L59">
        <f>IFERROR(IF(INDEX(營收表現!K$6:K$3000,MATCH($A59,營收表現!$A$6:$A$3000,0))="","",INDEX(營收表現!K$6:K$3000,MATCH($A59,營收表現!$A$6:$A$3000,0))),"")</f>
        <v>4.82</v>
      </c>
      <c r="M59">
        <f>IFERROR(IF(INDEX(營收表現!L$6:L$3000,MATCH($A59,營收表現!$A$6:$A$3000,0))="","",INDEX(營收表現!L$6:L$3000,MATCH($A59,營收表現!$A$6:$A$3000,0))),"")</f>
        <v>-56.23</v>
      </c>
      <c r="N59">
        <f>IFERROR(IF(INDEX(營收表現!M$6:M$3000,MATCH($A59,營收表現!$A$6:$A$3000,0))="","",INDEX(營收表現!M$6:M$3000,MATCH($A59,營收表現!$A$6:$A$3000,0))),"")</f>
        <v>-1.26</v>
      </c>
      <c r="O59">
        <f>IF(INDEX(營收表現!N$6:N$3000,MATCH($A59,營收表現!$A$6:$A$3000,0))="","",INDEX(營收表現!N$6:N$3000,MATCH($A59,營收表現!$A$6:$A$3000,0)))</f>
        <v>20.67</v>
      </c>
    </row>
    <row r="60" spans="1:15">
      <c r="A60" s="2" t="s">
        <v>7892</v>
      </c>
      <c r="B60" t="str">
        <f>IFERROR(INDEX(營收表現!B$6:B$3000,MATCH($A60,營收表現!$A$6:$A$3000,0)),"")</f>
        <v>台特化</v>
      </c>
      <c r="C60" t="str">
        <f>IFERROR(INDEX(類別!G$4:G$3000,MATCH($A60,類別!$C$4:$C$3000,0)),"")</f>
        <v>化工</v>
      </c>
      <c r="D60">
        <f>IFERROR(IF(INDEX(營收表現!C$6:C$3000,MATCH($A60,營收表現!$A$6:$A$3000,0))="","",INDEX(營收表現!C$6:C$3000,MATCH($A60,營收表現!$A$6:$A$3000,0))),"")</f>
        <v>210.28</v>
      </c>
      <c r="E60">
        <f>IFERROR(IF(INDEX(營收表現!D$6:D$3000,MATCH($A60,營收表現!$A$6:$A$3000,0))="","",INDEX(營收表現!D$6:D$3000,MATCH($A60,營收表現!$A$6:$A$3000,0))),"")</f>
        <v>2.52</v>
      </c>
      <c r="F60">
        <f>IFERROR(IF(INDEX(營收表現!E$6:E$3000,MATCH($A60,營收表現!$A$6:$A$3000,0))="","",INDEX(營收表現!E$6:E$3000,MATCH($A60,營收表現!$A$6:$A$3000,0))),"")</f>
        <v>0.95</v>
      </c>
      <c r="G60">
        <f>IFERROR(IF(INDEX(營收表現!F$6:F$3000,MATCH($A60,營收表現!$A$6:$A$3000,0))="","",INDEX(營收表現!F$6:F$3000,MATCH($A60,營收表現!$A$6:$A$3000,0))),"")</f>
        <v>-3.52</v>
      </c>
      <c r="H60">
        <f>IFERROR(IF(INDEX(營收表現!G$6:G$3000,MATCH($A60,營收表現!$A$6:$A$3000,0))="","",INDEX(營收表現!G$6:G$3000,MATCH($A60,營收表現!$A$6:$A$3000,0))),"")</f>
        <v>16.02</v>
      </c>
      <c r="I60" t="str">
        <f>IFERROR(IF(INDEX(營收表現!H$6:H$3000,MATCH($A60,營收表現!$A$6:$A$3000,0))="","",INDEX(營收表現!H$6:H$3000,MATCH($A60,營收表現!$A$6:$A$3000,0))),"")</f>
        <v/>
      </c>
      <c r="J60">
        <f>IFERROR(IF(INDEX(營收表現!I$6:I$3000,MATCH($A60,營收表現!$A$6:$A$3000,0))="","",INDEX(營收表現!I$6:I$3000,MATCH($A60,營收表現!$A$6:$A$3000,0))),"")</f>
        <v>256.54000000000002</v>
      </c>
      <c r="K60">
        <f>IFERROR(IF(INDEX(營收表現!J$6:J$3000,MATCH($A60,營收表現!$A$6:$A$3000,0))="","",INDEX(營收表現!J$6:J$3000,MATCH($A60,營收表現!$A$6:$A$3000,0))),"")</f>
        <v>295.10000000000002</v>
      </c>
      <c r="L60">
        <f>IFERROR(IF(INDEX(營收表現!K$6:K$3000,MATCH($A60,營收表現!$A$6:$A$3000,0))="","",INDEX(營收表現!K$6:K$3000,MATCH($A60,營收表現!$A$6:$A$3000,0))),"")</f>
        <v>237.36</v>
      </c>
      <c r="M60">
        <f>IFERROR(IF(INDEX(營收表現!L$6:L$3000,MATCH($A60,營收表現!$A$6:$A$3000,0))="","",INDEX(營收表現!L$6:L$3000,MATCH($A60,營收表現!$A$6:$A$3000,0))),"")</f>
        <v>220.94</v>
      </c>
      <c r="N60">
        <f>IFERROR(IF(INDEX(營收表現!M$6:M$3000,MATCH($A60,營收表現!$A$6:$A$3000,0))="","",INDEX(營收表現!M$6:M$3000,MATCH($A60,營收表現!$A$6:$A$3000,0))),"")</f>
        <v>262.83</v>
      </c>
      <c r="O60" t="str">
        <f>IF(INDEX(營收表現!N$6:N$3000,MATCH($A60,營收表現!$A$6:$A$3000,0))="","",INDEX(營收表現!N$6:N$3000,MATCH($A60,營收表現!$A$6:$A$3000,0)))</f>
        <v/>
      </c>
    </row>
    <row r="61" spans="1:15">
      <c r="A61" s="2" t="s">
        <v>7831</v>
      </c>
      <c r="B61" t="str">
        <f>IFERROR(INDEX(營收表現!B$6:B$3000,MATCH($A61,營收表現!$A$6:$A$3000,0)),"")</f>
        <v>光洋科</v>
      </c>
      <c r="C61" t="str">
        <f>IFERROR(INDEX(類別!G$4:G$3000,MATCH($A61,類別!$C$4:$C$3000,0)),"")</f>
        <v>光電材料</v>
      </c>
      <c r="D61">
        <f>IFERROR(IF(INDEX(營收表現!C$6:C$3000,MATCH($A61,營收表現!$A$6:$A$3000,0))="","",INDEX(營收表現!C$6:C$3000,MATCH($A61,營收表現!$A$6:$A$3000,0))),"")</f>
        <v>-3.84</v>
      </c>
      <c r="E61">
        <f>IFERROR(IF(INDEX(營收表現!D$6:D$3000,MATCH($A61,營收表現!$A$6:$A$3000,0))="","",INDEX(營收表現!D$6:D$3000,MATCH($A61,營收表現!$A$6:$A$3000,0))),"")</f>
        <v>-1.96</v>
      </c>
      <c r="F61">
        <f>IFERROR(IF(INDEX(營收表現!E$6:E$3000,MATCH($A61,營收表現!$A$6:$A$3000,0))="","",INDEX(營收表現!E$6:E$3000,MATCH($A61,營收表現!$A$6:$A$3000,0))),"")</f>
        <v>-1.23</v>
      </c>
      <c r="G61">
        <f>IFERROR(IF(INDEX(營收表現!F$6:F$3000,MATCH($A61,營收表現!$A$6:$A$3000,0))="","",INDEX(營收表現!F$6:F$3000,MATCH($A61,營收表現!$A$6:$A$3000,0))),"")</f>
        <v>14.07</v>
      </c>
      <c r="H61">
        <f>IFERROR(IF(INDEX(營收表現!G$6:G$3000,MATCH($A61,營收表現!$A$6:$A$3000,0))="","",INDEX(營收表現!G$6:G$3000,MATCH($A61,營收表現!$A$6:$A$3000,0))),"")</f>
        <v>9.91</v>
      </c>
      <c r="I61">
        <f>IFERROR(IF(INDEX(營收表現!H$6:H$3000,MATCH($A61,營收表現!$A$6:$A$3000,0))="","",INDEX(營收表現!H$6:H$3000,MATCH($A61,營收表現!$A$6:$A$3000,0))),"")</f>
        <v>11.15</v>
      </c>
      <c r="J61">
        <f>IFERROR(IF(INDEX(營收表現!I$6:I$3000,MATCH($A61,營收表現!$A$6:$A$3000,0))="","",INDEX(營收表現!I$6:I$3000,MATCH($A61,營收表現!$A$6:$A$3000,0))),"")</f>
        <v>34.74</v>
      </c>
      <c r="K61">
        <f>IFERROR(IF(INDEX(營收表現!J$6:J$3000,MATCH($A61,營收表現!$A$6:$A$3000,0))="","",INDEX(營收表現!J$6:J$3000,MATCH($A61,營收表現!$A$6:$A$3000,0))),"")</f>
        <v>18.97</v>
      </c>
      <c r="L61">
        <f>IFERROR(IF(INDEX(營收表現!K$6:K$3000,MATCH($A61,營收表現!$A$6:$A$3000,0))="","",INDEX(營收表現!K$6:K$3000,MATCH($A61,營收表現!$A$6:$A$3000,0))),"")</f>
        <v>47.44</v>
      </c>
      <c r="M61">
        <f>IFERROR(IF(INDEX(營收表現!L$6:L$3000,MATCH($A61,營收表現!$A$6:$A$3000,0))="","",INDEX(營收表現!L$6:L$3000,MATCH($A61,營收表現!$A$6:$A$3000,0))),"")</f>
        <v>26.39</v>
      </c>
      <c r="N61">
        <f>IFERROR(IF(INDEX(營收表現!M$6:M$3000,MATCH($A61,營收表現!$A$6:$A$3000,0))="","",INDEX(營收表現!M$6:M$3000,MATCH($A61,營收表現!$A$6:$A$3000,0))),"")</f>
        <v>43.77</v>
      </c>
      <c r="O61">
        <f>IF(INDEX(營收表現!N$6:N$3000,MATCH($A61,營收表現!$A$6:$A$3000,0))="","",INDEX(營收表現!N$6:N$3000,MATCH($A61,營收表現!$A$6:$A$3000,0)))</f>
        <v>67.72</v>
      </c>
    </row>
    <row r="62" spans="1:15">
      <c r="A62" s="2" t="s">
        <v>7830</v>
      </c>
      <c r="B62" t="str">
        <f>IFERROR(INDEX(營收表現!B$6:B$3000,MATCH($A62,營收表現!$A$6:$A$3000,0)),"")</f>
        <v>勝一</v>
      </c>
      <c r="C62" t="str">
        <f>IFERROR(INDEX(類別!G$4:G$3000,MATCH($A62,類別!$C$4:$C$3000,0)),"")</f>
        <v>化工</v>
      </c>
      <c r="D62">
        <f>IFERROR(IF(INDEX(營收表現!C$6:C$3000,MATCH($A62,營收表現!$A$6:$A$3000,0))="","",INDEX(營收表現!C$6:C$3000,MATCH($A62,營收表現!$A$6:$A$3000,0))),"")</f>
        <v>-4.32</v>
      </c>
      <c r="E62">
        <f>IFERROR(IF(INDEX(營收表現!D$6:D$3000,MATCH($A62,營收表現!$A$6:$A$3000,0))="","",INDEX(營收表現!D$6:D$3000,MATCH($A62,營收表現!$A$6:$A$3000,0))),"")</f>
        <v>0.35</v>
      </c>
      <c r="F62">
        <f>IFERROR(IF(INDEX(營收表現!E$6:E$3000,MATCH($A62,營收表現!$A$6:$A$3000,0))="","",INDEX(營收表現!E$6:E$3000,MATCH($A62,營收表現!$A$6:$A$3000,0))),"")</f>
        <v>0.47</v>
      </c>
      <c r="G62">
        <f>IFERROR(IF(INDEX(營收表現!F$6:F$3000,MATCH($A62,營收表現!$A$6:$A$3000,0))="","",INDEX(營收表現!F$6:F$3000,MATCH($A62,營收表現!$A$6:$A$3000,0))),"")</f>
        <v>8.68</v>
      </c>
      <c r="H62">
        <f>IFERROR(IF(INDEX(營收表現!G$6:G$3000,MATCH($A62,營收表現!$A$6:$A$3000,0))="","",INDEX(營收表現!G$6:G$3000,MATCH($A62,營收表現!$A$6:$A$3000,0))),"")</f>
        <v>-8.0399999999999991</v>
      </c>
      <c r="I62">
        <f>IFERROR(IF(INDEX(營收表現!H$6:H$3000,MATCH($A62,營收表現!$A$6:$A$3000,0))="","",INDEX(營收表現!H$6:H$3000,MATCH($A62,營收表現!$A$6:$A$3000,0))),"")</f>
        <v>5.65</v>
      </c>
      <c r="J62">
        <f>IFERROR(IF(INDEX(營收表現!I$6:I$3000,MATCH($A62,營收表現!$A$6:$A$3000,0))="","",INDEX(營收表現!I$6:I$3000,MATCH($A62,營收表現!$A$6:$A$3000,0))),"")</f>
        <v>-9.07</v>
      </c>
      <c r="K62">
        <f>IFERROR(IF(INDEX(營收表現!J$6:J$3000,MATCH($A62,營收表現!$A$6:$A$3000,0))="","",INDEX(營收表現!J$6:J$3000,MATCH($A62,營收表現!$A$6:$A$3000,0))),"")</f>
        <v>0.01</v>
      </c>
      <c r="L62">
        <f>IFERROR(IF(INDEX(營收表現!K$6:K$3000,MATCH($A62,營收表現!$A$6:$A$3000,0))="","",INDEX(營收表現!K$6:K$3000,MATCH($A62,營收表現!$A$6:$A$3000,0))),"")</f>
        <v>-0.52</v>
      </c>
      <c r="M62">
        <f>IFERROR(IF(INDEX(營收表現!L$6:L$3000,MATCH($A62,營收表現!$A$6:$A$3000,0))="","",INDEX(營收表現!L$6:L$3000,MATCH($A62,營收表現!$A$6:$A$3000,0))),"")</f>
        <v>8.31</v>
      </c>
      <c r="N62">
        <f>IFERROR(IF(INDEX(營收表現!M$6:M$3000,MATCH($A62,營收表現!$A$6:$A$3000,0))="","",INDEX(營收表現!M$6:M$3000,MATCH($A62,營收表現!$A$6:$A$3000,0))),"")</f>
        <v>0.93</v>
      </c>
      <c r="O62">
        <f>IF(INDEX(營收表現!N$6:N$3000,MATCH($A62,營收表現!$A$6:$A$3000,0))="","",INDEX(營收表現!N$6:N$3000,MATCH($A62,營收表現!$A$6:$A$3000,0)))</f>
        <v>28.51</v>
      </c>
    </row>
    <row r="63" spans="1:15">
      <c r="A63" s="2" t="s">
        <v>7893</v>
      </c>
      <c r="B63" t="str">
        <f>IFERROR(INDEX(營收表現!B$6:B$3000,MATCH($A63,營收表現!$A$6:$A$3000,0)),"")</f>
        <v>新應材</v>
      </c>
      <c r="C63" t="str">
        <f>IFERROR(INDEX(類別!G$4:G$3000,MATCH($A63,類別!$C$4:$C$3000,0)),"")</f>
        <v>未分類-電子</v>
      </c>
      <c r="D63">
        <f>IFERROR(IF(INDEX(營收表現!C$6:C$3000,MATCH($A63,營收表現!$A$6:$A$3000,0))="","",INDEX(營收表現!C$6:C$3000,MATCH($A63,營收表現!$A$6:$A$3000,0))),"")</f>
        <v>0.87</v>
      </c>
      <c r="E63">
        <f>IFERROR(IF(INDEX(營收表現!D$6:D$3000,MATCH($A63,營收表現!$A$6:$A$3000,0))="","",INDEX(營收表現!D$6:D$3000,MATCH($A63,營收表現!$A$6:$A$3000,0))),"")</f>
        <v>12.75</v>
      </c>
      <c r="F63">
        <f>IFERROR(IF(INDEX(營收表現!E$6:E$3000,MATCH($A63,營收表現!$A$6:$A$3000,0))="","",INDEX(營收表現!E$6:E$3000,MATCH($A63,營收表現!$A$6:$A$3000,0))),"")</f>
        <v>-6.99</v>
      </c>
      <c r="G63">
        <f>IFERROR(IF(INDEX(營收表現!F$6:F$3000,MATCH($A63,營收表現!$A$6:$A$3000,0))="","",INDEX(營收表現!F$6:F$3000,MATCH($A63,營收表現!$A$6:$A$3000,0))),"")</f>
        <v>2.02</v>
      </c>
      <c r="H63">
        <f>IFERROR(IF(INDEX(營收表現!G$6:G$3000,MATCH($A63,營收表現!$A$6:$A$3000,0))="","",INDEX(營收表現!G$6:G$3000,MATCH($A63,營收表現!$A$6:$A$3000,0))),"")</f>
        <v>-1.35</v>
      </c>
      <c r="I63">
        <f>IFERROR(IF(INDEX(營收表現!H$6:H$3000,MATCH($A63,營收表現!$A$6:$A$3000,0))="","",INDEX(營收表現!H$6:H$3000,MATCH($A63,營收表現!$A$6:$A$3000,0))),"")</f>
        <v>1.78</v>
      </c>
      <c r="J63">
        <f>IFERROR(IF(INDEX(營收表現!I$6:I$3000,MATCH($A63,營收表現!$A$6:$A$3000,0))="","",INDEX(營收表現!I$6:I$3000,MATCH($A63,營收表現!$A$6:$A$3000,0))),"")</f>
        <v>22.46</v>
      </c>
      <c r="K63">
        <f>IFERROR(IF(INDEX(營收表現!J$6:J$3000,MATCH($A63,營收表現!$A$6:$A$3000,0))="","",INDEX(營收表現!J$6:J$3000,MATCH($A63,營收表現!$A$6:$A$3000,0))),"")</f>
        <v>32.35</v>
      </c>
      <c r="L63">
        <f>IFERROR(IF(INDEX(營收表現!K$6:K$3000,MATCH($A63,營收表現!$A$6:$A$3000,0))="","",INDEX(營收表現!K$6:K$3000,MATCH($A63,營收表現!$A$6:$A$3000,0))),"")</f>
        <v>30.75</v>
      </c>
      <c r="M63">
        <f>IFERROR(IF(INDEX(營收表現!L$6:L$3000,MATCH($A63,營收表現!$A$6:$A$3000,0))="","",INDEX(營收表現!L$6:L$3000,MATCH($A63,營收表現!$A$6:$A$3000,0))),"")</f>
        <v>15.49</v>
      </c>
      <c r="N63">
        <f>IFERROR(IF(INDEX(營收表現!M$6:M$3000,MATCH($A63,營收表現!$A$6:$A$3000,0))="","",INDEX(營收表現!M$6:M$3000,MATCH($A63,營收表現!$A$6:$A$3000,0))),"")</f>
        <v>10.98</v>
      </c>
      <c r="O63">
        <f>IF(INDEX(營收表現!N$6:N$3000,MATCH($A63,營收表現!$A$6:$A$3000,0))="","",INDEX(營收表現!N$6:N$3000,MATCH($A63,營收表現!$A$6:$A$3000,0)))</f>
        <v>16.13</v>
      </c>
    </row>
    <row r="64" spans="1:15">
      <c r="A64" s="2" t="s">
        <v>7895</v>
      </c>
      <c r="B64" t="str">
        <f>IFERROR(INDEX(營收表現!B$6:B$3000,MATCH($A64,營收表現!$A$6:$A$3000,0)),"")</f>
        <v>華立</v>
      </c>
      <c r="C64" t="str">
        <f>IFERROR(INDEX(類別!G$4:G$3000,MATCH($A64,類別!$C$4:$C$3000,0)),"")</f>
        <v>電子通路</v>
      </c>
      <c r="D64">
        <f>IFERROR(IF(INDEX(營收表現!C$6:C$3000,MATCH($A64,營收表現!$A$6:$A$3000,0))="","",INDEX(營收表現!C$6:C$3000,MATCH($A64,營收表現!$A$6:$A$3000,0))),"")</f>
        <v>-0.57999999999999996</v>
      </c>
      <c r="E64">
        <f>IFERROR(IF(INDEX(營收表現!D$6:D$3000,MATCH($A64,營收表現!$A$6:$A$3000,0))="","",INDEX(營收表現!D$6:D$3000,MATCH($A64,營收表現!$A$6:$A$3000,0))),"")</f>
        <v>-1.24</v>
      </c>
      <c r="F64">
        <f>IFERROR(IF(INDEX(營收表現!E$6:E$3000,MATCH($A64,營收表現!$A$6:$A$3000,0))="","",INDEX(營收表現!E$6:E$3000,MATCH($A64,營收表現!$A$6:$A$3000,0))),"")</f>
        <v>-0.33</v>
      </c>
      <c r="G64">
        <f>IFERROR(IF(INDEX(營收表現!F$6:F$3000,MATCH($A64,營收表現!$A$6:$A$3000,0))="","",INDEX(營收表現!F$6:F$3000,MATCH($A64,營收表現!$A$6:$A$3000,0))),"")</f>
        <v>11.18</v>
      </c>
      <c r="H64">
        <f>IFERROR(IF(INDEX(營收表現!G$6:G$3000,MATCH($A64,營收表現!$A$6:$A$3000,0))="","",INDEX(營收表現!G$6:G$3000,MATCH($A64,營收表現!$A$6:$A$3000,0))),"")</f>
        <v>-6.61</v>
      </c>
      <c r="I64">
        <f>IFERROR(IF(INDEX(營收表現!H$6:H$3000,MATCH($A64,營收表現!$A$6:$A$3000,0))="","",INDEX(營收表現!H$6:H$3000,MATCH($A64,營收表現!$A$6:$A$3000,0))),"")</f>
        <v>15.09</v>
      </c>
      <c r="J64">
        <f>IFERROR(IF(INDEX(營收表現!I$6:I$3000,MATCH($A64,營收表現!$A$6:$A$3000,0))="","",INDEX(營收表現!I$6:I$3000,MATCH($A64,營收表現!$A$6:$A$3000,0))),"")</f>
        <v>-11.61</v>
      </c>
      <c r="K64">
        <f>IFERROR(IF(INDEX(營收表現!J$6:J$3000,MATCH($A64,營收表現!$A$6:$A$3000,0))="","",INDEX(營收表現!J$6:J$3000,MATCH($A64,營收表現!$A$6:$A$3000,0))),"")</f>
        <v>-6.42</v>
      </c>
      <c r="L64">
        <f>IFERROR(IF(INDEX(營收表現!K$6:K$3000,MATCH($A64,營收表現!$A$6:$A$3000,0))="","",INDEX(營收表現!K$6:K$3000,MATCH($A64,營收表現!$A$6:$A$3000,0))),"")</f>
        <v>-3.84</v>
      </c>
      <c r="M64">
        <f>IFERROR(IF(INDEX(營收表現!L$6:L$3000,MATCH($A64,營收表現!$A$6:$A$3000,0))="","",INDEX(營收表現!L$6:L$3000,MATCH($A64,營收表現!$A$6:$A$3000,0))),"")</f>
        <v>-1.88</v>
      </c>
      <c r="N64">
        <f>IFERROR(IF(INDEX(營收表現!M$6:M$3000,MATCH($A64,營收表現!$A$6:$A$3000,0))="","",INDEX(營收表現!M$6:M$3000,MATCH($A64,營收表現!$A$6:$A$3000,0))),"")</f>
        <v>3.21</v>
      </c>
      <c r="O64">
        <f>IF(INDEX(營收表現!N$6:N$3000,MATCH($A64,營收表現!$A$6:$A$3000,0))="","",INDEX(營收表現!N$6:N$3000,MATCH($A64,營收表現!$A$6:$A$3000,0)))</f>
        <v>8.42</v>
      </c>
    </row>
    <row r="65" spans="1:15">
      <c r="A65" s="2" t="s">
        <v>7896</v>
      </c>
      <c r="B65" t="str">
        <f>IFERROR(INDEX(營收表現!B$6:B$3000,MATCH($A65,營收表現!$A$6:$A$3000,0)),"")</f>
        <v>汎銓</v>
      </c>
      <c r="C65" t="str">
        <f>IFERROR(INDEX(類別!G$4:G$3000,MATCH($A65,類別!$C$4:$C$3000,0)),"")</f>
        <v>未分類-電子</v>
      </c>
      <c r="D65">
        <f>IFERROR(IF(INDEX(營收表現!C$6:C$3000,MATCH($A65,營收表現!$A$6:$A$3000,0))="","",INDEX(營收表現!C$6:C$3000,MATCH($A65,營收表現!$A$6:$A$3000,0))),"")</f>
        <v>0.88</v>
      </c>
      <c r="E65">
        <f>IFERROR(IF(INDEX(營收表現!D$6:D$3000,MATCH($A65,營收表現!$A$6:$A$3000,0))="","",INDEX(營收表現!D$6:D$3000,MATCH($A65,營收表現!$A$6:$A$3000,0))),"")</f>
        <v>0.53</v>
      </c>
      <c r="F65">
        <f>IFERROR(IF(INDEX(營收表現!E$6:E$3000,MATCH($A65,營收表現!$A$6:$A$3000,0))="","",INDEX(營收表現!E$6:E$3000,MATCH($A65,營收表現!$A$6:$A$3000,0))),"")</f>
        <v>-11.36</v>
      </c>
      <c r="G65">
        <f>IFERROR(IF(INDEX(營收表現!F$6:F$3000,MATCH($A65,營收表現!$A$6:$A$3000,0))="","",INDEX(營收表現!F$6:F$3000,MATCH($A65,營收表現!$A$6:$A$3000,0))),"")</f>
        <v>20.74</v>
      </c>
      <c r="H65">
        <f>IFERROR(IF(INDEX(營收表現!G$6:G$3000,MATCH($A65,營收表現!$A$6:$A$3000,0))="","",INDEX(營收表現!G$6:G$3000,MATCH($A65,營收表現!$A$6:$A$3000,0))),"")</f>
        <v>3.06</v>
      </c>
      <c r="I65">
        <f>IFERROR(IF(INDEX(營收表現!H$6:H$3000,MATCH($A65,營收表現!$A$6:$A$3000,0))="","",INDEX(營收表現!H$6:H$3000,MATCH($A65,營收表現!$A$6:$A$3000,0))),"")</f>
        <v>-5.35</v>
      </c>
      <c r="J65">
        <f>IFERROR(IF(INDEX(營收表現!I$6:I$3000,MATCH($A65,營收表現!$A$6:$A$3000,0))="","",INDEX(營收表現!I$6:I$3000,MATCH($A65,營收表現!$A$6:$A$3000,0))),"")</f>
        <v>12.68</v>
      </c>
      <c r="K65">
        <f>IFERROR(IF(INDEX(營收表現!J$6:J$3000,MATCH($A65,營收表現!$A$6:$A$3000,0))="","",INDEX(營收表現!J$6:J$3000,MATCH($A65,營收表現!$A$6:$A$3000,0))),"")</f>
        <v>16.239999999999998</v>
      </c>
      <c r="L65">
        <f>IFERROR(IF(INDEX(營收表現!K$6:K$3000,MATCH($A65,營收表現!$A$6:$A$3000,0))="","",INDEX(營收表現!K$6:K$3000,MATCH($A65,營收表現!$A$6:$A$3000,0))),"")</f>
        <v>6.74</v>
      </c>
      <c r="M65">
        <f>IFERROR(IF(INDEX(營收表現!L$6:L$3000,MATCH($A65,營收表現!$A$6:$A$3000,0))="","",INDEX(營收表現!L$6:L$3000,MATCH($A65,營收表現!$A$6:$A$3000,0))),"")</f>
        <v>22.96</v>
      </c>
      <c r="N65">
        <f>IFERROR(IF(INDEX(營收表現!M$6:M$3000,MATCH($A65,營收表現!$A$6:$A$3000,0))="","",INDEX(營收表現!M$6:M$3000,MATCH($A65,營收表現!$A$6:$A$3000,0))),"")</f>
        <v>22.12</v>
      </c>
      <c r="O65">
        <f>IF(INDEX(營收表現!N$6:N$3000,MATCH($A65,營收表現!$A$6:$A$3000,0))="","",INDEX(營收表現!N$6:N$3000,MATCH($A65,營收表現!$A$6:$A$3000,0)))</f>
        <v>25.49</v>
      </c>
    </row>
    <row r="66" spans="1:15">
      <c r="A66" s="2" t="s">
        <v>7897</v>
      </c>
      <c r="B66" t="str">
        <f>IFERROR(INDEX(營收表現!B$6:B$3000,MATCH($A66,營收表現!$A$6:$A$3000,0)),"")</f>
        <v>宜特</v>
      </c>
      <c r="C66" t="str">
        <f>IFERROR(INDEX(類別!G$4:G$3000,MATCH($A66,類別!$C$4:$C$3000,0)),"")</f>
        <v>IC封測</v>
      </c>
      <c r="D66">
        <f>IFERROR(IF(INDEX(營收表現!C$6:C$3000,MATCH($A66,營收表現!$A$6:$A$3000,0))="","",INDEX(營收表現!C$6:C$3000,MATCH($A66,營收表現!$A$6:$A$3000,0))),"")</f>
        <v>-3.01</v>
      </c>
      <c r="E66">
        <f>IFERROR(IF(INDEX(營收表現!D$6:D$3000,MATCH($A66,營收表現!$A$6:$A$3000,0))="","",INDEX(營收表現!D$6:D$3000,MATCH($A66,營收表現!$A$6:$A$3000,0))),"")</f>
        <v>13.72</v>
      </c>
      <c r="F66">
        <f>IFERROR(IF(INDEX(營收表現!E$6:E$3000,MATCH($A66,營收表現!$A$6:$A$3000,0))="","",INDEX(營收表現!E$6:E$3000,MATCH($A66,營收表現!$A$6:$A$3000,0))),"")</f>
        <v>-14.09</v>
      </c>
      <c r="G66">
        <f>IFERROR(IF(INDEX(營收表現!F$6:F$3000,MATCH($A66,營收表現!$A$6:$A$3000,0))="","",INDEX(營收表現!F$6:F$3000,MATCH($A66,營收表現!$A$6:$A$3000,0))),"")</f>
        <v>1.92</v>
      </c>
      <c r="H66">
        <f>IFERROR(IF(INDEX(營收表現!G$6:G$3000,MATCH($A66,營收表現!$A$6:$A$3000,0))="","",INDEX(營收表現!G$6:G$3000,MATCH($A66,營收表現!$A$6:$A$3000,0))),"")</f>
        <v>9.01</v>
      </c>
      <c r="I66" t="str">
        <f>IFERROR(IF(INDEX(營收表現!H$6:H$3000,MATCH($A66,營收表現!$A$6:$A$3000,0))="","",INDEX(營收表現!H$6:H$3000,MATCH($A66,營收表現!$A$6:$A$3000,0))),"")</f>
        <v/>
      </c>
      <c r="J66">
        <f>IFERROR(IF(INDEX(營收表現!I$6:I$3000,MATCH($A66,營收表現!$A$6:$A$3000,0))="","",INDEX(營收表現!I$6:I$3000,MATCH($A66,營收表現!$A$6:$A$3000,0))),"")</f>
        <v>0.64</v>
      </c>
      <c r="K66">
        <f>IFERROR(IF(INDEX(營收表現!J$6:J$3000,MATCH($A66,營收表現!$A$6:$A$3000,0))="","",INDEX(營收表現!J$6:J$3000,MATCH($A66,營收表現!$A$6:$A$3000,0))),"")</f>
        <v>12.88</v>
      </c>
      <c r="L66">
        <f>IFERROR(IF(INDEX(營收表現!K$6:K$3000,MATCH($A66,營收表現!$A$6:$A$3000,0))="","",INDEX(營收表現!K$6:K$3000,MATCH($A66,營收表現!$A$6:$A$3000,0))),"")</f>
        <v>8.64</v>
      </c>
      <c r="M66">
        <f>IFERROR(IF(INDEX(營收表現!L$6:L$3000,MATCH($A66,營收表現!$A$6:$A$3000,0))="","",INDEX(營收表現!L$6:L$3000,MATCH($A66,營收表現!$A$6:$A$3000,0))),"")</f>
        <v>7.43</v>
      </c>
      <c r="N66">
        <f>IFERROR(IF(INDEX(營收表現!M$6:M$3000,MATCH($A66,營收表現!$A$6:$A$3000,0))="","",INDEX(營收表現!M$6:M$3000,MATCH($A66,營收表現!$A$6:$A$3000,0))),"")</f>
        <v>17.53</v>
      </c>
      <c r="O66" t="str">
        <f>IF(INDEX(營收表現!N$6:N$3000,MATCH($A66,營收表現!$A$6:$A$3000,0))="","",INDEX(營收表現!N$6:N$3000,MATCH($A66,營收表現!$A$6:$A$3000,0)))</f>
        <v/>
      </c>
    </row>
    <row r="67" spans="1:15">
      <c r="A67" s="2" t="s">
        <v>7898</v>
      </c>
      <c r="B67" t="str">
        <f>IFERROR(INDEX(營收表現!B$6:B$3000,MATCH($A67,營收表現!$A$6:$A$3000,0)),"")</f>
        <v>閎康</v>
      </c>
      <c r="C67" t="str">
        <f>IFERROR(INDEX(類別!G$4:G$3000,MATCH($A67,類別!$C$4:$C$3000,0)),"")</f>
        <v>IC封測</v>
      </c>
      <c r="D67">
        <f>IFERROR(IF(INDEX(營收表現!C$6:C$3000,MATCH($A67,營收表現!$A$6:$A$3000,0))="","",INDEX(營收表現!C$6:C$3000,MATCH($A67,營收表現!$A$6:$A$3000,0))),"")</f>
        <v>1.04</v>
      </c>
      <c r="E67">
        <f>IFERROR(IF(INDEX(營收表現!D$6:D$3000,MATCH($A67,營收表現!$A$6:$A$3000,0))="","",INDEX(營收表現!D$6:D$3000,MATCH($A67,營收表現!$A$6:$A$3000,0))),"")</f>
        <v>5.49</v>
      </c>
      <c r="F67">
        <f>IFERROR(IF(INDEX(營收表現!E$6:E$3000,MATCH($A67,營收表現!$A$6:$A$3000,0))="","",INDEX(營收表現!E$6:E$3000,MATCH($A67,營收表現!$A$6:$A$3000,0))),"")</f>
        <v>-4.67</v>
      </c>
      <c r="G67">
        <f>IFERROR(IF(INDEX(營收表現!F$6:F$3000,MATCH($A67,營收表現!$A$6:$A$3000,0))="","",INDEX(營收表現!F$6:F$3000,MATCH($A67,營收表現!$A$6:$A$3000,0))),"")</f>
        <v>1.17</v>
      </c>
      <c r="H67">
        <f>IFERROR(IF(INDEX(營收表現!G$6:G$3000,MATCH($A67,營收表現!$A$6:$A$3000,0))="","",INDEX(營收表現!G$6:G$3000,MATCH($A67,營收表現!$A$6:$A$3000,0))),"")</f>
        <v>2.7</v>
      </c>
      <c r="I67">
        <f>IFERROR(IF(INDEX(營收表現!H$6:H$3000,MATCH($A67,營收表現!$A$6:$A$3000,0))="","",INDEX(營收表現!H$6:H$3000,MATCH($A67,營收表現!$A$6:$A$3000,0))),"")</f>
        <v>-9.31</v>
      </c>
      <c r="J67">
        <f>IFERROR(IF(INDEX(營收表現!I$6:I$3000,MATCH($A67,營收表現!$A$6:$A$3000,0))="","",INDEX(營收表現!I$6:I$3000,MATCH($A67,營收表現!$A$6:$A$3000,0))),"")</f>
        <v>10.5</v>
      </c>
      <c r="K67">
        <f>IFERROR(IF(INDEX(營收表現!J$6:J$3000,MATCH($A67,營收表現!$A$6:$A$3000,0))="","",INDEX(營收表現!J$6:J$3000,MATCH($A67,營收表現!$A$6:$A$3000,0))),"")</f>
        <v>11.92</v>
      </c>
      <c r="L67">
        <f>IFERROR(IF(INDEX(營收表現!K$6:K$3000,MATCH($A67,營收表現!$A$6:$A$3000,0))="","",INDEX(營收表現!K$6:K$3000,MATCH($A67,營收表現!$A$6:$A$3000,0))),"")</f>
        <v>17.48</v>
      </c>
      <c r="M67">
        <f>IFERROR(IF(INDEX(營收表現!L$6:L$3000,MATCH($A67,營收表現!$A$6:$A$3000,0))="","",INDEX(營收表現!L$6:L$3000,MATCH($A67,營收表現!$A$6:$A$3000,0))),"")</f>
        <v>14.19</v>
      </c>
      <c r="N67">
        <f>IFERROR(IF(INDEX(營收表現!M$6:M$3000,MATCH($A67,營收表現!$A$6:$A$3000,0))="","",INDEX(營收表現!M$6:M$3000,MATCH($A67,營收表現!$A$6:$A$3000,0))),"")</f>
        <v>10.65</v>
      </c>
      <c r="O67">
        <f>IF(INDEX(營收表現!N$6:N$3000,MATCH($A67,營收表現!$A$6:$A$3000,0))="","",INDEX(營收表現!N$6:N$3000,MATCH($A67,營收表現!$A$6:$A$3000,0)))</f>
        <v>16.829999999999998</v>
      </c>
    </row>
    <row r="68" spans="1:15">
      <c r="A68" s="2" t="s">
        <v>7899</v>
      </c>
      <c r="B68" t="str">
        <f>IFERROR(INDEX(營收表現!B$6:B$3000,MATCH($A68,營收表現!$A$6:$A$3000,0)),"")</f>
        <v>炎洲</v>
      </c>
      <c r="C68" t="str">
        <f>IFERROR(INDEX(類別!G$4:G$3000,MATCH($A68,類別!$C$4:$C$3000,0)),"")</f>
        <v>塑膠</v>
      </c>
      <c r="D68">
        <f>IFERROR(IF(INDEX(營收表現!C$6:C$3000,MATCH($A68,營收表現!$A$6:$A$3000,0))="","",INDEX(營收表現!C$6:C$3000,MATCH($A68,營收表現!$A$6:$A$3000,0))),"")</f>
        <v>3.04</v>
      </c>
      <c r="E68">
        <f>IFERROR(IF(INDEX(營收表現!D$6:D$3000,MATCH($A68,營收表現!$A$6:$A$3000,0))="","",INDEX(營收表現!D$6:D$3000,MATCH($A68,營收表現!$A$6:$A$3000,0))),"")</f>
        <v>2.54</v>
      </c>
      <c r="F68">
        <f>IFERROR(IF(INDEX(營收表現!E$6:E$3000,MATCH($A68,營收表現!$A$6:$A$3000,0))="","",INDEX(營收表現!E$6:E$3000,MATCH($A68,營收表現!$A$6:$A$3000,0))),"")</f>
        <v>-0.06</v>
      </c>
      <c r="G68">
        <f>IFERROR(IF(INDEX(營收表現!F$6:F$3000,MATCH($A68,營收表現!$A$6:$A$3000,0))="","",INDEX(營收表現!F$6:F$3000,MATCH($A68,營收表現!$A$6:$A$3000,0))),"")</f>
        <v>13.29</v>
      </c>
      <c r="H68">
        <f>IFERROR(IF(INDEX(營收表現!G$6:G$3000,MATCH($A68,營收表現!$A$6:$A$3000,0))="","",INDEX(營收表現!G$6:G$3000,MATCH($A68,營收表現!$A$6:$A$3000,0))),"")</f>
        <v>-4.8600000000000003</v>
      </c>
      <c r="I68">
        <f>IFERROR(IF(INDEX(營收表現!H$6:H$3000,MATCH($A68,營收表現!$A$6:$A$3000,0))="","",INDEX(營收表現!H$6:H$3000,MATCH($A68,營收表現!$A$6:$A$3000,0))),"")</f>
        <v>-2.72</v>
      </c>
      <c r="J68">
        <f>IFERROR(IF(INDEX(營收表現!I$6:I$3000,MATCH($A68,營收表現!$A$6:$A$3000,0))="","",INDEX(營收表現!I$6:I$3000,MATCH($A68,營收表現!$A$6:$A$3000,0))),"")</f>
        <v>-21.08</v>
      </c>
      <c r="K68">
        <f>IFERROR(IF(INDEX(營收表現!J$6:J$3000,MATCH($A68,營收表現!$A$6:$A$3000,0))="","",INDEX(營收表現!J$6:J$3000,MATCH($A68,營收表現!$A$6:$A$3000,0))),"")</f>
        <v>-9.4</v>
      </c>
      <c r="L68">
        <f>IFERROR(IF(INDEX(營收表現!K$6:K$3000,MATCH($A68,營收表現!$A$6:$A$3000,0))="","",INDEX(營收表現!K$6:K$3000,MATCH($A68,營收表現!$A$6:$A$3000,0))),"")</f>
        <v>-0.32</v>
      </c>
      <c r="M68">
        <f>IFERROR(IF(INDEX(營收表現!L$6:L$3000,MATCH($A68,營收表現!$A$6:$A$3000,0))="","",INDEX(營收表現!L$6:L$3000,MATCH($A68,營收表現!$A$6:$A$3000,0))),"")</f>
        <v>24.57</v>
      </c>
      <c r="N68">
        <f>IFERROR(IF(INDEX(營收表現!M$6:M$3000,MATCH($A68,營收表現!$A$6:$A$3000,0))="","",INDEX(營收表現!M$6:M$3000,MATCH($A68,營收表現!$A$6:$A$3000,0))),"")</f>
        <v>11.94</v>
      </c>
      <c r="O68">
        <f>IF(INDEX(營收表現!N$6:N$3000,MATCH($A68,營收表現!$A$6:$A$3000,0))="","",INDEX(營收表現!N$6:N$3000,MATCH($A68,營收表現!$A$6:$A$3000,0)))</f>
        <v>29.1</v>
      </c>
    </row>
    <row r="69" spans="1:15">
      <c r="A69" s="2"/>
      <c r="B69" t="str">
        <f>IFERROR(INDEX(營收表現!B$6:B$3000,MATCH($A69,營收表現!$A$6:$A$3000,0)),"")</f>
        <v/>
      </c>
      <c r="C69" t="str">
        <f>IFERROR(INDEX(類別!G$4:G$3000,MATCH($A69,類別!$C$4:$C$3000,0)),"")</f>
        <v/>
      </c>
      <c r="D69" t="str">
        <f>IFERROR(IF(INDEX(營收表現!C$6:C$3000,MATCH($A69,營收表現!$A$6:$A$3000,0))="","",INDEX(營收表現!C$6:C$3000,MATCH($A69,營收表現!$A$6:$A$3000,0))),"")</f>
        <v/>
      </c>
      <c r="E69" t="str">
        <f>IFERROR(IF(INDEX(營收表現!D$6:D$3000,MATCH($A69,營收表現!$A$6:$A$3000,0))="","",INDEX(營收表現!D$6:D$3000,MATCH($A69,營收表現!$A$6:$A$3000,0))),"")</f>
        <v/>
      </c>
      <c r="F69" t="str">
        <f>IFERROR(IF(INDEX(營收表現!E$6:E$3000,MATCH($A69,營收表現!$A$6:$A$3000,0))="","",INDEX(營收表現!E$6:E$3000,MATCH($A69,營收表現!$A$6:$A$3000,0))),"")</f>
        <v/>
      </c>
      <c r="G69" t="str">
        <f>IFERROR(IF(INDEX(營收表現!F$6:F$3000,MATCH($A69,營收表現!$A$6:$A$3000,0))="","",INDEX(營收表現!F$6:F$3000,MATCH($A69,營收表現!$A$6:$A$3000,0))),"")</f>
        <v/>
      </c>
      <c r="H69" t="str">
        <f>IFERROR(IF(INDEX(營收表現!G$6:G$3000,MATCH($A69,營收表現!$A$6:$A$3000,0))="","",INDEX(營收表現!G$6:G$3000,MATCH($A69,營收表現!$A$6:$A$3000,0))),"")</f>
        <v/>
      </c>
      <c r="I69" t="str">
        <f>IFERROR(IF(INDEX(營收表現!H$6:H$3000,MATCH($A69,營收表現!$A$6:$A$3000,0))="","",INDEX(營收表現!H$6:H$3000,MATCH($A69,營收表現!$A$6:$A$3000,0))),"")</f>
        <v/>
      </c>
      <c r="J69" t="str">
        <f>IFERROR(IF(INDEX(營收表現!I$6:I$3000,MATCH($A69,營收表現!$A$6:$A$3000,0))="","",INDEX(營收表現!I$6:I$3000,MATCH($A69,營收表現!$A$6:$A$3000,0))),"")</f>
        <v/>
      </c>
      <c r="K69" t="str">
        <f>IFERROR(IF(INDEX(營收表現!J$6:J$3000,MATCH($A69,營收表現!$A$6:$A$3000,0))="","",INDEX(營收表現!J$6:J$3000,MATCH($A69,營收表現!$A$6:$A$3000,0))),"")</f>
        <v/>
      </c>
      <c r="L69" t="str">
        <f>IFERROR(IF(INDEX(營收表現!K$6:K$3000,MATCH($A69,營收表現!$A$6:$A$3000,0))="","",INDEX(營收表現!K$6:K$3000,MATCH($A69,營收表現!$A$6:$A$3000,0))),"")</f>
        <v/>
      </c>
      <c r="M69" t="str">
        <f>IFERROR(IF(INDEX(營收表現!L$6:L$3000,MATCH($A69,營收表現!$A$6:$A$3000,0))="","",INDEX(營收表現!L$6:L$3000,MATCH($A69,營收表現!$A$6:$A$3000,0))),"")</f>
        <v/>
      </c>
      <c r="N69" t="str">
        <f>IFERROR(IF(INDEX(營收表現!M$6:M$3000,MATCH($A69,營收表現!$A$6:$A$3000,0))="","",INDEX(營收表現!M$6:M$3000,MATCH($A69,營收表現!$A$6:$A$3000,0))),"")</f>
        <v/>
      </c>
      <c r="O69" t="str">
        <f>IFERROR(IF(INDEX(營收表現!N$6:N$3000,MATCH($A69,營收表現!$A$6:$A$3000,0))="","",INDEX(營收表現!N$6:N$3000,MATCH($A69,營收表現!$A$6:$A$3000,0))),"")</f>
        <v/>
      </c>
    </row>
    <row r="70" spans="1:15">
      <c r="A70" s="2"/>
      <c r="B70" t="str">
        <f>IFERROR(INDEX(營收表現!B$6:B$3000,MATCH($A70,營收表現!$A$6:$A$3000,0)),"")</f>
        <v/>
      </c>
      <c r="C70" t="str">
        <f>IFERROR(INDEX(類別!G$4:G$3000,MATCH($A70,類別!$C$4:$C$3000,0)),"")</f>
        <v/>
      </c>
      <c r="D70" t="str">
        <f>IFERROR(IF(INDEX(營收表現!C$6:C$3000,MATCH($A70,營收表現!$A$6:$A$3000,0))="","",INDEX(營收表現!C$6:C$3000,MATCH($A70,營收表現!$A$6:$A$3000,0))),"")</f>
        <v/>
      </c>
      <c r="E70" t="str">
        <f>IFERROR(IF(INDEX(營收表現!D$6:D$3000,MATCH($A70,營收表現!$A$6:$A$3000,0))="","",INDEX(營收表現!D$6:D$3000,MATCH($A70,營收表現!$A$6:$A$3000,0))),"")</f>
        <v/>
      </c>
      <c r="F70" t="str">
        <f>IFERROR(IF(INDEX(營收表現!E$6:E$3000,MATCH($A70,營收表現!$A$6:$A$3000,0))="","",INDEX(營收表現!E$6:E$3000,MATCH($A70,營收表現!$A$6:$A$3000,0))),"")</f>
        <v/>
      </c>
      <c r="G70" t="str">
        <f>IFERROR(IF(INDEX(營收表現!F$6:F$3000,MATCH($A70,營收表現!$A$6:$A$3000,0))="","",INDEX(營收表現!F$6:F$3000,MATCH($A70,營收表現!$A$6:$A$3000,0))),"")</f>
        <v/>
      </c>
      <c r="H70" t="str">
        <f>IFERROR(IF(INDEX(營收表現!G$6:G$3000,MATCH($A70,營收表現!$A$6:$A$3000,0))="","",INDEX(營收表現!G$6:G$3000,MATCH($A70,營收表現!$A$6:$A$3000,0))),"")</f>
        <v/>
      </c>
      <c r="I70" t="str">
        <f>IFERROR(IF(INDEX(營收表現!H$6:H$3000,MATCH($A70,營收表現!$A$6:$A$3000,0))="","",INDEX(營收表現!H$6:H$3000,MATCH($A70,營收表現!$A$6:$A$3000,0))),"")</f>
        <v/>
      </c>
      <c r="J70" t="str">
        <f>IFERROR(IF(INDEX(營收表現!I$6:I$3000,MATCH($A70,營收表現!$A$6:$A$3000,0))="","",INDEX(營收表現!I$6:I$3000,MATCH($A70,營收表現!$A$6:$A$3000,0))),"")</f>
        <v/>
      </c>
      <c r="K70" t="str">
        <f>IFERROR(IF(INDEX(營收表現!J$6:J$3000,MATCH($A70,營收表現!$A$6:$A$3000,0))="","",INDEX(營收表現!J$6:J$3000,MATCH($A70,營收表現!$A$6:$A$3000,0))),"")</f>
        <v/>
      </c>
      <c r="L70" t="str">
        <f>IFERROR(IF(INDEX(營收表現!K$6:K$3000,MATCH($A70,營收表現!$A$6:$A$3000,0))="","",INDEX(營收表現!K$6:K$3000,MATCH($A70,營收表現!$A$6:$A$3000,0))),"")</f>
        <v/>
      </c>
      <c r="M70" t="str">
        <f>IFERROR(IF(INDEX(營收表現!L$6:L$3000,MATCH($A70,營收表現!$A$6:$A$3000,0))="","",INDEX(營收表現!L$6:L$3000,MATCH($A70,營收表現!$A$6:$A$3000,0))),"")</f>
        <v/>
      </c>
      <c r="N70" t="str">
        <f>IFERROR(IF(INDEX(營收表現!M$6:M$3000,MATCH($A70,營收表現!$A$6:$A$3000,0))="","",INDEX(營收表現!M$6:M$3000,MATCH($A70,營收表現!$A$6:$A$3000,0))),"")</f>
        <v/>
      </c>
      <c r="O70" t="str">
        <f>IFERROR(IF(INDEX(營收表現!N$6:N$3000,MATCH($A70,營收表現!$A$6:$A$3000,0))="","",INDEX(營收表現!N$6:N$3000,MATCH($A70,營收表現!$A$6:$A$3000,0))),"")</f>
        <v/>
      </c>
    </row>
    <row r="71" spans="1:15">
      <c r="A71" s="2"/>
      <c r="B71" t="str">
        <f>IFERROR(INDEX(營收表現!B$6:B$3000,MATCH($A71,營收表現!$A$6:$A$3000,0)),"")</f>
        <v/>
      </c>
      <c r="C71" t="str">
        <f>IFERROR(INDEX(類別!G$4:G$3000,MATCH($A71,類別!$C$4:$C$3000,0)),"")</f>
        <v/>
      </c>
      <c r="D71" t="str">
        <f>IFERROR(IF(INDEX(營收表現!C$6:C$3000,MATCH($A71,營收表現!$A$6:$A$3000,0))="","",INDEX(營收表現!C$6:C$3000,MATCH($A71,營收表現!$A$6:$A$3000,0))),"")</f>
        <v/>
      </c>
      <c r="E71" t="str">
        <f>IFERROR(IF(INDEX(營收表現!D$6:D$3000,MATCH($A71,營收表現!$A$6:$A$3000,0))="","",INDEX(營收表現!D$6:D$3000,MATCH($A71,營收表現!$A$6:$A$3000,0))),"")</f>
        <v/>
      </c>
      <c r="F71" t="str">
        <f>IFERROR(IF(INDEX(營收表現!E$6:E$3000,MATCH($A71,營收表現!$A$6:$A$3000,0))="","",INDEX(營收表現!E$6:E$3000,MATCH($A71,營收表現!$A$6:$A$3000,0))),"")</f>
        <v/>
      </c>
      <c r="G71" t="str">
        <f>IFERROR(IF(INDEX(營收表現!F$6:F$3000,MATCH($A71,營收表現!$A$6:$A$3000,0))="","",INDEX(營收表現!F$6:F$3000,MATCH($A71,營收表現!$A$6:$A$3000,0))),"")</f>
        <v/>
      </c>
      <c r="H71" t="str">
        <f>IFERROR(IF(INDEX(營收表現!G$6:G$3000,MATCH($A71,營收表現!$A$6:$A$3000,0))="","",INDEX(營收表現!G$6:G$3000,MATCH($A71,營收表現!$A$6:$A$3000,0))),"")</f>
        <v/>
      </c>
      <c r="I71" t="str">
        <f>IFERROR(IF(INDEX(營收表現!H$6:H$3000,MATCH($A71,營收表現!$A$6:$A$3000,0))="","",INDEX(營收表現!H$6:H$3000,MATCH($A71,營收表現!$A$6:$A$3000,0))),"")</f>
        <v/>
      </c>
      <c r="J71" t="str">
        <f>IFERROR(IF(INDEX(營收表現!I$6:I$3000,MATCH($A71,營收表現!$A$6:$A$3000,0))="","",INDEX(營收表現!I$6:I$3000,MATCH($A71,營收表現!$A$6:$A$3000,0))),"")</f>
        <v/>
      </c>
      <c r="K71" t="str">
        <f>IFERROR(IF(INDEX(營收表現!J$6:J$3000,MATCH($A71,營收表現!$A$6:$A$3000,0))="","",INDEX(營收表現!J$6:J$3000,MATCH($A71,營收表現!$A$6:$A$3000,0))),"")</f>
        <v/>
      </c>
      <c r="L71" t="str">
        <f>IFERROR(IF(INDEX(營收表現!K$6:K$3000,MATCH($A71,營收表現!$A$6:$A$3000,0))="","",INDEX(營收表現!K$6:K$3000,MATCH($A71,營收表現!$A$6:$A$3000,0))),"")</f>
        <v/>
      </c>
      <c r="M71" t="str">
        <f>IFERROR(IF(INDEX(營收表現!L$6:L$3000,MATCH($A71,營收表現!$A$6:$A$3000,0))="","",INDEX(營收表現!L$6:L$3000,MATCH($A71,營收表現!$A$6:$A$3000,0))),"")</f>
        <v/>
      </c>
      <c r="N71" t="str">
        <f>IFERROR(IF(INDEX(營收表現!M$6:M$3000,MATCH($A71,營收表現!$A$6:$A$3000,0))="","",INDEX(營收表現!M$6:M$3000,MATCH($A71,營收表現!$A$6:$A$3000,0))),"")</f>
        <v/>
      </c>
      <c r="O71" t="str">
        <f>IFERROR(IF(INDEX(營收表現!N$6:N$3000,MATCH($A71,營收表現!$A$6:$A$3000,0))="","",INDEX(營收表現!N$6:N$3000,MATCH($A71,營收表現!$A$6:$A$3000,0))),"")</f>
        <v/>
      </c>
    </row>
    <row r="72" spans="1:15">
      <c r="A72" s="2"/>
      <c r="B72" t="str">
        <f>IFERROR(INDEX(營收表現!B$6:B$3000,MATCH($A72,營收表現!$A$6:$A$3000,0)),"")</f>
        <v/>
      </c>
      <c r="C72" t="str">
        <f>IFERROR(INDEX(類別!G$4:G$3000,MATCH($A72,類別!$C$4:$C$3000,0)),"")</f>
        <v/>
      </c>
      <c r="D72" t="str">
        <f>IFERROR(IF(INDEX(營收表現!C$6:C$3000,MATCH($A72,營收表現!$A$6:$A$3000,0))="","",INDEX(營收表現!C$6:C$3000,MATCH($A72,營收表現!$A$6:$A$3000,0))),"")</f>
        <v/>
      </c>
      <c r="E72" t="str">
        <f>IFERROR(IF(INDEX(營收表現!D$6:D$3000,MATCH($A72,營收表現!$A$6:$A$3000,0))="","",INDEX(營收表現!D$6:D$3000,MATCH($A72,營收表現!$A$6:$A$3000,0))),"")</f>
        <v/>
      </c>
      <c r="F72" t="str">
        <f>IFERROR(IF(INDEX(營收表現!E$6:E$3000,MATCH($A72,營收表現!$A$6:$A$3000,0))="","",INDEX(營收表現!E$6:E$3000,MATCH($A72,營收表現!$A$6:$A$3000,0))),"")</f>
        <v/>
      </c>
      <c r="G72" t="str">
        <f>IFERROR(IF(INDEX(營收表現!F$6:F$3000,MATCH($A72,營收表現!$A$6:$A$3000,0))="","",INDEX(營收表現!F$6:F$3000,MATCH($A72,營收表現!$A$6:$A$3000,0))),"")</f>
        <v/>
      </c>
      <c r="H72" t="str">
        <f>IFERROR(IF(INDEX(營收表現!G$6:G$3000,MATCH($A72,營收表現!$A$6:$A$3000,0))="","",INDEX(營收表現!G$6:G$3000,MATCH($A72,營收表現!$A$6:$A$3000,0))),"")</f>
        <v/>
      </c>
      <c r="I72" t="str">
        <f>IFERROR(IF(INDEX(營收表現!H$6:H$3000,MATCH($A72,營收表現!$A$6:$A$3000,0))="","",INDEX(營收表現!H$6:H$3000,MATCH($A72,營收表現!$A$6:$A$3000,0))),"")</f>
        <v/>
      </c>
      <c r="J72" t="str">
        <f>IFERROR(IF(INDEX(營收表現!I$6:I$3000,MATCH($A72,營收表現!$A$6:$A$3000,0))="","",INDEX(營收表現!I$6:I$3000,MATCH($A72,營收表現!$A$6:$A$3000,0))),"")</f>
        <v/>
      </c>
      <c r="K72" t="str">
        <f>IFERROR(IF(INDEX(營收表現!J$6:J$3000,MATCH($A72,營收表現!$A$6:$A$3000,0))="","",INDEX(營收表現!J$6:J$3000,MATCH($A72,營收表現!$A$6:$A$3000,0))),"")</f>
        <v/>
      </c>
      <c r="L72" t="str">
        <f>IFERROR(IF(INDEX(營收表現!K$6:K$3000,MATCH($A72,營收表現!$A$6:$A$3000,0))="","",INDEX(營收表現!K$6:K$3000,MATCH($A72,營收表現!$A$6:$A$3000,0))),"")</f>
        <v/>
      </c>
      <c r="M72" t="str">
        <f>IFERROR(IF(INDEX(營收表現!L$6:L$3000,MATCH($A72,營收表現!$A$6:$A$3000,0))="","",INDEX(營收表現!L$6:L$3000,MATCH($A72,營收表現!$A$6:$A$3000,0))),"")</f>
        <v/>
      </c>
      <c r="N72" t="str">
        <f>IFERROR(IF(INDEX(營收表現!M$6:M$3000,MATCH($A72,營收表現!$A$6:$A$3000,0))="","",INDEX(營收表現!M$6:M$3000,MATCH($A72,營收表現!$A$6:$A$3000,0))),"")</f>
        <v/>
      </c>
      <c r="O72" t="str">
        <f>IFERROR(IF(INDEX(營收表現!N$6:N$3000,MATCH($A72,營收表現!$A$6:$A$3000,0))="","",INDEX(營收表現!N$6:N$3000,MATCH($A72,營收表現!$A$6:$A$3000,0))),"")</f>
        <v/>
      </c>
    </row>
    <row r="73" spans="1:15">
      <c r="A73" s="2"/>
      <c r="B73" t="str">
        <f>IFERROR(INDEX(營收表現!B$6:B$3000,MATCH($A73,營收表現!$A$6:$A$3000,0)),"")</f>
        <v/>
      </c>
      <c r="C73" t="str">
        <f>IFERROR(INDEX(類別!G$4:G$3000,MATCH($A73,類別!$C$4:$C$3000,0)),"")</f>
        <v/>
      </c>
      <c r="D73" t="str">
        <f>IFERROR(IF(INDEX(營收表現!C$6:C$3000,MATCH($A73,營收表現!$A$6:$A$3000,0))="","",INDEX(營收表現!C$6:C$3000,MATCH($A73,營收表現!$A$6:$A$3000,0))),"")</f>
        <v/>
      </c>
      <c r="E73" t="str">
        <f>IFERROR(IF(INDEX(營收表現!D$6:D$3000,MATCH($A73,營收表現!$A$6:$A$3000,0))="","",INDEX(營收表現!D$6:D$3000,MATCH($A73,營收表現!$A$6:$A$3000,0))),"")</f>
        <v/>
      </c>
      <c r="F73" t="str">
        <f>IFERROR(IF(INDEX(營收表現!E$6:E$3000,MATCH($A73,營收表現!$A$6:$A$3000,0))="","",INDEX(營收表現!E$6:E$3000,MATCH($A73,營收表現!$A$6:$A$3000,0))),"")</f>
        <v/>
      </c>
      <c r="G73" t="str">
        <f>IFERROR(IF(INDEX(營收表現!F$6:F$3000,MATCH($A73,營收表現!$A$6:$A$3000,0))="","",INDEX(營收表現!F$6:F$3000,MATCH($A73,營收表現!$A$6:$A$3000,0))),"")</f>
        <v/>
      </c>
      <c r="H73" t="str">
        <f>IFERROR(IF(INDEX(營收表現!G$6:G$3000,MATCH($A73,營收表現!$A$6:$A$3000,0))="","",INDEX(營收表現!G$6:G$3000,MATCH($A73,營收表現!$A$6:$A$3000,0))),"")</f>
        <v/>
      </c>
      <c r="I73" t="str">
        <f>IFERROR(IF(INDEX(營收表現!H$6:H$3000,MATCH($A73,營收表現!$A$6:$A$3000,0))="","",INDEX(營收表現!H$6:H$3000,MATCH($A73,營收表現!$A$6:$A$3000,0))),"")</f>
        <v/>
      </c>
      <c r="J73" t="str">
        <f>IFERROR(IF(INDEX(營收表現!I$6:I$3000,MATCH($A73,營收表現!$A$6:$A$3000,0))="","",INDEX(營收表現!I$6:I$3000,MATCH($A73,營收表現!$A$6:$A$3000,0))),"")</f>
        <v/>
      </c>
      <c r="K73" t="str">
        <f>IFERROR(IF(INDEX(營收表現!J$6:J$3000,MATCH($A73,營收表現!$A$6:$A$3000,0))="","",INDEX(營收表現!J$6:J$3000,MATCH($A73,營收表現!$A$6:$A$3000,0))),"")</f>
        <v/>
      </c>
      <c r="L73" t="str">
        <f>IFERROR(IF(INDEX(營收表現!K$6:K$3000,MATCH($A73,營收表現!$A$6:$A$3000,0))="","",INDEX(營收表現!K$6:K$3000,MATCH($A73,營收表現!$A$6:$A$3000,0))),"")</f>
        <v/>
      </c>
      <c r="M73" t="str">
        <f>IFERROR(IF(INDEX(營收表現!L$6:L$3000,MATCH($A73,營收表現!$A$6:$A$3000,0))="","",INDEX(營收表現!L$6:L$3000,MATCH($A73,營收表現!$A$6:$A$3000,0))),"")</f>
        <v/>
      </c>
      <c r="N73" t="str">
        <f>IFERROR(IF(INDEX(營收表現!M$6:M$3000,MATCH($A73,營收表現!$A$6:$A$3000,0))="","",INDEX(營收表現!M$6:M$3000,MATCH($A73,營收表現!$A$6:$A$3000,0))),"")</f>
        <v/>
      </c>
      <c r="O73" t="str">
        <f>IFERROR(IF(INDEX(營收表現!N$6:N$3000,MATCH($A73,營收表現!$A$6:$A$3000,0))="","",INDEX(營收表現!N$6:N$3000,MATCH($A73,營收表現!$A$6:$A$3000,0))),"")</f>
        <v/>
      </c>
    </row>
    <row r="74" spans="1:15">
      <c r="A74" s="2"/>
      <c r="B74" t="str">
        <f>IFERROR(INDEX(營收表現!B$6:B$3000,MATCH($A74,營收表現!$A$6:$A$3000,0)),"")</f>
        <v/>
      </c>
      <c r="C74" t="str">
        <f>IFERROR(INDEX(類別!G$4:G$3000,MATCH($A74,類別!$C$4:$C$3000,0)),"")</f>
        <v/>
      </c>
      <c r="D74" t="str">
        <f>IFERROR(IF(INDEX(營收表現!C$6:C$3000,MATCH($A74,營收表現!$A$6:$A$3000,0))="","",INDEX(營收表現!C$6:C$3000,MATCH($A74,營收表現!$A$6:$A$3000,0))),"")</f>
        <v/>
      </c>
      <c r="E74" t="str">
        <f>IFERROR(IF(INDEX(營收表現!D$6:D$3000,MATCH($A74,營收表現!$A$6:$A$3000,0))="","",INDEX(營收表現!D$6:D$3000,MATCH($A74,營收表現!$A$6:$A$3000,0))),"")</f>
        <v/>
      </c>
      <c r="F74" t="str">
        <f>IFERROR(IF(INDEX(營收表現!E$6:E$3000,MATCH($A74,營收表現!$A$6:$A$3000,0))="","",INDEX(營收表現!E$6:E$3000,MATCH($A74,營收表現!$A$6:$A$3000,0))),"")</f>
        <v/>
      </c>
      <c r="G74" t="str">
        <f>IFERROR(IF(INDEX(營收表現!F$6:F$3000,MATCH($A74,營收表現!$A$6:$A$3000,0))="","",INDEX(營收表現!F$6:F$3000,MATCH($A74,營收表現!$A$6:$A$3000,0))),"")</f>
        <v/>
      </c>
      <c r="H74" t="str">
        <f>IFERROR(IF(INDEX(營收表現!G$6:G$3000,MATCH($A74,營收表現!$A$6:$A$3000,0))="","",INDEX(營收表現!G$6:G$3000,MATCH($A74,營收表現!$A$6:$A$3000,0))),"")</f>
        <v/>
      </c>
      <c r="I74" t="str">
        <f>IFERROR(IF(INDEX(營收表現!H$6:H$3000,MATCH($A74,營收表現!$A$6:$A$3000,0))="","",INDEX(營收表現!H$6:H$3000,MATCH($A74,營收表現!$A$6:$A$3000,0))),"")</f>
        <v/>
      </c>
      <c r="J74" t="str">
        <f>IFERROR(IF(INDEX(營收表現!I$6:I$3000,MATCH($A74,營收表現!$A$6:$A$3000,0))="","",INDEX(營收表現!I$6:I$3000,MATCH($A74,營收表現!$A$6:$A$3000,0))),"")</f>
        <v/>
      </c>
      <c r="K74" t="str">
        <f>IFERROR(IF(INDEX(營收表現!J$6:J$3000,MATCH($A74,營收表現!$A$6:$A$3000,0))="","",INDEX(營收表現!J$6:J$3000,MATCH($A74,營收表現!$A$6:$A$3000,0))),"")</f>
        <v/>
      </c>
      <c r="L74" t="str">
        <f>IFERROR(IF(INDEX(營收表現!K$6:K$3000,MATCH($A74,營收表現!$A$6:$A$3000,0))="","",INDEX(營收表現!K$6:K$3000,MATCH($A74,營收表現!$A$6:$A$3000,0))),"")</f>
        <v/>
      </c>
      <c r="M74" t="str">
        <f>IFERROR(IF(INDEX(營收表現!L$6:L$3000,MATCH($A74,營收表現!$A$6:$A$3000,0))="","",INDEX(營收表現!L$6:L$3000,MATCH($A74,營收表現!$A$6:$A$3000,0))),"")</f>
        <v/>
      </c>
      <c r="N74" t="str">
        <f>IFERROR(IF(INDEX(營收表現!M$6:M$3000,MATCH($A74,營收表現!$A$6:$A$3000,0))="","",INDEX(營收表現!M$6:M$3000,MATCH($A74,營收表現!$A$6:$A$3000,0))),"")</f>
        <v/>
      </c>
      <c r="O74" t="str">
        <f>IFERROR(IF(INDEX(營收表現!N$6:N$3000,MATCH($A74,營收表現!$A$6:$A$3000,0))="","",INDEX(營收表現!N$6:N$3000,MATCH($A74,營收表現!$A$6:$A$3000,0))),"")</f>
        <v/>
      </c>
    </row>
    <row r="75" spans="1:15">
      <c r="A75" s="2"/>
      <c r="B75" t="str">
        <f>IFERROR(INDEX(營收表現!B$6:B$3000,MATCH($A75,營收表現!$A$6:$A$3000,0)),"")</f>
        <v/>
      </c>
      <c r="C75" t="str">
        <f>IFERROR(INDEX(類別!G$4:G$3000,MATCH($A75,類別!$C$4:$C$3000,0)),"")</f>
        <v/>
      </c>
      <c r="D75" t="str">
        <f>IFERROR(IF(INDEX(營收表現!C$6:C$3000,MATCH($A75,營收表現!$A$6:$A$3000,0))="","",INDEX(營收表現!C$6:C$3000,MATCH($A75,營收表現!$A$6:$A$3000,0))),"")</f>
        <v/>
      </c>
      <c r="E75" t="str">
        <f>IFERROR(IF(INDEX(營收表現!D$6:D$3000,MATCH($A75,營收表現!$A$6:$A$3000,0))="","",INDEX(營收表現!D$6:D$3000,MATCH($A75,營收表現!$A$6:$A$3000,0))),"")</f>
        <v/>
      </c>
      <c r="F75" t="str">
        <f>IFERROR(IF(INDEX(營收表現!E$6:E$3000,MATCH($A75,營收表現!$A$6:$A$3000,0))="","",INDEX(營收表現!E$6:E$3000,MATCH($A75,營收表現!$A$6:$A$3000,0))),"")</f>
        <v/>
      </c>
      <c r="G75" t="str">
        <f>IFERROR(IF(INDEX(營收表現!F$6:F$3000,MATCH($A75,營收表現!$A$6:$A$3000,0))="","",INDEX(營收表現!F$6:F$3000,MATCH($A75,營收表現!$A$6:$A$3000,0))),"")</f>
        <v/>
      </c>
      <c r="H75" t="str">
        <f>IFERROR(IF(INDEX(營收表現!G$6:G$3000,MATCH($A75,營收表現!$A$6:$A$3000,0))="","",INDEX(營收表現!G$6:G$3000,MATCH($A75,營收表現!$A$6:$A$3000,0))),"")</f>
        <v/>
      </c>
      <c r="I75" t="str">
        <f>IFERROR(IF(INDEX(營收表現!H$6:H$3000,MATCH($A75,營收表現!$A$6:$A$3000,0))="","",INDEX(營收表現!H$6:H$3000,MATCH($A75,營收表現!$A$6:$A$3000,0))),"")</f>
        <v/>
      </c>
      <c r="J75" t="str">
        <f>IFERROR(IF(INDEX(營收表現!I$6:I$3000,MATCH($A75,營收表現!$A$6:$A$3000,0))="","",INDEX(營收表現!I$6:I$3000,MATCH($A75,營收表現!$A$6:$A$3000,0))),"")</f>
        <v/>
      </c>
      <c r="K75" t="str">
        <f>IFERROR(IF(INDEX(營收表現!J$6:J$3000,MATCH($A75,營收表現!$A$6:$A$3000,0))="","",INDEX(營收表現!J$6:J$3000,MATCH($A75,營收表現!$A$6:$A$3000,0))),"")</f>
        <v/>
      </c>
      <c r="L75" t="str">
        <f>IFERROR(IF(INDEX(營收表現!K$6:K$3000,MATCH($A75,營收表現!$A$6:$A$3000,0))="","",INDEX(營收表現!K$6:K$3000,MATCH($A75,營收表現!$A$6:$A$3000,0))),"")</f>
        <v/>
      </c>
      <c r="M75" t="str">
        <f>IFERROR(IF(INDEX(營收表現!L$6:L$3000,MATCH($A75,營收表現!$A$6:$A$3000,0))="","",INDEX(營收表現!L$6:L$3000,MATCH($A75,營收表現!$A$6:$A$3000,0))),"")</f>
        <v/>
      </c>
      <c r="N75" t="str">
        <f>IFERROR(IF(INDEX(營收表現!M$6:M$3000,MATCH($A75,營收表現!$A$6:$A$3000,0))="","",INDEX(營收表現!M$6:M$3000,MATCH($A75,營收表現!$A$6:$A$3000,0))),"")</f>
        <v/>
      </c>
      <c r="O75" t="str">
        <f>IFERROR(IF(INDEX(營收表現!N$6:N$3000,MATCH($A75,營收表現!$A$6:$A$3000,0))="","",INDEX(營收表現!N$6:N$3000,MATCH($A75,營收表現!$A$6:$A$3000,0))),"")</f>
        <v/>
      </c>
    </row>
    <row r="76" spans="1:15">
      <c r="A76" s="2"/>
      <c r="B76" t="str">
        <f>IFERROR(INDEX(營收表現!B$6:B$3000,MATCH($A76,營收表現!$A$6:$A$3000,0)),"")</f>
        <v/>
      </c>
      <c r="C76" t="str">
        <f>IFERROR(INDEX(類別!G$4:G$3000,MATCH($A76,類別!$C$4:$C$3000,0)),"")</f>
        <v/>
      </c>
      <c r="D76" t="str">
        <f>IFERROR(IF(INDEX(營收表現!C$6:C$3000,MATCH($A76,營收表現!$A$6:$A$3000,0))="","",INDEX(營收表現!C$6:C$3000,MATCH($A76,營收表現!$A$6:$A$3000,0))),"")</f>
        <v/>
      </c>
      <c r="E76" t="str">
        <f>IFERROR(IF(INDEX(營收表現!D$6:D$3000,MATCH($A76,營收表現!$A$6:$A$3000,0))="","",INDEX(營收表現!D$6:D$3000,MATCH($A76,營收表現!$A$6:$A$3000,0))),"")</f>
        <v/>
      </c>
      <c r="F76" t="str">
        <f>IFERROR(IF(INDEX(營收表現!E$6:E$3000,MATCH($A76,營收表現!$A$6:$A$3000,0))="","",INDEX(營收表現!E$6:E$3000,MATCH($A76,營收表現!$A$6:$A$3000,0))),"")</f>
        <v/>
      </c>
      <c r="G76" t="str">
        <f>IFERROR(IF(INDEX(營收表現!F$6:F$3000,MATCH($A76,營收表現!$A$6:$A$3000,0))="","",INDEX(營收表現!F$6:F$3000,MATCH($A76,營收表現!$A$6:$A$3000,0))),"")</f>
        <v/>
      </c>
      <c r="H76" t="str">
        <f>IFERROR(IF(INDEX(營收表現!G$6:G$3000,MATCH($A76,營收表現!$A$6:$A$3000,0))="","",INDEX(營收表現!G$6:G$3000,MATCH($A76,營收表現!$A$6:$A$3000,0))),"")</f>
        <v/>
      </c>
      <c r="I76" t="str">
        <f>IFERROR(IF(INDEX(營收表現!H$6:H$3000,MATCH($A76,營收表現!$A$6:$A$3000,0))="","",INDEX(營收表現!H$6:H$3000,MATCH($A76,營收表現!$A$6:$A$3000,0))),"")</f>
        <v/>
      </c>
      <c r="J76" t="str">
        <f>IFERROR(IF(INDEX(營收表現!I$6:I$3000,MATCH($A76,營收表現!$A$6:$A$3000,0))="","",INDEX(營收表現!I$6:I$3000,MATCH($A76,營收表現!$A$6:$A$3000,0))),"")</f>
        <v/>
      </c>
      <c r="K76" t="str">
        <f>IFERROR(IF(INDEX(營收表現!J$6:J$3000,MATCH($A76,營收表現!$A$6:$A$3000,0))="","",INDEX(營收表現!J$6:J$3000,MATCH($A76,營收表現!$A$6:$A$3000,0))),"")</f>
        <v/>
      </c>
      <c r="L76" t="str">
        <f>IFERROR(IF(INDEX(營收表現!K$6:K$3000,MATCH($A76,營收表現!$A$6:$A$3000,0))="","",INDEX(營收表現!K$6:K$3000,MATCH($A76,營收表現!$A$6:$A$3000,0))),"")</f>
        <v/>
      </c>
      <c r="M76" t="str">
        <f>IFERROR(IF(INDEX(營收表現!L$6:L$3000,MATCH($A76,營收表現!$A$6:$A$3000,0))="","",INDEX(營收表現!L$6:L$3000,MATCH($A76,營收表現!$A$6:$A$3000,0))),"")</f>
        <v/>
      </c>
      <c r="N76" t="str">
        <f>IFERROR(IF(INDEX(營收表現!M$6:M$3000,MATCH($A76,營收表現!$A$6:$A$3000,0))="","",INDEX(營收表現!M$6:M$3000,MATCH($A76,營收表現!$A$6:$A$3000,0))),"")</f>
        <v/>
      </c>
      <c r="O76" t="str">
        <f>IFERROR(IF(INDEX(營收表現!N$6:N$3000,MATCH($A76,營收表現!$A$6:$A$3000,0))="","",INDEX(營收表現!N$6:N$3000,MATCH($A76,營收表現!$A$6:$A$3000,0))),"")</f>
        <v/>
      </c>
    </row>
    <row r="77" spans="1:15">
      <c r="A77" s="2"/>
      <c r="B77" t="str">
        <f>IFERROR(INDEX(營收表現!B$6:B$3000,MATCH($A77,營收表現!$A$6:$A$3000,0)),"")</f>
        <v/>
      </c>
      <c r="C77" t="str">
        <f>IFERROR(INDEX(類別!G$4:G$3000,MATCH($A77,類別!$C$4:$C$3000,0)),"")</f>
        <v/>
      </c>
      <c r="D77" t="str">
        <f>IFERROR(IF(INDEX(營收表現!C$6:C$3000,MATCH($A77,營收表現!$A$6:$A$3000,0))="","",INDEX(營收表現!C$6:C$3000,MATCH($A77,營收表現!$A$6:$A$3000,0))),"")</f>
        <v/>
      </c>
      <c r="E77" t="str">
        <f>IFERROR(IF(INDEX(營收表現!D$6:D$3000,MATCH($A77,營收表現!$A$6:$A$3000,0))="","",INDEX(營收表現!D$6:D$3000,MATCH($A77,營收表現!$A$6:$A$3000,0))),"")</f>
        <v/>
      </c>
      <c r="F77" t="str">
        <f>IFERROR(IF(INDEX(營收表現!E$6:E$3000,MATCH($A77,營收表現!$A$6:$A$3000,0))="","",INDEX(營收表現!E$6:E$3000,MATCH($A77,營收表現!$A$6:$A$3000,0))),"")</f>
        <v/>
      </c>
      <c r="G77" t="str">
        <f>IFERROR(IF(INDEX(營收表現!F$6:F$3000,MATCH($A77,營收表現!$A$6:$A$3000,0))="","",INDEX(營收表現!F$6:F$3000,MATCH($A77,營收表現!$A$6:$A$3000,0))),"")</f>
        <v/>
      </c>
      <c r="H77" t="str">
        <f>IFERROR(IF(INDEX(營收表現!G$6:G$3000,MATCH($A77,營收表現!$A$6:$A$3000,0))="","",INDEX(營收表現!G$6:G$3000,MATCH($A77,營收表現!$A$6:$A$3000,0))),"")</f>
        <v/>
      </c>
      <c r="I77" t="str">
        <f>IFERROR(IF(INDEX(營收表現!H$6:H$3000,MATCH($A77,營收表現!$A$6:$A$3000,0))="","",INDEX(營收表現!H$6:H$3000,MATCH($A77,營收表現!$A$6:$A$3000,0))),"")</f>
        <v/>
      </c>
      <c r="J77" t="str">
        <f>IFERROR(IF(INDEX(營收表現!I$6:I$3000,MATCH($A77,營收表現!$A$6:$A$3000,0))="","",INDEX(營收表現!I$6:I$3000,MATCH($A77,營收表現!$A$6:$A$3000,0))),"")</f>
        <v/>
      </c>
      <c r="K77" t="str">
        <f>IFERROR(IF(INDEX(營收表現!J$6:J$3000,MATCH($A77,營收表現!$A$6:$A$3000,0))="","",INDEX(營收表現!J$6:J$3000,MATCH($A77,營收表現!$A$6:$A$3000,0))),"")</f>
        <v/>
      </c>
      <c r="L77" t="str">
        <f>IFERROR(IF(INDEX(營收表現!K$6:K$3000,MATCH($A77,營收表現!$A$6:$A$3000,0))="","",INDEX(營收表現!K$6:K$3000,MATCH($A77,營收表現!$A$6:$A$3000,0))),"")</f>
        <v/>
      </c>
      <c r="M77" t="str">
        <f>IFERROR(IF(INDEX(營收表現!L$6:L$3000,MATCH($A77,營收表現!$A$6:$A$3000,0))="","",INDEX(營收表現!L$6:L$3000,MATCH($A77,營收表現!$A$6:$A$3000,0))),"")</f>
        <v/>
      </c>
      <c r="N77" t="str">
        <f>IFERROR(IF(INDEX(營收表現!M$6:M$3000,MATCH($A77,營收表現!$A$6:$A$3000,0))="","",INDEX(營收表現!M$6:M$3000,MATCH($A77,營收表現!$A$6:$A$3000,0))),"")</f>
        <v/>
      </c>
      <c r="O77" t="str">
        <f>IFERROR(IF(INDEX(營收表現!N$6:N$3000,MATCH($A77,營收表現!$A$6:$A$3000,0))="","",INDEX(營收表現!N$6:N$3000,MATCH($A77,營收表現!$A$6:$A$3000,0))),"")</f>
        <v/>
      </c>
    </row>
    <row r="78" spans="1:15">
      <c r="A78" s="2"/>
      <c r="B78" t="str">
        <f>IFERROR(INDEX(營收表現!B$6:B$3000,MATCH($A78,營收表現!$A$6:$A$3000,0)),"")</f>
        <v/>
      </c>
      <c r="C78" t="str">
        <f>IFERROR(INDEX(類別!G$4:G$3000,MATCH($A78,類別!$C$4:$C$3000,0)),"")</f>
        <v/>
      </c>
      <c r="D78" t="str">
        <f>IFERROR(IF(INDEX(營收表現!C$6:C$3000,MATCH($A78,營收表現!$A$6:$A$3000,0))="","",INDEX(營收表現!C$6:C$3000,MATCH($A78,營收表現!$A$6:$A$3000,0))),"")</f>
        <v/>
      </c>
      <c r="E78" t="str">
        <f>IFERROR(IF(INDEX(營收表現!D$6:D$3000,MATCH($A78,營收表現!$A$6:$A$3000,0))="","",INDEX(營收表現!D$6:D$3000,MATCH($A78,營收表現!$A$6:$A$3000,0))),"")</f>
        <v/>
      </c>
      <c r="F78" t="str">
        <f>IFERROR(IF(INDEX(營收表現!E$6:E$3000,MATCH($A78,營收表現!$A$6:$A$3000,0))="","",INDEX(營收表現!E$6:E$3000,MATCH($A78,營收表現!$A$6:$A$3000,0))),"")</f>
        <v/>
      </c>
      <c r="G78" t="str">
        <f>IFERROR(IF(INDEX(營收表現!F$6:F$3000,MATCH($A78,營收表現!$A$6:$A$3000,0))="","",INDEX(營收表現!F$6:F$3000,MATCH($A78,營收表現!$A$6:$A$3000,0))),"")</f>
        <v/>
      </c>
      <c r="H78" t="str">
        <f>IFERROR(IF(INDEX(營收表現!G$6:G$3000,MATCH($A78,營收表現!$A$6:$A$3000,0))="","",INDEX(營收表現!G$6:G$3000,MATCH($A78,營收表現!$A$6:$A$3000,0))),"")</f>
        <v/>
      </c>
      <c r="I78" t="str">
        <f>IFERROR(IF(INDEX(營收表現!H$6:H$3000,MATCH($A78,營收表現!$A$6:$A$3000,0))="","",INDEX(營收表現!H$6:H$3000,MATCH($A78,營收表現!$A$6:$A$3000,0))),"")</f>
        <v/>
      </c>
      <c r="J78" t="str">
        <f>IFERROR(IF(INDEX(營收表現!I$6:I$3000,MATCH($A78,營收表現!$A$6:$A$3000,0))="","",INDEX(營收表現!I$6:I$3000,MATCH($A78,營收表現!$A$6:$A$3000,0))),"")</f>
        <v/>
      </c>
      <c r="K78" t="str">
        <f>IFERROR(IF(INDEX(營收表現!J$6:J$3000,MATCH($A78,營收表現!$A$6:$A$3000,0))="","",INDEX(營收表現!J$6:J$3000,MATCH($A78,營收表現!$A$6:$A$3000,0))),"")</f>
        <v/>
      </c>
      <c r="L78" t="str">
        <f>IFERROR(IF(INDEX(營收表現!K$6:K$3000,MATCH($A78,營收表現!$A$6:$A$3000,0))="","",INDEX(營收表現!K$6:K$3000,MATCH($A78,營收表現!$A$6:$A$3000,0))),"")</f>
        <v/>
      </c>
      <c r="M78" t="str">
        <f>IFERROR(IF(INDEX(營收表現!L$6:L$3000,MATCH($A78,營收表現!$A$6:$A$3000,0))="","",INDEX(營收表現!L$6:L$3000,MATCH($A78,營收表現!$A$6:$A$3000,0))),"")</f>
        <v/>
      </c>
      <c r="N78" t="str">
        <f>IFERROR(IF(INDEX(營收表現!M$6:M$3000,MATCH($A78,營收表現!$A$6:$A$3000,0))="","",INDEX(營收表現!M$6:M$3000,MATCH($A78,營收表現!$A$6:$A$3000,0))),"")</f>
        <v/>
      </c>
      <c r="O78" t="str">
        <f>IFERROR(IF(INDEX(營收表現!N$6:N$3000,MATCH($A78,營收表現!$A$6:$A$3000,0))="","",INDEX(營收表現!N$6:N$3000,MATCH($A78,營收表現!$A$6:$A$3000,0))),"")</f>
        <v/>
      </c>
    </row>
    <row r="79" spans="1:15">
      <c r="A79" s="2"/>
      <c r="B79" t="str">
        <f>IFERROR(INDEX(營收表現!B$6:B$3000,MATCH($A79,營收表現!$A$6:$A$3000,0)),"")</f>
        <v/>
      </c>
      <c r="C79" t="str">
        <f>IFERROR(INDEX(類別!G$4:G$3000,MATCH($A79,類別!$C$4:$C$3000,0)),"")</f>
        <v/>
      </c>
      <c r="D79" t="str">
        <f>IFERROR(IF(INDEX(營收表現!C$6:C$3000,MATCH($A79,營收表現!$A$6:$A$3000,0))="","",INDEX(營收表現!C$6:C$3000,MATCH($A79,營收表現!$A$6:$A$3000,0))),"")</f>
        <v/>
      </c>
      <c r="E79" t="str">
        <f>IFERROR(IF(INDEX(營收表現!D$6:D$3000,MATCH($A79,營收表現!$A$6:$A$3000,0))="","",INDEX(營收表現!D$6:D$3000,MATCH($A79,營收表現!$A$6:$A$3000,0))),"")</f>
        <v/>
      </c>
      <c r="F79" t="str">
        <f>IFERROR(IF(INDEX(營收表現!E$6:E$3000,MATCH($A79,營收表現!$A$6:$A$3000,0))="","",INDEX(營收表現!E$6:E$3000,MATCH($A79,營收表現!$A$6:$A$3000,0))),"")</f>
        <v/>
      </c>
      <c r="G79" t="str">
        <f>IFERROR(IF(INDEX(營收表現!F$6:F$3000,MATCH($A79,營收表現!$A$6:$A$3000,0))="","",INDEX(營收表現!F$6:F$3000,MATCH($A79,營收表現!$A$6:$A$3000,0))),"")</f>
        <v/>
      </c>
      <c r="H79" t="str">
        <f>IFERROR(IF(INDEX(營收表現!G$6:G$3000,MATCH($A79,營收表現!$A$6:$A$3000,0))="","",INDEX(營收表現!G$6:G$3000,MATCH($A79,營收表現!$A$6:$A$3000,0))),"")</f>
        <v/>
      </c>
      <c r="I79" t="str">
        <f>IFERROR(IF(INDEX(營收表現!H$6:H$3000,MATCH($A79,營收表現!$A$6:$A$3000,0))="","",INDEX(營收表現!H$6:H$3000,MATCH($A79,營收表現!$A$6:$A$3000,0))),"")</f>
        <v/>
      </c>
      <c r="J79" t="str">
        <f>IFERROR(IF(INDEX(營收表現!I$6:I$3000,MATCH($A79,營收表現!$A$6:$A$3000,0))="","",INDEX(營收表現!I$6:I$3000,MATCH($A79,營收表現!$A$6:$A$3000,0))),"")</f>
        <v/>
      </c>
      <c r="K79" t="str">
        <f>IFERROR(IF(INDEX(營收表現!J$6:J$3000,MATCH($A79,營收表現!$A$6:$A$3000,0))="","",INDEX(營收表現!J$6:J$3000,MATCH($A79,營收表現!$A$6:$A$3000,0))),"")</f>
        <v/>
      </c>
      <c r="L79" t="str">
        <f>IFERROR(IF(INDEX(營收表現!K$6:K$3000,MATCH($A79,營收表現!$A$6:$A$3000,0))="","",INDEX(營收表現!K$6:K$3000,MATCH($A79,營收表現!$A$6:$A$3000,0))),"")</f>
        <v/>
      </c>
      <c r="M79" t="str">
        <f>IFERROR(IF(INDEX(營收表現!L$6:L$3000,MATCH($A79,營收表現!$A$6:$A$3000,0))="","",INDEX(營收表現!L$6:L$3000,MATCH($A79,營收表現!$A$6:$A$3000,0))),"")</f>
        <v/>
      </c>
      <c r="N79" t="str">
        <f>IFERROR(IF(INDEX(營收表現!M$6:M$3000,MATCH($A79,營收表現!$A$6:$A$3000,0))="","",INDEX(營收表現!M$6:M$3000,MATCH($A79,營收表現!$A$6:$A$3000,0))),"")</f>
        <v/>
      </c>
      <c r="O79" t="str">
        <f>IFERROR(IF(INDEX(營收表現!N$6:N$3000,MATCH($A79,營收表現!$A$6:$A$3000,0))="","",INDEX(營收表現!N$6:N$3000,MATCH($A79,營收表現!$A$6:$A$3000,0))),"")</f>
        <v/>
      </c>
    </row>
    <row r="80" spans="1:15">
      <c r="A80" s="2"/>
      <c r="B80" t="str">
        <f>IFERROR(INDEX(營收表現!B$6:B$3000,MATCH($A80,營收表現!$A$6:$A$3000,0)),"")</f>
        <v/>
      </c>
      <c r="C80" t="str">
        <f>IFERROR(INDEX(類別!G$4:G$3000,MATCH($A80,類別!$C$4:$C$3000,0)),"")</f>
        <v/>
      </c>
      <c r="D80" t="str">
        <f>IFERROR(IF(INDEX(營收表現!C$6:C$3000,MATCH($A80,營收表現!$A$6:$A$3000,0))="","",INDEX(營收表現!C$6:C$3000,MATCH($A80,營收表現!$A$6:$A$3000,0))),"")</f>
        <v/>
      </c>
      <c r="E80" t="str">
        <f>IFERROR(IF(INDEX(營收表現!D$6:D$3000,MATCH($A80,營收表現!$A$6:$A$3000,0))="","",INDEX(營收表現!D$6:D$3000,MATCH($A80,營收表現!$A$6:$A$3000,0))),"")</f>
        <v/>
      </c>
      <c r="F80" t="str">
        <f>IFERROR(IF(INDEX(營收表現!E$6:E$3000,MATCH($A80,營收表現!$A$6:$A$3000,0))="","",INDEX(營收表現!E$6:E$3000,MATCH($A80,營收表現!$A$6:$A$3000,0))),"")</f>
        <v/>
      </c>
      <c r="G80" t="str">
        <f>IFERROR(IF(INDEX(營收表現!F$6:F$3000,MATCH($A80,營收表現!$A$6:$A$3000,0))="","",INDEX(營收表現!F$6:F$3000,MATCH($A80,營收表現!$A$6:$A$3000,0))),"")</f>
        <v/>
      </c>
      <c r="H80" t="str">
        <f>IFERROR(IF(INDEX(營收表現!G$6:G$3000,MATCH($A80,營收表現!$A$6:$A$3000,0))="","",INDEX(營收表現!G$6:G$3000,MATCH($A80,營收表現!$A$6:$A$3000,0))),"")</f>
        <v/>
      </c>
      <c r="I80" t="str">
        <f>IFERROR(IF(INDEX(營收表現!H$6:H$3000,MATCH($A80,營收表現!$A$6:$A$3000,0))="","",INDEX(營收表現!H$6:H$3000,MATCH($A80,營收表現!$A$6:$A$3000,0))),"")</f>
        <v/>
      </c>
      <c r="J80" t="str">
        <f>IFERROR(IF(INDEX(營收表現!I$6:I$3000,MATCH($A80,營收表現!$A$6:$A$3000,0))="","",INDEX(營收表現!I$6:I$3000,MATCH($A80,營收表現!$A$6:$A$3000,0))),"")</f>
        <v/>
      </c>
      <c r="K80" t="str">
        <f>IFERROR(IF(INDEX(營收表現!J$6:J$3000,MATCH($A80,營收表現!$A$6:$A$3000,0))="","",INDEX(營收表現!J$6:J$3000,MATCH($A80,營收表現!$A$6:$A$3000,0))),"")</f>
        <v/>
      </c>
      <c r="L80" t="str">
        <f>IFERROR(IF(INDEX(營收表現!K$6:K$3000,MATCH($A80,營收表現!$A$6:$A$3000,0))="","",INDEX(營收表現!K$6:K$3000,MATCH($A80,營收表現!$A$6:$A$3000,0))),"")</f>
        <v/>
      </c>
      <c r="M80" t="str">
        <f>IFERROR(IF(INDEX(營收表現!L$6:L$3000,MATCH($A80,營收表現!$A$6:$A$3000,0))="","",INDEX(營收表現!L$6:L$3000,MATCH($A80,營收表現!$A$6:$A$3000,0))),"")</f>
        <v/>
      </c>
      <c r="N80" t="str">
        <f>IFERROR(IF(INDEX(營收表現!M$6:M$3000,MATCH($A80,營收表現!$A$6:$A$3000,0))="","",INDEX(營收表現!M$6:M$3000,MATCH($A80,營收表現!$A$6:$A$3000,0))),"")</f>
        <v/>
      </c>
      <c r="O80" t="str">
        <f>IFERROR(IF(INDEX(營收表現!N$6:N$3000,MATCH($A80,營收表現!$A$6:$A$3000,0))="","",INDEX(營收表現!N$6:N$3000,MATCH($A80,營收表現!$A$6:$A$3000,0))),"")</f>
        <v/>
      </c>
    </row>
    <row r="81" spans="1:15">
      <c r="A81" s="2"/>
      <c r="B81" t="str">
        <f>IFERROR(INDEX(營收表現!B$6:B$3000,MATCH($A81,營收表現!$A$6:$A$3000,0)),"")</f>
        <v/>
      </c>
      <c r="C81" t="str">
        <f>IFERROR(INDEX(類別!G$4:G$3000,MATCH($A81,類別!$C$4:$C$3000,0)),"")</f>
        <v/>
      </c>
      <c r="D81" t="str">
        <f>IFERROR(IF(INDEX(營收表現!C$6:C$3000,MATCH($A81,營收表現!$A$6:$A$3000,0))="","",INDEX(營收表現!C$6:C$3000,MATCH($A81,營收表現!$A$6:$A$3000,0))),"")</f>
        <v/>
      </c>
      <c r="E81" t="str">
        <f>IFERROR(IF(INDEX(營收表現!D$6:D$3000,MATCH($A81,營收表現!$A$6:$A$3000,0))="","",INDEX(營收表現!D$6:D$3000,MATCH($A81,營收表現!$A$6:$A$3000,0))),"")</f>
        <v/>
      </c>
      <c r="F81" t="str">
        <f>IFERROR(IF(INDEX(營收表現!E$6:E$3000,MATCH($A81,營收表現!$A$6:$A$3000,0))="","",INDEX(營收表現!E$6:E$3000,MATCH($A81,營收表現!$A$6:$A$3000,0))),"")</f>
        <v/>
      </c>
      <c r="G81" t="str">
        <f>IFERROR(IF(INDEX(營收表現!F$6:F$3000,MATCH($A81,營收表現!$A$6:$A$3000,0))="","",INDEX(營收表現!F$6:F$3000,MATCH($A81,營收表現!$A$6:$A$3000,0))),"")</f>
        <v/>
      </c>
      <c r="H81" t="str">
        <f>IFERROR(IF(INDEX(營收表現!G$6:G$3000,MATCH($A81,營收表現!$A$6:$A$3000,0))="","",INDEX(營收表現!G$6:G$3000,MATCH($A81,營收表現!$A$6:$A$3000,0))),"")</f>
        <v/>
      </c>
      <c r="I81" t="str">
        <f>IFERROR(IF(INDEX(營收表現!H$6:H$3000,MATCH($A81,營收表現!$A$6:$A$3000,0))="","",INDEX(營收表現!H$6:H$3000,MATCH($A81,營收表現!$A$6:$A$3000,0))),"")</f>
        <v/>
      </c>
      <c r="J81" t="str">
        <f>IFERROR(IF(INDEX(營收表現!I$6:I$3000,MATCH($A81,營收表現!$A$6:$A$3000,0))="","",INDEX(營收表現!I$6:I$3000,MATCH($A81,營收表現!$A$6:$A$3000,0))),"")</f>
        <v/>
      </c>
      <c r="K81" t="str">
        <f>IFERROR(IF(INDEX(營收表現!J$6:J$3000,MATCH($A81,營收表現!$A$6:$A$3000,0))="","",INDEX(營收表現!J$6:J$3000,MATCH($A81,營收表現!$A$6:$A$3000,0))),"")</f>
        <v/>
      </c>
      <c r="L81" t="str">
        <f>IFERROR(IF(INDEX(營收表現!K$6:K$3000,MATCH($A81,營收表現!$A$6:$A$3000,0))="","",INDEX(營收表現!K$6:K$3000,MATCH($A81,營收表現!$A$6:$A$3000,0))),"")</f>
        <v/>
      </c>
      <c r="M81" t="str">
        <f>IFERROR(IF(INDEX(營收表現!L$6:L$3000,MATCH($A81,營收表現!$A$6:$A$3000,0))="","",INDEX(營收表現!L$6:L$3000,MATCH($A81,營收表現!$A$6:$A$3000,0))),"")</f>
        <v/>
      </c>
      <c r="N81" t="str">
        <f>IFERROR(IF(INDEX(營收表現!M$6:M$3000,MATCH($A81,營收表現!$A$6:$A$3000,0))="","",INDEX(營收表現!M$6:M$3000,MATCH($A81,營收表現!$A$6:$A$3000,0))),"")</f>
        <v/>
      </c>
      <c r="O81" t="str">
        <f>IFERROR(IF(INDEX(營收表現!N$6:N$3000,MATCH($A81,營收表現!$A$6:$A$3000,0))="","",INDEX(營收表現!N$6:N$3000,MATCH($A81,營收表現!$A$6:$A$3000,0))),"")</f>
        <v/>
      </c>
    </row>
    <row r="82" spans="1:15">
      <c r="A82" s="2"/>
      <c r="B82" t="str">
        <f>IFERROR(INDEX(營收表現!B$6:B$3000,MATCH($A82,營收表現!$A$6:$A$3000,0)),"")</f>
        <v/>
      </c>
      <c r="C82" t="str">
        <f>IFERROR(INDEX(類別!G$4:G$3000,MATCH($A82,類別!$C$4:$C$3000,0)),"")</f>
        <v/>
      </c>
      <c r="D82" t="str">
        <f>IFERROR(IF(INDEX(營收表現!C$6:C$3000,MATCH($A82,營收表現!$A$6:$A$3000,0))="","",INDEX(營收表現!C$6:C$3000,MATCH($A82,營收表現!$A$6:$A$3000,0))),"")</f>
        <v/>
      </c>
      <c r="E82" t="str">
        <f>IFERROR(IF(INDEX(營收表現!D$6:D$3000,MATCH($A82,營收表現!$A$6:$A$3000,0))="","",INDEX(營收表現!D$6:D$3000,MATCH($A82,營收表現!$A$6:$A$3000,0))),"")</f>
        <v/>
      </c>
      <c r="F82" t="str">
        <f>IFERROR(IF(INDEX(營收表現!E$6:E$3000,MATCH($A82,營收表現!$A$6:$A$3000,0))="","",INDEX(營收表現!E$6:E$3000,MATCH($A82,營收表現!$A$6:$A$3000,0))),"")</f>
        <v/>
      </c>
      <c r="G82" t="str">
        <f>IFERROR(IF(INDEX(營收表現!F$6:F$3000,MATCH($A82,營收表現!$A$6:$A$3000,0))="","",INDEX(營收表現!F$6:F$3000,MATCH($A82,營收表現!$A$6:$A$3000,0))),"")</f>
        <v/>
      </c>
      <c r="H82" t="str">
        <f>IFERROR(IF(INDEX(營收表現!G$6:G$3000,MATCH($A82,營收表現!$A$6:$A$3000,0))="","",INDEX(營收表現!G$6:G$3000,MATCH($A82,營收表現!$A$6:$A$3000,0))),"")</f>
        <v/>
      </c>
      <c r="I82" t="str">
        <f>IFERROR(IF(INDEX(營收表現!H$6:H$3000,MATCH($A82,營收表現!$A$6:$A$3000,0))="","",INDEX(營收表現!H$6:H$3000,MATCH($A82,營收表現!$A$6:$A$3000,0))),"")</f>
        <v/>
      </c>
      <c r="J82" t="str">
        <f>IFERROR(IF(INDEX(營收表現!I$6:I$3000,MATCH($A82,營收表現!$A$6:$A$3000,0))="","",INDEX(營收表現!I$6:I$3000,MATCH($A82,營收表現!$A$6:$A$3000,0))),"")</f>
        <v/>
      </c>
      <c r="K82" t="str">
        <f>IFERROR(IF(INDEX(營收表現!J$6:J$3000,MATCH($A82,營收表現!$A$6:$A$3000,0))="","",INDEX(營收表現!J$6:J$3000,MATCH($A82,營收表現!$A$6:$A$3000,0))),"")</f>
        <v/>
      </c>
      <c r="L82" t="str">
        <f>IFERROR(IF(INDEX(營收表現!K$6:K$3000,MATCH($A82,營收表現!$A$6:$A$3000,0))="","",INDEX(營收表現!K$6:K$3000,MATCH($A82,營收表現!$A$6:$A$3000,0))),"")</f>
        <v/>
      </c>
      <c r="M82" t="str">
        <f>IFERROR(IF(INDEX(營收表現!L$6:L$3000,MATCH($A82,營收表現!$A$6:$A$3000,0))="","",INDEX(營收表現!L$6:L$3000,MATCH($A82,營收表現!$A$6:$A$3000,0))),"")</f>
        <v/>
      </c>
      <c r="N82" t="str">
        <f>IFERROR(IF(INDEX(營收表現!M$6:M$3000,MATCH($A82,營收表現!$A$6:$A$3000,0))="","",INDEX(營收表現!M$6:M$3000,MATCH($A82,營收表現!$A$6:$A$3000,0))),"")</f>
        <v/>
      </c>
      <c r="O82" t="str">
        <f>IFERROR(IF(INDEX(營收表現!N$6:N$3000,MATCH($A82,營收表現!$A$6:$A$3000,0))="","",INDEX(營收表現!N$6:N$3000,MATCH($A82,營收表現!$A$6:$A$3000,0))),"")</f>
        <v/>
      </c>
    </row>
    <row r="83" spans="1:15">
      <c r="A83" s="2"/>
      <c r="B83" t="str">
        <f>IFERROR(INDEX(營收表現!B$6:B$3000,MATCH($A83,營收表現!$A$6:$A$3000,0)),"")</f>
        <v/>
      </c>
      <c r="C83" t="str">
        <f>IFERROR(INDEX(類別!G$4:G$3000,MATCH($A83,類別!$C$4:$C$3000,0)),"")</f>
        <v/>
      </c>
      <c r="D83" t="str">
        <f>IFERROR(IF(INDEX(營收表現!C$6:C$3000,MATCH($A83,營收表現!$A$6:$A$3000,0))="","",INDEX(營收表現!C$6:C$3000,MATCH($A83,營收表現!$A$6:$A$3000,0))),"")</f>
        <v/>
      </c>
      <c r="E83" t="str">
        <f>IFERROR(IF(INDEX(營收表現!D$6:D$3000,MATCH($A83,營收表現!$A$6:$A$3000,0))="","",INDEX(營收表現!D$6:D$3000,MATCH($A83,營收表現!$A$6:$A$3000,0))),"")</f>
        <v/>
      </c>
      <c r="F83" t="str">
        <f>IFERROR(IF(INDEX(營收表現!E$6:E$3000,MATCH($A83,營收表現!$A$6:$A$3000,0))="","",INDEX(營收表現!E$6:E$3000,MATCH($A83,營收表現!$A$6:$A$3000,0))),"")</f>
        <v/>
      </c>
      <c r="G83" t="str">
        <f>IFERROR(IF(INDEX(營收表現!F$6:F$3000,MATCH($A83,營收表現!$A$6:$A$3000,0))="","",INDEX(營收表現!F$6:F$3000,MATCH($A83,營收表現!$A$6:$A$3000,0))),"")</f>
        <v/>
      </c>
      <c r="H83" t="str">
        <f>IFERROR(IF(INDEX(營收表現!G$6:G$3000,MATCH($A83,營收表現!$A$6:$A$3000,0))="","",INDEX(營收表現!G$6:G$3000,MATCH($A83,營收表現!$A$6:$A$3000,0))),"")</f>
        <v/>
      </c>
      <c r="I83" t="str">
        <f>IFERROR(IF(INDEX(營收表現!H$6:H$3000,MATCH($A83,營收表現!$A$6:$A$3000,0))="","",INDEX(營收表現!H$6:H$3000,MATCH($A83,營收表現!$A$6:$A$3000,0))),"")</f>
        <v/>
      </c>
      <c r="J83" t="str">
        <f>IFERROR(IF(INDEX(營收表現!I$6:I$3000,MATCH($A83,營收表現!$A$6:$A$3000,0))="","",INDEX(營收表現!I$6:I$3000,MATCH($A83,營收表現!$A$6:$A$3000,0))),"")</f>
        <v/>
      </c>
      <c r="K83" t="str">
        <f>IFERROR(IF(INDEX(營收表現!J$6:J$3000,MATCH($A83,營收表現!$A$6:$A$3000,0))="","",INDEX(營收表現!J$6:J$3000,MATCH($A83,營收表現!$A$6:$A$3000,0))),"")</f>
        <v/>
      </c>
      <c r="L83" t="str">
        <f>IFERROR(IF(INDEX(營收表現!K$6:K$3000,MATCH($A83,營收表現!$A$6:$A$3000,0))="","",INDEX(營收表現!K$6:K$3000,MATCH($A83,營收表現!$A$6:$A$3000,0))),"")</f>
        <v/>
      </c>
      <c r="M83" t="str">
        <f>IFERROR(IF(INDEX(營收表現!L$6:L$3000,MATCH($A83,營收表現!$A$6:$A$3000,0))="","",INDEX(營收表現!L$6:L$3000,MATCH($A83,營收表現!$A$6:$A$3000,0))),"")</f>
        <v/>
      </c>
      <c r="N83" t="str">
        <f>IFERROR(IF(INDEX(營收表現!M$6:M$3000,MATCH($A83,營收表現!$A$6:$A$3000,0))="","",INDEX(營收表現!M$6:M$3000,MATCH($A83,營收表現!$A$6:$A$3000,0))),"")</f>
        <v/>
      </c>
      <c r="O83" t="str">
        <f>IFERROR(IF(INDEX(營收表現!N$6:N$3000,MATCH($A83,營收表現!$A$6:$A$3000,0))="","",INDEX(營收表現!N$6:N$3000,MATCH($A83,營收表現!$A$6:$A$3000,0))),"")</f>
        <v/>
      </c>
    </row>
    <row r="84" spans="1:15">
      <c r="A84" s="2"/>
      <c r="B84" t="str">
        <f>IFERROR(INDEX(營收表現!B$6:B$3000,MATCH($A84,營收表現!$A$6:$A$3000,0)),"")</f>
        <v/>
      </c>
      <c r="C84" t="str">
        <f>IFERROR(INDEX(類別!G$4:G$3000,MATCH($A84,類別!$C$4:$C$3000,0)),"")</f>
        <v/>
      </c>
      <c r="D84" t="str">
        <f>IFERROR(IF(INDEX(營收表現!C$6:C$3000,MATCH($A84,營收表現!$A$6:$A$3000,0))="","",INDEX(營收表現!C$6:C$3000,MATCH($A84,營收表現!$A$6:$A$3000,0))),"")</f>
        <v/>
      </c>
      <c r="E84" t="str">
        <f>IFERROR(IF(INDEX(營收表現!D$6:D$3000,MATCH($A84,營收表現!$A$6:$A$3000,0))="","",INDEX(營收表現!D$6:D$3000,MATCH($A84,營收表現!$A$6:$A$3000,0))),"")</f>
        <v/>
      </c>
      <c r="F84" t="str">
        <f>IFERROR(IF(INDEX(營收表現!E$6:E$3000,MATCH($A84,營收表現!$A$6:$A$3000,0))="","",INDEX(營收表現!E$6:E$3000,MATCH($A84,營收表現!$A$6:$A$3000,0))),"")</f>
        <v/>
      </c>
      <c r="G84" t="str">
        <f>IFERROR(IF(INDEX(營收表現!F$6:F$3000,MATCH($A84,營收表現!$A$6:$A$3000,0))="","",INDEX(營收表現!F$6:F$3000,MATCH($A84,營收表現!$A$6:$A$3000,0))),"")</f>
        <v/>
      </c>
      <c r="H84" t="str">
        <f>IFERROR(IF(INDEX(營收表現!G$6:G$3000,MATCH($A84,營收表現!$A$6:$A$3000,0))="","",INDEX(營收表現!G$6:G$3000,MATCH($A84,營收表現!$A$6:$A$3000,0))),"")</f>
        <v/>
      </c>
      <c r="I84" t="str">
        <f>IFERROR(IF(INDEX(營收表現!H$6:H$3000,MATCH($A84,營收表現!$A$6:$A$3000,0))="","",INDEX(營收表現!H$6:H$3000,MATCH($A84,營收表現!$A$6:$A$3000,0))),"")</f>
        <v/>
      </c>
      <c r="J84" t="str">
        <f>IFERROR(IF(INDEX(營收表現!I$6:I$3000,MATCH($A84,營收表現!$A$6:$A$3000,0))="","",INDEX(營收表現!I$6:I$3000,MATCH($A84,營收表現!$A$6:$A$3000,0))),"")</f>
        <v/>
      </c>
      <c r="K84" t="str">
        <f>IFERROR(IF(INDEX(營收表現!J$6:J$3000,MATCH($A84,營收表現!$A$6:$A$3000,0))="","",INDEX(營收表現!J$6:J$3000,MATCH($A84,營收表現!$A$6:$A$3000,0))),"")</f>
        <v/>
      </c>
      <c r="L84" t="str">
        <f>IFERROR(IF(INDEX(營收表現!K$6:K$3000,MATCH($A84,營收表現!$A$6:$A$3000,0))="","",INDEX(營收表現!K$6:K$3000,MATCH($A84,營收表現!$A$6:$A$3000,0))),"")</f>
        <v/>
      </c>
      <c r="M84" t="str">
        <f>IFERROR(IF(INDEX(營收表現!L$6:L$3000,MATCH($A84,營收表現!$A$6:$A$3000,0))="","",INDEX(營收表現!L$6:L$3000,MATCH($A84,營收表現!$A$6:$A$3000,0))),"")</f>
        <v/>
      </c>
      <c r="N84" t="str">
        <f>IFERROR(IF(INDEX(營收表現!M$6:M$3000,MATCH($A84,營收表現!$A$6:$A$3000,0))="","",INDEX(營收表現!M$6:M$3000,MATCH($A84,營收表現!$A$6:$A$3000,0))),"")</f>
        <v/>
      </c>
      <c r="O84" t="str">
        <f>IFERROR(IF(INDEX(營收表現!N$6:N$3000,MATCH($A84,營收表現!$A$6:$A$3000,0))="","",INDEX(營收表現!N$6:N$3000,MATCH($A84,營收表現!$A$6:$A$3000,0))),"")</f>
        <v/>
      </c>
    </row>
    <row r="85" spans="1:15">
      <c r="A85" s="2"/>
      <c r="B85" t="str">
        <f>IFERROR(INDEX(營收表現!B$6:B$3000,MATCH($A85,營收表現!$A$6:$A$3000,0)),"")</f>
        <v/>
      </c>
      <c r="C85" t="str">
        <f>IFERROR(INDEX(類別!G$4:G$3000,MATCH($A85,類別!$C$4:$C$3000,0)),"")</f>
        <v/>
      </c>
      <c r="D85" t="str">
        <f>IFERROR(IF(INDEX(營收表現!C$6:C$3000,MATCH($A85,營收表現!$A$6:$A$3000,0))="","",INDEX(營收表現!C$6:C$3000,MATCH($A85,營收表現!$A$6:$A$3000,0))),"")</f>
        <v/>
      </c>
      <c r="E85" t="str">
        <f>IFERROR(IF(INDEX(營收表現!D$6:D$3000,MATCH($A85,營收表現!$A$6:$A$3000,0))="","",INDEX(營收表現!D$6:D$3000,MATCH($A85,營收表現!$A$6:$A$3000,0))),"")</f>
        <v/>
      </c>
      <c r="F85" t="str">
        <f>IFERROR(IF(INDEX(營收表現!E$6:E$3000,MATCH($A85,營收表現!$A$6:$A$3000,0))="","",INDEX(營收表現!E$6:E$3000,MATCH($A85,營收表現!$A$6:$A$3000,0))),"")</f>
        <v/>
      </c>
      <c r="G85" t="str">
        <f>IFERROR(IF(INDEX(營收表現!F$6:F$3000,MATCH($A85,營收表現!$A$6:$A$3000,0))="","",INDEX(營收表現!F$6:F$3000,MATCH($A85,營收表現!$A$6:$A$3000,0))),"")</f>
        <v/>
      </c>
      <c r="H85" t="str">
        <f>IFERROR(IF(INDEX(營收表現!G$6:G$3000,MATCH($A85,營收表現!$A$6:$A$3000,0))="","",INDEX(營收表現!G$6:G$3000,MATCH($A85,營收表現!$A$6:$A$3000,0))),"")</f>
        <v/>
      </c>
      <c r="I85" t="str">
        <f>IFERROR(IF(INDEX(營收表現!H$6:H$3000,MATCH($A85,營收表現!$A$6:$A$3000,0))="","",INDEX(營收表現!H$6:H$3000,MATCH($A85,營收表現!$A$6:$A$3000,0))),"")</f>
        <v/>
      </c>
      <c r="J85" t="str">
        <f>IFERROR(IF(INDEX(營收表現!I$6:I$3000,MATCH($A85,營收表現!$A$6:$A$3000,0))="","",INDEX(營收表現!I$6:I$3000,MATCH($A85,營收表現!$A$6:$A$3000,0))),"")</f>
        <v/>
      </c>
      <c r="K85" t="str">
        <f>IFERROR(IF(INDEX(營收表現!J$6:J$3000,MATCH($A85,營收表現!$A$6:$A$3000,0))="","",INDEX(營收表現!J$6:J$3000,MATCH($A85,營收表現!$A$6:$A$3000,0))),"")</f>
        <v/>
      </c>
      <c r="L85" t="str">
        <f>IFERROR(IF(INDEX(營收表現!K$6:K$3000,MATCH($A85,營收表現!$A$6:$A$3000,0))="","",INDEX(營收表現!K$6:K$3000,MATCH($A85,營收表現!$A$6:$A$3000,0))),"")</f>
        <v/>
      </c>
      <c r="M85" t="str">
        <f>IFERROR(IF(INDEX(營收表現!L$6:L$3000,MATCH($A85,營收表現!$A$6:$A$3000,0))="","",INDEX(營收表現!L$6:L$3000,MATCH($A85,營收表現!$A$6:$A$3000,0))),"")</f>
        <v/>
      </c>
      <c r="N85" t="str">
        <f>IFERROR(IF(INDEX(營收表現!M$6:M$3000,MATCH($A85,營收表現!$A$6:$A$3000,0))="","",INDEX(營收表現!M$6:M$3000,MATCH($A85,營收表現!$A$6:$A$3000,0))),"")</f>
        <v/>
      </c>
      <c r="O85" t="str">
        <f>IFERROR(IF(INDEX(營收表現!N$6:N$3000,MATCH($A85,營收表現!$A$6:$A$3000,0))="","",INDEX(營收表現!N$6:N$3000,MATCH($A85,營收表現!$A$6:$A$3000,0))),"")</f>
        <v/>
      </c>
    </row>
    <row r="86" spans="1:15">
      <c r="A86" s="2"/>
      <c r="B86" t="str">
        <f>IFERROR(INDEX(營收表現!B$6:B$3000,MATCH($A86,營收表現!$A$6:$A$3000,0)),"")</f>
        <v/>
      </c>
      <c r="C86" t="str">
        <f>IFERROR(INDEX(類別!G$4:G$3000,MATCH($A86,類別!$C$4:$C$3000,0)),"")</f>
        <v/>
      </c>
      <c r="D86" t="str">
        <f>IFERROR(IF(INDEX(營收表現!C$6:C$3000,MATCH($A86,營收表現!$A$6:$A$3000,0))="","",INDEX(營收表現!C$6:C$3000,MATCH($A86,營收表現!$A$6:$A$3000,0))),"")</f>
        <v/>
      </c>
      <c r="E86" t="str">
        <f>IFERROR(IF(INDEX(營收表現!D$6:D$3000,MATCH($A86,營收表現!$A$6:$A$3000,0))="","",INDEX(營收表現!D$6:D$3000,MATCH($A86,營收表現!$A$6:$A$3000,0))),"")</f>
        <v/>
      </c>
      <c r="F86" t="str">
        <f>IFERROR(IF(INDEX(營收表現!E$6:E$3000,MATCH($A86,營收表現!$A$6:$A$3000,0))="","",INDEX(營收表現!E$6:E$3000,MATCH($A86,營收表現!$A$6:$A$3000,0))),"")</f>
        <v/>
      </c>
      <c r="G86" t="str">
        <f>IFERROR(IF(INDEX(營收表現!F$6:F$3000,MATCH($A86,營收表現!$A$6:$A$3000,0))="","",INDEX(營收表現!F$6:F$3000,MATCH($A86,營收表現!$A$6:$A$3000,0))),"")</f>
        <v/>
      </c>
      <c r="H86" t="str">
        <f>IFERROR(IF(INDEX(營收表現!G$6:G$3000,MATCH($A86,營收表現!$A$6:$A$3000,0))="","",INDEX(營收表現!G$6:G$3000,MATCH($A86,營收表現!$A$6:$A$3000,0))),"")</f>
        <v/>
      </c>
      <c r="I86" t="str">
        <f>IFERROR(IF(INDEX(營收表現!H$6:H$3000,MATCH($A86,營收表現!$A$6:$A$3000,0))="","",INDEX(營收表現!H$6:H$3000,MATCH($A86,營收表現!$A$6:$A$3000,0))),"")</f>
        <v/>
      </c>
      <c r="J86" t="str">
        <f>IFERROR(IF(INDEX(營收表現!I$6:I$3000,MATCH($A86,營收表現!$A$6:$A$3000,0))="","",INDEX(營收表現!I$6:I$3000,MATCH($A86,營收表現!$A$6:$A$3000,0))),"")</f>
        <v/>
      </c>
      <c r="K86" t="str">
        <f>IFERROR(IF(INDEX(營收表現!J$6:J$3000,MATCH($A86,營收表現!$A$6:$A$3000,0))="","",INDEX(營收表現!J$6:J$3000,MATCH($A86,營收表現!$A$6:$A$3000,0))),"")</f>
        <v/>
      </c>
      <c r="L86" t="str">
        <f>IFERROR(IF(INDEX(營收表現!K$6:K$3000,MATCH($A86,營收表現!$A$6:$A$3000,0))="","",INDEX(營收表現!K$6:K$3000,MATCH($A86,營收表現!$A$6:$A$3000,0))),"")</f>
        <v/>
      </c>
      <c r="M86" t="str">
        <f>IFERROR(IF(INDEX(營收表現!L$6:L$3000,MATCH($A86,營收表現!$A$6:$A$3000,0))="","",INDEX(營收表現!L$6:L$3000,MATCH($A86,營收表現!$A$6:$A$3000,0))),"")</f>
        <v/>
      </c>
      <c r="N86" t="str">
        <f>IFERROR(IF(INDEX(營收表現!M$6:M$3000,MATCH($A86,營收表現!$A$6:$A$3000,0))="","",INDEX(營收表現!M$6:M$3000,MATCH($A86,營收表現!$A$6:$A$3000,0))),"")</f>
        <v/>
      </c>
      <c r="O86" t="str">
        <f>IFERROR(IF(INDEX(營收表現!N$6:N$3000,MATCH($A86,營收表現!$A$6:$A$3000,0))="","",INDEX(營收表現!N$6:N$3000,MATCH($A86,營收表現!$A$6:$A$3000,0))),"")</f>
        <v/>
      </c>
    </row>
    <row r="87" spans="1:15">
      <c r="A87" s="2"/>
      <c r="B87" t="str">
        <f>IFERROR(INDEX(營收表現!B$6:B$3000,MATCH($A87,營收表現!$A$6:$A$3000,0)),"")</f>
        <v/>
      </c>
      <c r="C87" t="str">
        <f>IFERROR(INDEX(類別!G$4:G$3000,MATCH($A87,類別!$C$4:$C$3000,0)),"")</f>
        <v/>
      </c>
      <c r="D87" t="str">
        <f>IFERROR(IF(INDEX(營收表現!C$6:C$3000,MATCH($A87,營收表現!$A$6:$A$3000,0))="","",INDEX(營收表現!C$6:C$3000,MATCH($A87,營收表現!$A$6:$A$3000,0))),"")</f>
        <v/>
      </c>
      <c r="E87" t="str">
        <f>IFERROR(IF(INDEX(營收表現!D$6:D$3000,MATCH($A87,營收表現!$A$6:$A$3000,0))="","",INDEX(營收表現!D$6:D$3000,MATCH($A87,營收表現!$A$6:$A$3000,0))),"")</f>
        <v/>
      </c>
      <c r="F87" t="str">
        <f>IFERROR(IF(INDEX(營收表現!E$6:E$3000,MATCH($A87,營收表現!$A$6:$A$3000,0))="","",INDEX(營收表現!E$6:E$3000,MATCH($A87,營收表現!$A$6:$A$3000,0))),"")</f>
        <v/>
      </c>
      <c r="G87" t="str">
        <f>IFERROR(IF(INDEX(營收表現!F$6:F$3000,MATCH($A87,營收表現!$A$6:$A$3000,0))="","",INDEX(營收表現!F$6:F$3000,MATCH($A87,營收表現!$A$6:$A$3000,0))),"")</f>
        <v/>
      </c>
      <c r="H87" t="str">
        <f>IFERROR(IF(INDEX(營收表現!G$6:G$3000,MATCH($A87,營收表現!$A$6:$A$3000,0))="","",INDEX(營收表現!G$6:G$3000,MATCH($A87,營收表現!$A$6:$A$3000,0))),"")</f>
        <v/>
      </c>
      <c r="I87" t="str">
        <f>IFERROR(IF(INDEX(營收表現!H$6:H$3000,MATCH($A87,營收表現!$A$6:$A$3000,0))="","",INDEX(營收表現!H$6:H$3000,MATCH($A87,營收表現!$A$6:$A$3000,0))),"")</f>
        <v/>
      </c>
      <c r="J87" t="str">
        <f>IFERROR(IF(INDEX(營收表現!I$6:I$3000,MATCH($A87,營收表現!$A$6:$A$3000,0))="","",INDEX(營收表現!I$6:I$3000,MATCH($A87,營收表現!$A$6:$A$3000,0))),"")</f>
        <v/>
      </c>
      <c r="K87" t="str">
        <f>IFERROR(IF(INDEX(營收表現!J$6:J$3000,MATCH($A87,營收表現!$A$6:$A$3000,0))="","",INDEX(營收表現!J$6:J$3000,MATCH($A87,營收表現!$A$6:$A$3000,0))),"")</f>
        <v/>
      </c>
      <c r="L87" t="str">
        <f>IFERROR(IF(INDEX(營收表現!K$6:K$3000,MATCH($A87,營收表現!$A$6:$A$3000,0))="","",INDEX(營收表現!K$6:K$3000,MATCH($A87,營收表現!$A$6:$A$3000,0))),"")</f>
        <v/>
      </c>
      <c r="M87" t="str">
        <f>IFERROR(IF(INDEX(營收表現!L$6:L$3000,MATCH($A87,營收表現!$A$6:$A$3000,0))="","",INDEX(營收表現!L$6:L$3000,MATCH($A87,營收表現!$A$6:$A$3000,0))),"")</f>
        <v/>
      </c>
      <c r="N87" t="str">
        <f>IFERROR(IF(INDEX(營收表現!M$6:M$3000,MATCH($A87,營收表現!$A$6:$A$3000,0))="","",INDEX(營收表現!M$6:M$3000,MATCH($A87,營收表現!$A$6:$A$3000,0))),"")</f>
        <v/>
      </c>
      <c r="O87" t="str">
        <f>IFERROR(IF(INDEX(營收表現!N$6:N$3000,MATCH($A87,營收表現!$A$6:$A$3000,0))="","",INDEX(營收表現!N$6:N$3000,MATCH($A87,營收表現!$A$6:$A$3000,0))),"")</f>
        <v/>
      </c>
    </row>
    <row r="88" spans="1:15">
      <c r="A88" s="2"/>
      <c r="B88" t="str">
        <f>IFERROR(INDEX(營收表現!B$6:B$3000,MATCH($A88,營收表現!$A$6:$A$3000,0)),"")</f>
        <v/>
      </c>
      <c r="C88" t="str">
        <f>IFERROR(INDEX(類別!G$4:G$3000,MATCH($A88,類別!$C$4:$C$3000,0)),"")</f>
        <v/>
      </c>
      <c r="D88" t="str">
        <f>IFERROR(IF(INDEX(營收表現!C$6:C$3000,MATCH($A88,營收表現!$A$6:$A$3000,0))="","",INDEX(營收表現!C$6:C$3000,MATCH($A88,營收表現!$A$6:$A$3000,0))),"")</f>
        <v/>
      </c>
      <c r="E88" t="str">
        <f>IFERROR(IF(INDEX(營收表現!D$6:D$3000,MATCH($A88,營收表現!$A$6:$A$3000,0))="","",INDEX(營收表現!D$6:D$3000,MATCH($A88,營收表現!$A$6:$A$3000,0))),"")</f>
        <v/>
      </c>
      <c r="F88" t="str">
        <f>IFERROR(IF(INDEX(營收表現!E$6:E$3000,MATCH($A88,營收表現!$A$6:$A$3000,0))="","",INDEX(營收表現!E$6:E$3000,MATCH($A88,營收表現!$A$6:$A$3000,0))),"")</f>
        <v/>
      </c>
      <c r="G88" t="str">
        <f>IFERROR(IF(INDEX(營收表現!F$6:F$3000,MATCH($A88,營收表現!$A$6:$A$3000,0))="","",INDEX(營收表現!F$6:F$3000,MATCH($A88,營收表現!$A$6:$A$3000,0))),"")</f>
        <v/>
      </c>
      <c r="H88" t="str">
        <f>IFERROR(IF(INDEX(營收表現!G$6:G$3000,MATCH($A88,營收表現!$A$6:$A$3000,0))="","",INDEX(營收表現!G$6:G$3000,MATCH($A88,營收表現!$A$6:$A$3000,0))),"")</f>
        <v/>
      </c>
      <c r="I88" t="str">
        <f>IFERROR(IF(INDEX(營收表現!H$6:H$3000,MATCH($A88,營收表現!$A$6:$A$3000,0))="","",INDEX(營收表現!H$6:H$3000,MATCH($A88,營收表現!$A$6:$A$3000,0))),"")</f>
        <v/>
      </c>
      <c r="J88" t="str">
        <f>IFERROR(IF(INDEX(營收表現!I$6:I$3000,MATCH($A88,營收表現!$A$6:$A$3000,0))="","",INDEX(營收表現!I$6:I$3000,MATCH($A88,營收表現!$A$6:$A$3000,0))),"")</f>
        <v/>
      </c>
      <c r="K88" t="str">
        <f>IFERROR(IF(INDEX(營收表現!J$6:J$3000,MATCH($A88,營收表現!$A$6:$A$3000,0))="","",INDEX(營收表現!J$6:J$3000,MATCH($A88,營收表現!$A$6:$A$3000,0))),"")</f>
        <v/>
      </c>
      <c r="L88" t="str">
        <f>IFERROR(IF(INDEX(營收表現!K$6:K$3000,MATCH($A88,營收表現!$A$6:$A$3000,0))="","",INDEX(營收表現!K$6:K$3000,MATCH($A88,營收表現!$A$6:$A$3000,0))),"")</f>
        <v/>
      </c>
      <c r="M88" t="str">
        <f>IFERROR(IF(INDEX(營收表現!L$6:L$3000,MATCH($A88,營收表現!$A$6:$A$3000,0))="","",INDEX(營收表現!L$6:L$3000,MATCH($A88,營收表現!$A$6:$A$3000,0))),"")</f>
        <v/>
      </c>
      <c r="N88" t="str">
        <f>IFERROR(IF(INDEX(營收表現!M$6:M$3000,MATCH($A88,營收表現!$A$6:$A$3000,0))="","",INDEX(營收表現!M$6:M$3000,MATCH($A88,營收表現!$A$6:$A$3000,0))),"")</f>
        <v/>
      </c>
      <c r="O88" t="str">
        <f>IFERROR(IF(INDEX(營收表現!N$6:N$3000,MATCH($A88,營收表現!$A$6:$A$3000,0))="","",INDEX(營收表現!N$6:N$3000,MATCH($A88,營收表現!$A$6:$A$3000,0))),"")</f>
        <v/>
      </c>
    </row>
    <row r="89" spans="1:15">
      <c r="A89" s="2"/>
      <c r="B89" t="str">
        <f>IFERROR(INDEX(營收表現!B$6:B$3000,MATCH($A89,營收表現!$A$6:$A$3000,0)),"")</f>
        <v/>
      </c>
      <c r="C89" t="str">
        <f>IFERROR(INDEX(類別!G$4:G$3000,MATCH($A89,類別!$C$4:$C$3000,0)),"")</f>
        <v/>
      </c>
      <c r="D89" t="str">
        <f>IFERROR(IF(INDEX(營收表現!C$6:C$3000,MATCH($A89,營收表現!$A$6:$A$3000,0))="","",INDEX(營收表現!C$6:C$3000,MATCH($A89,營收表現!$A$6:$A$3000,0))),"")</f>
        <v/>
      </c>
      <c r="E89" t="str">
        <f>IFERROR(IF(INDEX(營收表現!D$6:D$3000,MATCH($A89,營收表現!$A$6:$A$3000,0))="","",INDEX(營收表現!D$6:D$3000,MATCH($A89,營收表現!$A$6:$A$3000,0))),"")</f>
        <v/>
      </c>
      <c r="F89" t="str">
        <f>IFERROR(IF(INDEX(營收表現!E$6:E$3000,MATCH($A89,營收表現!$A$6:$A$3000,0))="","",INDEX(營收表現!E$6:E$3000,MATCH($A89,營收表現!$A$6:$A$3000,0))),"")</f>
        <v/>
      </c>
      <c r="G89" t="str">
        <f>IFERROR(IF(INDEX(營收表現!F$6:F$3000,MATCH($A89,營收表現!$A$6:$A$3000,0))="","",INDEX(營收表現!F$6:F$3000,MATCH($A89,營收表現!$A$6:$A$3000,0))),"")</f>
        <v/>
      </c>
      <c r="H89" t="str">
        <f>IFERROR(IF(INDEX(營收表現!G$6:G$3000,MATCH($A89,營收表現!$A$6:$A$3000,0))="","",INDEX(營收表現!G$6:G$3000,MATCH($A89,營收表現!$A$6:$A$3000,0))),"")</f>
        <v/>
      </c>
      <c r="I89" t="str">
        <f>IFERROR(IF(INDEX(營收表現!H$6:H$3000,MATCH($A89,營收表現!$A$6:$A$3000,0))="","",INDEX(營收表現!H$6:H$3000,MATCH($A89,營收表現!$A$6:$A$3000,0))),"")</f>
        <v/>
      </c>
      <c r="J89" t="str">
        <f>IFERROR(IF(INDEX(營收表現!I$6:I$3000,MATCH($A89,營收表現!$A$6:$A$3000,0))="","",INDEX(營收表現!I$6:I$3000,MATCH($A89,營收表現!$A$6:$A$3000,0))),"")</f>
        <v/>
      </c>
      <c r="K89" t="str">
        <f>IFERROR(IF(INDEX(營收表現!J$6:J$3000,MATCH($A89,營收表現!$A$6:$A$3000,0))="","",INDEX(營收表現!J$6:J$3000,MATCH($A89,營收表現!$A$6:$A$3000,0))),"")</f>
        <v/>
      </c>
      <c r="L89" t="str">
        <f>IFERROR(IF(INDEX(營收表現!K$6:K$3000,MATCH($A89,營收表現!$A$6:$A$3000,0))="","",INDEX(營收表現!K$6:K$3000,MATCH($A89,營收表現!$A$6:$A$3000,0))),"")</f>
        <v/>
      </c>
      <c r="M89" t="str">
        <f>IFERROR(IF(INDEX(營收表現!L$6:L$3000,MATCH($A89,營收表現!$A$6:$A$3000,0))="","",INDEX(營收表現!L$6:L$3000,MATCH($A89,營收表現!$A$6:$A$3000,0))),"")</f>
        <v/>
      </c>
      <c r="N89" t="str">
        <f>IFERROR(IF(INDEX(營收表現!M$6:M$3000,MATCH($A89,營收表現!$A$6:$A$3000,0))="","",INDEX(營收表現!M$6:M$3000,MATCH($A89,營收表現!$A$6:$A$3000,0))),"")</f>
        <v/>
      </c>
      <c r="O89" t="str">
        <f>IFERROR(IF(INDEX(營收表現!N$6:N$3000,MATCH($A89,營收表現!$A$6:$A$3000,0))="","",INDEX(營收表現!N$6:N$3000,MATCH($A89,營收表現!$A$6:$A$3000,0))),"")</f>
        <v/>
      </c>
    </row>
    <row r="90" spans="1:15">
      <c r="A90" s="2"/>
      <c r="B90" t="str">
        <f>IFERROR(INDEX(營收表現!B$6:B$3000,MATCH($A90,營收表現!$A$6:$A$3000,0)),"")</f>
        <v/>
      </c>
      <c r="C90" t="str">
        <f>IFERROR(INDEX(類別!G$4:G$3000,MATCH($A90,類別!$C$4:$C$3000,0)),"")</f>
        <v/>
      </c>
      <c r="D90" t="str">
        <f>IFERROR(IF(INDEX(營收表現!C$6:C$3000,MATCH($A90,營收表現!$A$6:$A$3000,0))="","",INDEX(營收表現!C$6:C$3000,MATCH($A90,營收表現!$A$6:$A$3000,0))),"")</f>
        <v/>
      </c>
      <c r="E90" t="str">
        <f>IFERROR(IF(INDEX(營收表現!D$6:D$3000,MATCH($A90,營收表現!$A$6:$A$3000,0))="","",INDEX(營收表現!D$6:D$3000,MATCH($A90,營收表現!$A$6:$A$3000,0))),"")</f>
        <v/>
      </c>
      <c r="F90" t="str">
        <f>IFERROR(IF(INDEX(營收表現!E$6:E$3000,MATCH($A90,營收表現!$A$6:$A$3000,0))="","",INDEX(營收表現!E$6:E$3000,MATCH($A90,營收表現!$A$6:$A$3000,0))),"")</f>
        <v/>
      </c>
      <c r="G90" t="str">
        <f>IFERROR(IF(INDEX(營收表現!F$6:F$3000,MATCH($A90,營收表現!$A$6:$A$3000,0))="","",INDEX(營收表現!F$6:F$3000,MATCH($A90,營收表現!$A$6:$A$3000,0))),"")</f>
        <v/>
      </c>
      <c r="H90" t="str">
        <f>IFERROR(IF(INDEX(營收表現!G$6:G$3000,MATCH($A90,營收表現!$A$6:$A$3000,0))="","",INDEX(營收表現!G$6:G$3000,MATCH($A90,營收表現!$A$6:$A$3000,0))),"")</f>
        <v/>
      </c>
      <c r="I90" t="str">
        <f>IFERROR(IF(INDEX(營收表現!H$6:H$3000,MATCH($A90,營收表現!$A$6:$A$3000,0))="","",INDEX(營收表現!H$6:H$3000,MATCH($A90,營收表現!$A$6:$A$3000,0))),"")</f>
        <v/>
      </c>
      <c r="J90" t="str">
        <f>IFERROR(IF(INDEX(營收表現!I$6:I$3000,MATCH($A90,營收表現!$A$6:$A$3000,0))="","",INDEX(營收表現!I$6:I$3000,MATCH($A90,營收表現!$A$6:$A$3000,0))),"")</f>
        <v/>
      </c>
      <c r="K90" t="str">
        <f>IFERROR(IF(INDEX(營收表現!J$6:J$3000,MATCH($A90,營收表現!$A$6:$A$3000,0))="","",INDEX(營收表現!J$6:J$3000,MATCH($A90,營收表現!$A$6:$A$3000,0))),"")</f>
        <v/>
      </c>
      <c r="L90" t="str">
        <f>IFERROR(IF(INDEX(營收表現!K$6:K$3000,MATCH($A90,營收表現!$A$6:$A$3000,0))="","",INDEX(營收表現!K$6:K$3000,MATCH($A90,營收表現!$A$6:$A$3000,0))),"")</f>
        <v/>
      </c>
      <c r="M90" t="str">
        <f>IFERROR(IF(INDEX(營收表現!L$6:L$3000,MATCH($A90,營收表現!$A$6:$A$3000,0))="","",INDEX(營收表現!L$6:L$3000,MATCH($A90,營收表現!$A$6:$A$3000,0))),"")</f>
        <v/>
      </c>
      <c r="N90" t="str">
        <f>IFERROR(IF(INDEX(營收表現!M$6:M$3000,MATCH($A90,營收表現!$A$6:$A$3000,0))="","",INDEX(營收表現!M$6:M$3000,MATCH($A90,營收表現!$A$6:$A$3000,0))),"")</f>
        <v/>
      </c>
      <c r="O90" t="str">
        <f>IFERROR(IF(INDEX(營收表現!N$6:N$3000,MATCH($A90,營收表現!$A$6:$A$3000,0))="","",INDEX(營收表現!N$6:N$3000,MATCH($A90,營收表現!$A$6:$A$3000,0))),"")</f>
        <v/>
      </c>
    </row>
    <row r="91" spans="1:15">
      <c r="A91" s="2"/>
      <c r="B91" t="str">
        <f>IFERROR(INDEX(營收表現!B$6:B$3000,MATCH($A91,營收表現!$A$6:$A$3000,0)),"")</f>
        <v/>
      </c>
      <c r="C91" t="str">
        <f>IFERROR(INDEX(類別!G$4:G$3000,MATCH($A91,類別!$C$4:$C$3000,0)),"")</f>
        <v/>
      </c>
      <c r="D91" t="str">
        <f>IFERROR(IF(INDEX(營收表現!C$6:C$3000,MATCH($A91,營收表現!$A$6:$A$3000,0))="","",INDEX(營收表現!C$6:C$3000,MATCH($A91,營收表現!$A$6:$A$3000,0))),"")</f>
        <v/>
      </c>
      <c r="E91" t="str">
        <f>IFERROR(IF(INDEX(營收表現!D$6:D$3000,MATCH($A91,營收表現!$A$6:$A$3000,0))="","",INDEX(營收表現!D$6:D$3000,MATCH($A91,營收表現!$A$6:$A$3000,0))),"")</f>
        <v/>
      </c>
      <c r="F91" t="str">
        <f>IFERROR(IF(INDEX(營收表現!E$6:E$3000,MATCH($A91,營收表現!$A$6:$A$3000,0))="","",INDEX(營收表現!E$6:E$3000,MATCH($A91,營收表現!$A$6:$A$3000,0))),"")</f>
        <v/>
      </c>
      <c r="G91" t="str">
        <f>IFERROR(IF(INDEX(營收表現!F$6:F$3000,MATCH($A91,營收表現!$A$6:$A$3000,0))="","",INDEX(營收表現!F$6:F$3000,MATCH($A91,營收表現!$A$6:$A$3000,0))),"")</f>
        <v/>
      </c>
      <c r="H91" t="str">
        <f>IFERROR(IF(INDEX(營收表現!G$6:G$3000,MATCH($A91,營收表現!$A$6:$A$3000,0))="","",INDEX(營收表現!G$6:G$3000,MATCH($A91,營收表現!$A$6:$A$3000,0))),"")</f>
        <v/>
      </c>
      <c r="I91" t="str">
        <f>IFERROR(IF(INDEX(營收表現!H$6:H$3000,MATCH($A91,營收表現!$A$6:$A$3000,0))="","",INDEX(營收表現!H$6:H$3000,MATCH($A91,營收表現!$A$6:$A$3000,0))),"")</f>
        <v/>
      </c>
      <c r="J91" t="str">
        <f>IFERROR(IF(INDEX(營收表現!I$6:I$3000,MATCH($A91,營收表現!$A$6:$A$3000,0))="","",INDEX(營收表現!I$6:I$3000,MATCH($A91,營收表現!$A$6:$A$3000,0))),"")</f>
        <v/>
      </c>
      <c r="K91" t="str">
        <f>IFERROR(IF(INDEX(營收表現!J$6:J$3000,MATCH($A91,營收表現!$A$6:$A$3000,0))="","",INDEX(營收表現!J$6:J$3000,MATCH($A91,營收表現!$A$6:$A$3000,0))),"")</f>
        <v/>
      </c>
      <c r="L91" t="str">
        <f>IFERROR(IF(INDEX(營收表現!K$6:K$3000,MATCH($A91,營收表現!$A$6:$A$3000,0))="","",INDEX(營收表現!K$6:K$3000,MATCH($A91,營收表現!$A$6:$A$3000,0))),"")</f>
        <v/>
      </c>
      <c r="M91" t="str">
        <f>IFERROR(IF(INDEX(營收表現!L$6:L$3000,MATCH($A91,營收表現!$A$6:$A$3000,0))="","",INDEX(營收表現!L$6:L$3000,MATCH($A91,營收表現!$A$6:$A$3000,0))),"")</f>
        <v/>
      </c>
      <c r="N91" t="str">
        <f>IFERROR(IF(INDEX(營收表現!M$6:M$3000,MATCH($A91,營收表現!$A$6:$A$3000,0))="","",INDEX(營收表現!M$6:M$3000,MATCH($A91,營收表現!$A$6:$A$3000,0))),"")</f>
        <v/>
      </c>
      <c r="O91" t="str">
        <f>IFERROR(IF(INDEX(營收表現!N$6:N$3000,MATCH($A91,營收表現!$A$6:$A$3000,0))="","",INDEX(營收表現!N$6:N$3000,MATCH($A91,營收表現!$A$6:$A$3000,0))),"")</f>
        <v/>
      </c>
    </row>
    <row r="92" spans="1:15">
      <c r="A92" s="2"/>
      <c r="B92" t="str">
        <f>IFERROR(INDEX(營收表現!B$6:B$3000,MATCH($A92,營收表現!$A$6:$A$3000,0)),"")</f>
        <v/>
      </c>
      <c r="C92" t="str">
        <f>IFERROR(INDEX(類別!G$4:G$3000,MATCH($A92,類別!$C$4:$C$3000,0)),"")</f>
        <v/>
      </c>
      <c r="D92" t="str">
        <f>IFERROR(IF(INDEX(營收表現!C$6:C$3000,MATCH($A92,營收表現!$A$6:$A$3000,0))="","",INDEX(營收表現!C$6:C$3000,MATCH($A92,營收表現!$A$6:$A$3000,0))),"")</f>
        <v/>
      </c>
      <c r="E92" t="str">
        <f>IFERROR(IF(INDEX(營收表現!D$6:D$3000,MATCH($A92,營收表現!$A$6:$A$3000,0))="","",INDEX(營收表現!D$6:D$3000,MATCH($A92,營收表現!$A$6:$A$3000,0))),"")</f>
        <v/>
      </c>
      <c r="F92" t="str">
        <f>IFERROR(IF(INDEX(營收表現!E$6:E$3000,MATCH($A92,營收表現!$A$6:$A$3000,0))="","",INDEX(營收表現!E$6:E$3000,MATCH($A92,營收表現!$A$6:$A$3000,0))),"")</f>
        <v/>
      </c>
      <c r="G92" t="str">
        <f>IFERROR(IF(INDEX(營收表現!F$6:F$3000,MATCH($A92,營收表現!$A$6:$A$3000,0))="","",INDEX(營收表現!F$6:F$3000,MATCH($A92,營收表現!$A$6:$A$3000,0))),"")</f>
        <v/>
      </c>
      <c r="H92" t="str">
        <f>IFERROR(IF(INDEX(營收表現!G$6:G$3000,MATCH($A92,營收表現!$A$6:$A$3000,0))="","",INDEX(營收表現!G$6:G$3000,MATCH($A92,營收表現!$A$6:$A$3000,0))),"")</f>
        <v/>
      </c>
      <c r="I92" t="str">
        <f>IFERROR(IF(INDEX(營收表現!H$6:H$3000,MATCH($A92,營收表現!$A$6:$A$3000,0))="","",INDEX(營收表現!H$6:H$3000,MATCH($A92,營收表現!$A$6:$A$3000,0))),"")</f>
        <v/>
      </c>
      <c r="J92" t="str">
        <f>IFERROR(IF(INDEX(營收表現!I$6:I$3000,MATCH($A92,營收表現!$A$6:$A$3000,0))="","",INDEX(營收表現!I$6:I$3000,MATCH($A92,營收表現!$A$6:$A$3000,0))),"")</f>
        <v/>
      </c>
      <c r="K92" t="str">
        <f>IFERROR(IF(INDEX(營收表現!J$6:J$3000,MATCH($A92,營收表現!$A$6:$A$3000,0))="","",INDEX(營收表現!J$6:J$3000,MATCH($A92,營收表現!$A$6:$A$3000,0))),"")</f>
        <v/>
      </c>
      <c r="L92" t="str">
        <f>IFERROR(IF(INDEX(營收表現!K$6:K$3000,MATCH($A92,營收表現!$A$6:$A$3000,0))="","",INDEX(營收表現!K$6:K$3000,MATCH($A92,營收表現!$A$6:$A$3000,0))),"")</f>
        <v/>
      </c>
      <c r="M92" t="str">
        <f>IFERROR(IF(INDEX(營收表現!L$6:L$3000,MATCH($A92,營收表現!$A$6:$A$3000,0))="","",INDEX(營收表現!L$6:L$3000,MATCH($A92,營收表現!$A$6:$A$3000,0))),"")</f>
        <v/>
      </c>
      <c r="N92" t="str">
        <f>IFERROR(IF(INDEX(營收表現!M$6:M$3000,MATCH($A92,營收表現!$A$6:$A$3000,0))="","",INDEX(營收表現!M$6:M$3000,MATCH($A92,營收表現!$A$6:$A$3000,0))),"")</f>
        <v/>
      </c>
      <c r="O92" t="str">
        <f>IFERROR(IF(INDEX(營收表現!N$6:N$3000,MATCH($A92,營收表現!$A$6:$A$3000,0))="","",INDEX(營收表現!N$6:N$3000,MATCH($A92,營收表現!$A$6:$A$3000,0))),"")</f>
        <v/>
      </c>
    </row>
    <row r="93" spans="1:15">
      <c r="A93" s="2"/>
      <c r="B93" t="str">
        <f>IFERROR(INDEX(營收表現!B$6:B$3000,MATCH($A93,營收表現!$A$6:$A$3000,0)),"")</f>
        <v/>
      </c>
      <c r="C93" t="str">
        <f>IFERROR(INDEX(類別!G$4:G$3000,MATCH($A93,類別!$C$4:$C$3000,0)),"")</f>
        <v/>
      </c>
      <c r="D93" t="str">
        <f>IFERROR(IF(INDEX(營收表現!C$6:C$3000,MATCH($A93,營收表現!$A$6:$A$3000,0))="","",INDEX(營收表現!C$6:C$3000,MATCH($A93,營收表現!$A$6:$A$3000,0))),"")</f>
        <v/>
      </c>
      <c r="E93" t="str">
        <f>IFERROR(IF(INDEX(營收表現!D$6:D$3000,MATCH($A93,營收表現!$A$6:$A$3000,0))="","",INDEX(營收表現!D$6:D$3000,MATCH($A93,營收表現!$A$6:$A$3000,0))),"")</f>
        <v/>
      </c>
      <c r="F93" t="str">
        <f>IFERROR(IF(INDEX(營收表現!E$6:E$3000,MATCH($A93,營收表現!$A$6:$A$3000,0))="","",INDEX(營收表現!E$6:E$3000,MATCH($A93,營收表現!$A$6:$A$3000,0))),"")</f>
        <v/>
      </c>
      <c r="G93" t="str">
        <f>IFERROR(IF(INDEX(營收表現!F$6:F$3000,MATCH($A93,營收表現!$A$6:$A$3000,0))="","",INDEX(營收表現!F$6:F$3000,MATCH($A93,營收表現!$A$6:$A$3000,0))),"")</f>
        <v/>
      </c>
      <c r="H93" t="str">
        <f>IFERROR(IF(INDEX(營收表現!G$6:G$3000,MATCH($A93,營收表現!$A$6:$A$3000,0))="","",INDEX(營收表現!G$6:G$3000,MATCH($A93,營收表現!$A$6:$A$3000,0))),"")</f>
        <v/>
      </c>
      <c r="I93" t="str">
        <f>IFERROR(IF(INDEX(營收表現!H$6:H$3000,MATCH($A93,營收表現!$A$6:$A$3000,0))="","",INDEX(營收表現!H$6:H$3000,MATCH($A93,營收表現!$A$6:$A$3000,0))),"")</f>
        <v/>
      </c>
      <c r="J93" t="str">
        <f>IFERROR(IF(INDEX(營收表現!I$6:I$3000,MATCH($A93,營收表現!$A$6:$A$3000,0))="","",INDEX(營收表現!I$6:I$3000,MATCH($A93,營收表現!$A$6:$A$3000,0))),"")</f>
        <v/>
      </c>
      <c r="K93" t="str">
        <f>IFERROR(IF(INDEX(營收表現!J$6:J$3000,MATCH($A93,營收表現!$A$6:$A$3000,0))="","",INDEX(營收表現!J$6:J$3000,MATCH($A93,營收表現!$A$6:$A$3000,0))),"")</f>
        <v/>
      </c>
      <c r="L93" t="str">
        <f>IFERROR(IF(INDEX(營收表現!K$6:K$3000,MATCH($A93,營收表現!$A$6:$A$3000,0))="","",INDEX(營收表現!K$6:K$3000,MATCH($A93,營收表現!$A$6:$A$3000,0))),"")</f>
        <v/>
      </c>
      <c r="M93" t="str">
        <f>IFERROR(IF(INDEX(營收表現!L$6:L$3000,MATCH($A93,營收表現!$A$6:$A$3000,0))="","",INDEX(營收表現!L$6:L$3000,MATCH($A93,營收表現!$A$6:$A$3000,0))),"")</f>
        <v/>
      </c>
      <c r="N93" t="str">
        <f>IFERROR(IF(INDEX(營收表現!M$6:M$3000,MATCH($A93,營收表現!$A$6:$A$3000,0))="","",INDEX(營收表現!M$6:M$3000,MATCH($A93,營收表現!$A$6:$A$3000,0))),"")</f>
        <v/>
      </c>
      <c r="O93" t="str">
        <f>IFERROR(IF(INDEX(營收表現!N$6:N$3000,MATCH($A93,營收表現!$A$6:$A$3000,0))="","",INDEX(營收表現!N$6:N$3000,MATCH($A93,營收表現!$A$6:$A$3000,0))),"")</f>
        <v/>
      </c>
    </row>
    <row r="94" spans="1:15">
      <c r="A94" s="2"/>
      <c r="B94" t="str">
        <f>IFERROR(INDEX(營收表現!B$6:B$3000,MATCH($A94,營收表現!$A$6:$A$3000,0)),"")</f>
        <v/>
      </c>
      <c r="C94" t="str">
        <f>IFERROR(INDEX(類別!G$4:G$3000,MATCH($A94,類別!$C$4:$C$3000,0)),"")</f>
        <v/>
      </c>
      <c r="D94" t="str">
        <f>IFERROR(IF(INDEX(營收表現!C$6:C$3000,MATCH($A94,營收表現!$A$6:$A$3000,0))="","",INDEX(營收表現!C$6:C$3000,MATCH($A94,營收表現!$A$6:$A$3000,0))),"")</f>
        <v/>
      </c>
      <c r="E94" t="str">
        <f>IFERROR(IF(INDEX(營收表現!D$6:D$3000,MATCH($A94,營收表現!$A$6:$A$3000,0))="","",INDEX(營收表現!D$6:D$3000,MATCH($A94,營收表現!$A$6:$A$3000,0))),"")</f>
        <v/>
      </c>
      <c r="F94" t="str">
        <f>IFERROR(IF(INDEX(營收表現!E$6:E$3000,MATCH($A94,營收表現!$A$6:$A$3000,0))="","",INDEX(營收表現!E$6:E$3000,MATCH($A94,營收表現!$A$6:$A$3000,0))),"")</f>
        <v/>
      </c>
      <c r="G94" t="str">
        <f>IFERROR(IF(INDEX(營收表現!F$6:F$3000,MATCH($A94,營收表現!$A$6:$A$3000,0))="","",INDEX(營收表現!F$6:F$3000,MATCH($A94,營收表現!$A$6:$A$3000,0))),"")</f>
        <v/>
      </c>
      <c r="H94" t="str">
        <f>IFERROR(IF(INDEX(營收表現!G$6:G$3000,MATCH($A94,營收表現!$A$6:$A$3000,0))="","",INDEX(營收表現!G$6:G$3000,MATCH($A94,營收表現!$A$6:$A$3000,0))),"")</f>
        <v/>
      </c>
      <c r="I94" t="str">
        <f>IFERROR(IF(INDEX(營收表現!H$6:H$3000,MATCH($A94,營收表現!$A$6:$A$3000,0))="","",INDEX(營收表現!H$6:H$3000,MATCH($A94,營收表現!$A$6:$A$3000,0))),"")</f>
        <v/>
      </c>
      <c r="J94" t="str">
        <f>IFERROR(IF(INDEX(營收表現!I$6:I$3000,MATCH($A94,營收表現!$A$6:$A$3000,0))="","",INDEX(營收表現!I$6:I$3000,MATCH($A94,營收表現!$A$6:$A$3000,0))),"")</f>
        <v/>
      </c>
      <c r="K94" t="str">
        <f>IFERROR(IF(INDEX(營收表現!J$6:J$3000,MATCH($A94,營收表現!$A$6:$A$3000,0))="","",INDEX(營收表現!J$6:J$3000,MATCH($A94,營收表現!$A$6:$A$3000,0))),"")</f>
        <v/>
      </c>
      <c r="L94" t="str">
        <f>IFERROR(IF(INDEX(營收表現!K$6:K$3000,MATCH($A94,營收表現!$A$6:$A$3000,0))="","",INDEX(營收表現!K$6:K$3000,MATCH($A94,營收表現!$A$6:$A$3000,0))),"")</f>
        <v/>
      </c>
      <c r="M94" t="str">
        <f>IFERROR(IF(INDEX(營收表現!L$6:L$3000,MATCH($A94,營收表現!$A$6:$A$3000,0))="","",INDEX(營收表現!L$6:L$3000,MATCH($A94,營收表現!$A$6:$A$3000,0))),"")</f>
        <v/>
      </c>
      <c r="N94" t="str">
        <f>IFERROR(IF(INDEX(營收表現!M$6:M$3000,MATCH($A94,營收表現!$A$6:$A$3000,0))="","",INDEX(營收表現!M$6:M$3000,MATCH($A94,營收表現!$A$6:$A$3000,0))),"")</f>
        <v/>
      </c>
      <c r="O94" t="str">
        <f>IFERROR(IF(INDEX(營收表現!N$6:N$3000,MATCH($A94,營收表現!$A$6:$A$3000,0))="","",INDEX(營收表現!N$6:N$3000,MATCH($A94,營收表現!$A$6:$A$3000,0))),"")</f>
        <v/>
      </c>
    </row>
    <row r="95" spans="1:15">
      <c r="A95" s="2"/>
      <c r="B95" t="str">
        <f>IFERROR(INDEX(營收表現!B$6:B$3000,MATCH($A95,營收表現!$A$6:$A$3000,0)),"")</f>
        <v/>
      </c>
      <c r="C95" t="str">
        <f>IFERROR(INDEX(類別!G$4:G$3000,MATCH($A95,類別!$C$4:$C$3000,0)),"")</f>
        <v/>
      </c>
      <c r="D95" t="str">
        <f>IFERROR(IF(INDEX(營收表現!C$6:C$3000,MATCH($A95,營收表現!$A$6:$A$3000,0))="","",INDEX(營收表現!C$6:C$3000,MATCH($A95,營收表現!$A$6:$A$3000,0))),"")</f>
        <v/>
      </c>
      <c r="E95" t="str">
        <f>IFERROR(IF(INDEX(營收表現!D$6:D$3000,MATCH($A95,營收表現!$A$6:$A$3000,0))="","",INDEX(營收表現!D$6:D$3000,MATCH($A95,營收表現!$A$6:$A$3000,0))),"")</f>
        <v/>
      </c>
      <c r="F95" t="str">
        <f>IFERROR(IF(INDEX(營收表現!E$6:E$3000,MATCH($A95,營收表現!$A$6:$A$3000,0))="","",INDEX(營收表現!E$6:E$3000,MATCH($A95,營收表現!$A$6:$A$3000,0))),"")</f>
        <v/>
      </c>
      <c r="G95" t="str">
        <f>IFERROR(IF(INDEX(營收表現!F$6:F$3000,MATCH($A95,營收表現!$A$6:$A$3000,0))="","",INDEX(營收表現!F$6:F$3000,MATCH($A95,營收表現!$A$6:$A$3000,0))),"")</f>
        <v/>
      </c>
      <c r="H95" t="str">
        <f>IFERROR(IF(INDEX(營收表現!G$6:G$3000,MATCH($A95,營收表現!$A$6:$A$3000,0))="","",INDEX(營收表現!G$6:G$3000,MATCH($A95,營收表現!$A$6:$A$3000,0))),"")</f>
        <v/>
      </c>
      <c r="I95" t="str">
        <f>IFERROR(IF(INDEX(營收表現!H$6:H$3000,MATCH($A95,營收表現!$A$6:$A$3000,0))="","",INDEX(營收表現!H$6:H$3000,MATCH($A95,營收表現!$A$6:$A$3000,0))),"")</f>
        <v/>
      </c>
      <c r="J95" t="str">
        <f>IFERROR(IF(INDEX(營收表現!I$6:I$3000,MATCH($A95,營收表現!$A$6:$A$3000,0))="","",INDEX(營收表現!I$6:I$3000,MATCH($A95,營收表現!$A$6:$A$3000,0))),"")</f>
        <v/>
      </c>
      <c r="K95" t="str">
        <f>IFERROR(IF(INDEX(營收表現!J$6:J$3000,MATCH($A95,營收表現!$A$6:$A$3000,0))="","",INDEX(營收表現!J$6:J$3000,MATCH($A95,營收表現!$A$6:$A$3000,0))),"")</f>
        <v/>
      </c>
      <c r="L95" t="str">
        <f>IFERROR(IF(INDEX(營收表現!K$6:K$3000,MATCH($A95,營收表現!$A$6:$A$3000,0))="","",INDEX(營收表現!K$6:K$3000,MATCH($A95,營收表現!$A$6:$A$3000,0))),"")</f>
        <v/>
      </c>
      <c r="M95" t="str">
        <f>IFERROR(IF(INDEX(營收表現!L$6:L$3000,MATCH($A95,營收表現!$A$6:$A$3000,0))="","",INDEX(營收表現!L$6:L$3000,MATCH($A95,營收表現!$A$6:$A$3000,0))),"")</f>
        <v/>
      </c>
      <c r="N95" t="str">
        <f>IFERROR(IF(INDEX(營收表現!M$6:M$3000,MATCH($A95,營收表現!$A$6:$A$3000,0))="","",INDEX(營收表現!M$6:M$3000,MATCH($A95,營收表現!$A$6:$A$3000,0))),"")</f>
        <v/>
      </c>
      <c r="O95" t="str">
        <f>IFERROR(IF(INDEX(營收表現!N$6:N$3000,MATCH($A95,營收表現!$A$6:$A$3000,0))="","",INDEX(營收表現!N$6:N$3000,MATCH($A95,營收表現!$A$6:$A$3000,0))),"")</f>
        <v/>
      </c>
    </row>
    <row r="96" spans="1:15">
      <c r="A96" s="2"/>
      <c r="B96" t="str">
        <f>IFERROR(INDEX(營收表現!B$6:B$3000,MATCH($A96,營收表現!$A$6:$A$3000,0)),"")</f>
        <v/>
      </c>
      <c r="C96" t="str">
        <f>IFERROR(INDEX(類別!G$4:G$3000,MATCH($A96,類別!$C$4:$C$3000,0)),"")</f>
        <v/>
      </c>
      <c r="D96" t="str">
        <f>IFERROR(IF(INDEX(營收表現!C$6:C$3000,MATCH($A96,營收表現!$A$6:$A$3000,0))="","",INDEX(營收表現!C$6:C$3000,MATCH($A96,營收表現!$A$6:$A$3000,0))),"")</f>
        <v/>
      </c>
      <c r="E96" t="str">
        <f>IFERROR(IF(INDEX(營收表現!D$6:D$3000,MATCH($A96,營收表現!$A$6:$A$3000,0))="","",INDEX(營收表現!D$6:D$3000,MATCH($A96,營收表現!$A$6:$A$3000,0))),"")</f>
        <v/>
      </c>
      <c r="F96" t="str">
        <f>IFERROR(IF(INDEX(營收表現!E$6:E$3000,MATCH($A96,營收表現!$A$6:$A$3000,0))="","",INDEX(營收表現!E$6:E$3000,MATCH($A96,營收表現!$A$6:$A$3000,0))),"")</f>
        <v/>
      </c>
      <c r="G96" t="str">
        <f>IFERROR(IF(INDEX(營收表現!F$6:F$3000,MATCH($A96,營收表現!$A$6:$A$3000,0))="","",INDEX(營收表現!F$6:F$3000,MATCH($A96,營收表現!$A$6:$A$3000,0))),"")</f>
        <v/>
      </c>
      <c r="H96" t="str">
        <f>IFERROR(IF(INDEX(營收表現!G$6:G$3000,MATCH($A96,營收表現!$A$6:$A$3000,0))="","",INDEX(營收表現!G$6:G$3000,MATCH($A96,營收表現!$A$6:$A$3000,0))),"")</f>
        <v/>
      </c>
      <c r="I96" t="str">
        <f>IFERROR(IF(INDEX(營收表現!H$6:H$3000,MATCH($A96,營收表現!$A$6:$A$3000,0))="","",INDEX(營收表現!H$6:H$3000,MATCH($A96,營收表現!$A$6:$A$3000,0))),"")</f>
        <v/>
      </c>
      <c r="J96" t="str">
        <f>IFERROR(IF(INDEX(營收表現!I$6:I$3000,MATCH($A96,營收表現!$A$6:$A$3000,0))="","",INDEX(營收表現!I$6:I$3000,MATCH($A96,營收表現!$A$6:$A$3000,0))),"")</f>
        <v/>
      </c>
      <c r="K96" t="str">
        <f>IFERROR(IF(INDEX(營收表現!J$6:J$3000,MATCH($A96,營收表現!$A$6:$A$3000,0))="","",INDEX(營收表現!J$6:J$3000,MATCH($A96,營收表現!$A$6:$A$3000,0))),"")</f>
        <v/>
      </c>
      <c r="L96" t="str">
        <f>IFERROR(IF(INDEX(營收表現!K$6:K$3000,MATCH($A96,營收表現!$A$6:$A$3000,0))="","",INDEX(營收表現!K$6:K$3000,MATCH($A96,營收表現!$A$6:$A$3000,0))),"")</f>
        <v/>
      </c>
      <c r="M96" t="str">
        <f>IFERROR(IF(INDEX(營收表現!L$6:L$3000,MATCH($A96,營收表現!$A$6:$A$3000,0))="","",INDEX(營收表現!L$6:L$3000,MATCH($A96,營收表現!$A$6:$A$3000,0))),"")</f>
        <v/>
      </c>
      <c r="N96" t="str">
        <f>IFERROR(IF(INDEX(營收表現!M$6:M$3000,MATCH($A96,營收表現!$A$6:$A$3000,0))="","",INDEX(營收表現!M$6:M$3000,MATCH($A96,營收表現!$A$6:$A$3000,0))),"")</f>
        <v/>
      </c>
      <c r="O96" t="str">
        <f>IFERROR(IF(INDEX(營收表現!N$6:N$3000,MATCH($A96,營收表現!$A$6:$A$3000,0))="","",INDEX(營收表現!N$6:N$3000,MATCH($A96,營收表現!$A$6:$A$3000,0))),"")</f>
        <v/>
      </c>
    </row>
    <row r="97" spans="1:15">
      <c r="A97" s="2"/>
      <c r="B97" t="str">
        <f>IFERROR(INDEX(營收表現!B$6:B$3000,MATCH($A97,營收表現!$A$6:$A$3000,0)),"")</f>
        <v/>
      </c>
      <c r="C97" t="str">
        <f>IFERROR(INDEX(類別!G$4:G$3000,MATCH($A97,類別!$C$4:$C$3000,0)),"")</f>
        <v/>
      </c>
      <c r="D97" t="str">
        <f>IFERROR(IF(INDEX(營收表現!C$6:C$3000,MATCH($A97,營收表現!$A$6:$A$3000,0))="","",INDEX(營收表現!C$6:C$3000,MATCH($A97,營收表現!$A$6:$A$3000,0))),"")</f>
        <v/>
      </c>
      <c r="E97" t="str">
        <f>IFERROR(IF(INDEX(營收表現!D$6:D$3000,MATCH($A97,營收表現!$A$6:$A$3000,0))="","",INDEX(營收表現!D$6:D$3000,MATCH($A97,營收表現!$A$6:$A$3000,0))),"")</f>
        <v/>
      </c>
      <c r="F97" t="str">
        <f>IFERROR(IF(INDEX(營收表現!E$6:E$3000,MATCH($A97,營收表現!$A$6:$A$3000,0))="","",INDEX(營收表現!E$6:E$3000,MATCH($A97,營收表現!$A$6:$A$3000,0))),"")</f>
        <v/>
      </c>
      <c r="G97" t="str">
        <f>IFERROR(IF(INDEX(營收表現!F$6:F$3000,MATCH($A97,營收表現!$A$6:$A$3000,0))="","",INDEX(營收表現!F$6:F$3000,MATCH($A97,營收表現!$A$6:$A$3000,0))),"")</f>
        <v/>
      </c>
      <c r="H97" t="str">
        <f>IFERROR(IF(INDEX(營收表現!G$6:G$3000,MATCH($A97,營收表現!$A$6:$A$3000,0))="","",INDEX(營收表現!G$6:G$3000,MATCH($A97,營收表現!$A$6:$A$3000,0))),"")</f>
        <v/>
      </c>
      <c r="I97" t="str">
        <f>IFERROR(IF(INDEX(營收表現!H$6:H$3000,MATCH($A97,營收表現!$A$6:$A$3000,0))="","",INDEX(營收表現!H$6:H$3000,MATCH($A97,營收表現!$A$6:$A$3000,0))),"")</f>
        <v/>
      </c>
      <c r="J97" t="str">
        <f>IFERROR(IF(INDEX(營收表現!I$6:I$3000,MATCH($A97,營收表現!$A$6:$A$3000,0))="","",INDEX(營收表現!I$6:I$3000,MATCH($A97,營收表現!$A$6:$A$3000,0))),"")</f>
        <v/>
      </c>
      <c r="K97" t="str">
        <f>IFERROR(IF(INDEX(營收表現!J$6:J$3000,MATCH($A97,營收表現!$A$6:$A$3000,0))="","",INDEX(營收表現!J$6:J$3000,MATCH($A97,營收表現!$A$6:$A$3000,0))),"")</f>
        <v/>
      </c>
      <c r="L97" t="str">
        <f>IFERROR(IF(INDEX(營收表現!K$6:K$3000,MATCH($A97,營收表現!$A$6:$A$3000,0))="","",INDEX(營收表現!K$6:K$3000,MATCH($A97,營收表現!$A$6:$A$3000,0))),"")</f>
        <v/>
      </c>
      <c r="M97" t="str">
        <f>IFERROR(IF(INDEX(營收表現!L$6:L$3000,MATCH($A97,營收表現!$A$6:$A$3000,0))="","",INDEX(營收表現!L$6:L$3000,MATCH($A97,營收表現!$A$6:$A$3000,0))),"")</f>
        <v/>
      </c>
      <c r="N97" t="str">
        <f>IFERROR(IF(INDEX(營收表現!M$6:M$3000,MATCH($A97,營收表現!$A$6:$A$3000,0))="","",INDEX(營收表現!M$6:M$3000,MATCH($A97,營收表現!$A$6:$A$3000,0))),"")</f>
        <v/>
      </c>
      <c r="O97" t="str">
        <f>IFERROR(IF(INDEX(營收表現!N$6:N$3000,MATCH($A97,營收表現!$A$6:$A$3000,0))="","",INDEX(營收表現!N$6:N$3000,MATCH($A97,營收表現!$A$6:$A$3000,0))),"")</f>
        <v/>
      </c>
    </row>
    <row r="98" spans="1:15">
      <c r="A98" s="2"/>
      <c r="B98" t="str">
        <f>IFERROR(INDEX(營收表現!B$6:B$3000,MATCH($A98,營收表現!$A$6:$A$3000,0)),"")</f>
        <v/>
      </c>
      <c r="C98" t="str">
        <f>IFERROR(INDEX(類別!G$4:G$3000,MATCH($A98,類別!$C$4:$C$3000,0)),"")</f>
        <v/>
      </c>
      <c r="D98" t="str">
        <f>IFERROR(IF(INDEX(營收表現!C$6:C$3000,MATCH($A98,營收表現!$A$6:$A$3000,0))="","",INDEX(營收表現!C$6:C$3000,MATCH($A98,營收表現!$A$6:$A$3000,0))),"")</f>
        <v/>
      </c>
      <c r="E98" t="str">
        <f>IFERROR(IF(INDEX(營收表現!D$6:D$3000,MATCH($A98,營收表現!$A$6:$A$3000,0))="","",INDEX(營收表現!D$6:D$3000,MATCH($A98,營收表現!$A$6:$A$3000,0))),"")</f>
        <v/>
      </c>
      <c r="F98" t="str">
        <f>IFERROR(IF(INDEX(營收表現!E$6:E$3000,MATCH($A98,營收表現!$A$6:$A$3000,0))="","",INDEX(營收表現!E$6:E$3000,MATCH($A98,營收表現!$A$6:$A$3000,0))),"")</f>
        <v/>
      </c>
      <c r="G98" t="str">
        <f>IFERROR(IF(INDEX(營收表現!F$6:F$3000,MATCH($A98,營收表現!$A$6:$A$3000,0))="","",INDEX(營收表現!F$6:F$3000,MATCH($A98,營收表現!$A$6:$A$3000,0))),"")</f>
        <v/>
      </c>
      <c r="H98" t="str">
        <f>IFERROR(IF(INDEX(營收表現!G$6:G$3000,MATCH($A98,營收表現!$A$6:$A$3000,0))="","",INDEX(營收表現!G$6:G$3000,MATCH($A98,營收表現!$A$6:$A$3000,0))),"")</f>
        <v/>
      </c>
      <c r="I98" t="str">
        <f>IFERROR(IF(INDEX(營收表現!H$6:H$3000,MATCH($A98,營收表現!$A$6:$A$3000,0))="","",INDEX(營收表現!H$6:H$3000,MATCH($A98,營收表現!$A$6:$A$3000,0))),"")</f>
        <v/>
      </c>
      <c r="J98" t="str">
        <f>IFERROR(IF(INDEX(營收表現!I$6:I$3000,MATCH($A98,營收表現!$A$6:$A$3000,0))="","",INDEX(營收表現!I$6:I$3000,MATCH($A98,營收表現!$A$6:$A$3000,0))),"")</f>
        <v/>
      </c>
      <c r="K98" t="str">
        <f>IFERROR(IF(INDEX(營收表現!J$6:J$3000,MATCH($A98,營收表現!$A$6:$A$3000,0))="","",INDEX(營收表現!J$6:J$3000,MATCH($A98,營收表現!$A$6:$A$3000,0))),"")</f>
        <v/>
      </c>
      <c r="L98" t="str">
        <f>IFERROR(IF(INDEX(營收表現!K$6:K$3000,MATCH($A98,營收表現!$A$6:$A$3000,0))="","",INDEX(營收表現!K$6:K$3000,MATCH($A98,營收表現!$A$6:$A$3000,0))),"")</f>
        <v/>
      </c>
      <c r="M98" t="str">
        <f>IFERROR(IF(INDEX(營收表現!L$6:L$3000,MATCH($A98,營收表現!$A$6:$A$3000,0))="","",INDEX(營收表現!L$6:L$3000,MATCH($A98,營收表現!$A$6:$A$3000,0))),"")</f>
        <v/>
      </c>
      <c r="N98" t="str">
        <f>IFERROR(IF(INDEX(營收表現!M$6:M$3000,MATCH($A98,營收表現!$A$6:$A$3000,0))="","",INDEX(營收表現!M$6:M$3000,MATCH($A98,營收表現!$A$6:$A$3000,0))),"")</f>
        <v/>
      </c>
      <c r="O98" t="str">
        <f>IFERROR(IF(INDEX(營收表現!N$6:N$3000,MATCH($A98,營收表現!$A$6:$A$3000,0))="","",INDEX(營收表現!N$6:N$3000,MATCH($A98,營收表現!$A$6:$A$3000,0))),"")</f>
        <v/>
      </c>
    </row>
    <row r="99" spans="1:15">
      <c r="A99" s="2"/>
      <c r="B99" t="str">
        <f>IFERROR(INDEX(營收表現!B$6:B$3000,MATCH($A99,營收表現!$A$6:$A$3000,0)),"")</f>
        <v/>
      </c>
      <c r="C99" t="str">
        <f>IFERROR(INDEX(類別!G$4:G$3000,MATCH($A99,類別!$C$4:$C$3000,0)),"")</f>
        <v/>
      </c>
      <c r="D99" t="str">
        <f>IFERROR(IF(INDEX(營收表現!C$6:C$3000,MATCH($A99,營收表現!$A$6:$A$3000,0))="","",INDEX(營收表現!C$6:C$3000,MATCH($A99,營收表現!$A$6:$A$3000,0))),"")</f>
        <v/>
      </c>
      <c r="E99" t="str">
        <f>IFERROR(IF(INDEX(營收表現!D$6:D$3000,MATCH($A99,營收表現!$A$6:$A$3000,0))="","",INDEX(營收表現!D$6:D$3000,MATCH($A99,營收表現!$A$6:$A$3000,0))),"")</f>
        <v/>
      </c>
      <c r="F99" t="str">
        <f>IFERROR(IF(INDEX(營收表現!E$6:E$3000,MATCH($A99,營收表現!$A$6:$A$3000,0))="","",INDEX(營收表現!E$6:E$3000,MATCH($A99,營收表現!$A$6:$A$3000,0))),"")</f>
        <v/>
      </c>
      <c r="G99" t="str">
        <f>IFERROR(IF(INDEX(營收表現!F$6:F$3000,MATCH($A99,營收表現!$A$6:$A$3000,0))="","",INDEX(營收表現!F$6:F$3000,MATCH($A99,營收表現!$A$6:$A$3000,0))),"")</f>
        <v/>
      </c>
      <c r="H99" t="str">
        <f>IFERROR(IF(INDEX(營收表現!G$6:G$3000,MATCH($A99,營收表現!$A$6:$A$3000,0))="","",INDEX(營收表現!G$6:G$3000,MATCH($A99,營收表現!$A$6:$A$3000,0))),"")</f>
        <v/>
      </c>
      <c r="I99" t="str">
        <f>IFERROR(IF(INDEX(營收表現!H$6:H$3000,MATCH($A99,營收表現!$A$6:$A$3000,0))="","",INDEX(營收表現!H$6:H$3000,MATCH($A99,營收表現!$A$6:$A$3000,0))),"")</f>
        <v/>
      </c>
      <c r="J99" t="str">
        <f>IFERROR(IF(INDEX(營收表現!I$6:I$3000,MATCH($A99,營收表現!$A$6:$A$3000,0))="","",INDEX(營收表現!I$6:I$3000,MATCH($A99,營收表現!$A$6:$A$3000,0))),"")</f>
        <v/>
      </c>
      <c r="K99" t="str">
        <f>IFERROR(IF(INDEX(營收表現!J$6:J$3000,MATCH($A99,營收表現!$A$6:$A$3000,0))="","",INDEX(營收表現!J$6:J$3000,MATCH($A99,營收表現!$A$6:$A$3000,0))),"")</f>
        <v/>
      </c>
      <c r="L99" t="str">
        <f>IFERROR(IF(INDEX(營收表現!K$6:K$3000,MATCH($A99,營收表現!$A$6:$A$3000,0))="","",INDEX(營收表現!K$6:K$3000,MATCH($A99,營收表現!$A$6:$A$3000,0))),"")</f>
        <v/>
      </c>
      <c r="M99" t="str">
        <f>IFERROR(IF(INDEX(營收表現!L$6:L$3000,MATCH($A99,營收表現!$A$6:$A$3000,0))="","",INDEX(營收表現!L$6:L$3000,MATCH($A99,營收表現!$A$6:$A$3000,0))),"")</f>
        <v/>
      </c>
      <c r="N99" t="str">
        <f>IFERROR(IF(INDEX(營收表現!M$6:M$3000,MATCH($A99,營收表現!$A$6:$A$3000,0))="","",INDEX(營收表現!M$6:M$3000,MATCH($A99,營收表現!$A$6:$A$3000,0))),"")</f>
        <v/>
      </c>
      <c r="O99" t="str">
        <f>IFERROR(IF(INDEX(營收表現!N$6:N$3000,MATCH($A99,營收表現!$A$6:$A$3000,0))="","",INDEX(營收表現!N$6:N$3000,MATCH($A99,營收表現!$A$6:$A$3000,0))),"")</f>
        <v/>
      </c>
    </row>
    <row r="100" spans="1:15">
      <c r="A100" s="2"/>
      <c r="B100" t="str">
        <f>IFERROR(INDEX(營收表現!B$6:B$3000,MATCH($A100,營收表現!$A$6:$A$3000,0)),"")</f>
        <v/>
      </c>
      <c r="C100" t="str">
        <f>IFERROR(INDEX(類別!G$4:G$3000,MATCH($A100,類別!$C$4:$C$3000,0)),"")</f>
        <v/>
      </c>
      <c r="D100" t="str">
        <f>IFERROR(IF(INDEX(營收表現!C$6:C$3000,MATCH($A100,營收表現!$A$6:$A$3000,0))="","",INDEX(營收表現!C$6:C$3000,MATCH($A100,營收表現!$A$6:$A$3000,0))),"")</f>
        <v/>
      </c>
      <c r="E100" t="str">
        <f>IFERROR(IF(INDEX(營收表現!D$6:D$3000,MATCH($A100,營收表現!$A$6:$A$3000,0))="","",INDEX(營收表現!D$6:D$3000,MATCH($A100,營收表現!$A$6:$A$3000,0))),"")</f>
        <v/>
      </c>
      <c r="F100" t="str">
        <f>IFERROR(IF(INDEX(營收表現!E$6:E$3000,MATCH($A100,營收表現!$A$6:$A$3000,0))="","",INDEX(營收表現!E$6:E$3000,MATCH($A100,營收表現!$A$6:$A$3000,0))),"")</f>
        <v/>
      </c>
      <c r="G100" t="str">
        <f>IFERROR(IF(INDEX(營收表現!F$6:F$3000,MATCH($A100,營收表現!$A$6:$A$3000,0))="","",INDEX(營收表現!F$6:F$3000,MATCH($A100,營收表現!$A$6:$A$3000,0))),"")</f>
        <v/>
      </c>
      <c r="H100" t="str">
        <f>IFERROR(IF(INDEX(營收表現!G$6:G$3000,MATCH($A100,營收表現!$A$6:$A$3000,0))="","",INDEX(營收表現!G$6:G$3000,MATCH($A100,營收表現!$A$6:$A$3000,0))),"")</f>
        <v/>
      </c>
      <c r="I100" t="str">
        <f>IFERROR(IF(INDEX(營收表現!H$6:H$3000,MATCH($A100,營收表現!$A$6:$A$3000,0))="","",INDEX(營收表現!H$6:H$3000,MATCH($A100,營收表現!$A$6:$A$3000,0))),"")</f>
        <v/>
      </c>
      <c r="J100" t="str">
        <f>IFERROR(IF(INDEX(營收表現!I$6:I$3000,MATCH($A100,營收表現!$A$6:$A$3000,0))="","",INDEX(營收表現!I$6:I$3000,MATCH($A100,營收表現!$A$6:$A$3000,0))),"")</f>
        <v/>
      </c>
      <c r="K100" t="str">
        <f>IFERROR(IF(INDEX(營收表現!J$6:J$3000,MATCH($A100,營收表現!$A$6:$A$3000,0))="","",INDEX(營收表現!J$6:J$3000,MATCH($A100,營收表現!$A$6:$A$3000,0))),"")</f>
        <v/>
      </c>
      <c r="L100" t="str">
        <f>IFERROR(IF(INDEX(營收表現!K$6:K$3000,MATCH($A100,營收表現!$A$6:$A$3000,0))="","",INDEX(營收表現!K$6:K$3000,MATCH($A100,營收表現!$A$6:$A$3000,0))),"")</f>
        <v/>
      </c>
      <c r="M100" t="str">
        <f>IFERROR(IF(INDEX(營收表現!L$6:L$3000,MATCH($A100,營收表現!$A$6:$A$3000,0))="","",INDEX(營收表現!L$6:L$3000,MATCH($A100,營收表現!$A$6:$A$3000,0))),"")</f>
        <v/>
      </c>
      <c r="N100" t="str">
        <f>IFERROR(IF(INDEX(營收表現!M$6:M$3000,MATCH($A100,營收表現!$A$6:$A$3000,0))="","",INDEX(營收表現!M$6:M$3000,MATCH($A100,營收表現!$A$6:$A$3000,0))),"")</f>
        <v/>
      </c>
      <c r="O100" t="str">
        <f>IFERROR(IF(INDEX(營收表現!N$6:N$3000,MATCH($A100,營收表現!$A$6:$A$3000,0))="","",INDEX(營收表現!N$6:N$3000,MATCH($A100,營收表現!$A$6:$A$3000,0))),"")</f>
        <v/>
      </c>
    </row>
    <row r="101" spans="1:15">
      <c r="A101" s="2"/>
      <c r="B101" t="str">
        <f>IFERROR(INDEX(營收表現!B$6:B$3000,MATCH($A101,營收表現!$A$6:$A$3000,0)),"")</f>
        <v/>
      </c>
      <c r="C101" t="str">
        <f>IFERROR(INDEX(類別!G$4:G$3000,MATCH($A101,類別!$C$4:$C$3000,0)),"")</f>
        <v/>
      </c>
      <c r="D101" t="str">
        <f>IFERROR(IF(INDEX(營收表現!C$6:C$3000,MATCH($A101,營收表現!$A$6:$A$3000,0))="","",INDEX(營收表現!C$6:C$3000,MATCH($A101,營收表現!$A$6:$A$3000,0))),"")</f>
        <v/>
      </c>
      <c r="E101" t="str">
        <f>IFERROR(IF(INDEX(營收表現!D$6:D$3000,MATCH($A101,營收表現!$A$6:$A$3000,0))="","",INDEX(營收表現!D$6:D$3000,MATCH($A101,營收表現!$A$6:$A$3000,0))),"")</f>
        <v/>
      </c>
      <c r="F101" t="str">
        <f>IFERROR(IF(INDEX(營收表現!E$6:E$3000,MATCH($A101,營收表現!$A$6:$A$3000,0))="","",INDEX(營收表現!E$6:E$3000,MATCH($A101,營收表現!$A$6:$A$3000,0))),"")</f>
        <v/>
      </c>
      <c r="G101" t="str">
        <f>IFERROR(IF(INDEX(營收表現!F$6:F$3000,MATCH($A101,營收表現!$A$6:$A$3000,0))="","",INDEX(營收表現!F$6:F$3000,MATCH($A101,營收表現!$A$6:$A$3000,0))),"")</f>
        <v/>
      </c>
      <c r="H101" t="str">
        <f>IFERROR(IF(INDEX(營收表現!G$6:G$3000,MATCH($A101,營收表現!$A$6:$A$3000,0))="","",INDEX(營收表現!G$6:G$3000,MATCH($A101,營收表現!$A$6:$A$3000,0))),"")</f>
        <v/>
      </c>
      <c r="I101" t="str">
        <f>IFERROR(IF(INDEX(營收表現!H$6:H$3000,MATCH($A101,營收表現!$A$6:$A$3000,0))="","",INDEX(營收表現!H$6:H$3000,MATCH($A101,營收表現!$A$6:$A$3000,0))),"")</f>
        <v/>
      </c>
      <c r="J101" t="str">
        <f>IFERROR(IF(INDEX(營收表現!I$6:I$3000,MATCH($A101,營收表現!$A$6:$A$3000,0))="","",INDEX(營收表現!I$6:I$3000,MATCH($A101,營收表現!$A$6:$A$3000,0))),"")</f>
        <v/>
      </c>
      <c r="K101" t="str">
        <f>IFERROR(IF(INDEX(營收表現!J$6:J$3000,MATCH($A101,營收表現!$A$6:$A$3000,0))="","",INDEX(營收表現!J$6:J$3000,MATCH($A101,營收表現!$A$6:$A$3000,0))),"")</f>
        <v/>
      </c>
      <c r="L101" t="str">
        <f>IFERROR(IF(INDEX(營收表現!K$6:K$3000,MATCH($A101,營收表現!$A$6:$A$3000,0))="","",INDEX(營收表現!K$6:K$3000,MATCH($A101,營收表現!$A$6:$A$3000,0))),"")</f>
        <v/>
      </c>
      <c r="M101" t="str">
        <f>IFERROR(IF(INDEX(營收表現!L$6:L$3000,MATCH($A101,營收表現!$A$6:$A$3000,0))="","",INDEX(營收表現!L$6:L$3000,MATCH($A101,營收表現!$A$6:$A$3000,0))),"")</f>
        <v/>
      </c>
      <c r="N101" t="str">
        <f>IFERROR(IF(INDEX(營收表現!M$6:M$3000,MATCH($A101,營收表現!$A$6:$A$3000,0))="","",INDEX(營收表現!M$6:M$3000,MATCH($A101,營收表現!$A$6:$A$3000,0))),"")</f>
        <v/>
      </c>
      <c r="O101" t="str">
        <f>IFERROR(IF(INDEX(營收表現!N$6:N$3000,MATCH($A101,營收表現!$A$6:$A$3000,0))="","",INDEX(營收表現!N$6:N$3000,MATCH($A101,營收表現!$A$6:$A$3000,0))),"")</f>
        <v/>
      </c>
    </row>
    <row r="102" spans="1:15">
      <c r="A102" s="2"/>
      <c r="B102" t="str">
        <f>IFERROR(INDEX(營收表現!B$6:B$3000,MATCH($A102,營收表現!$A$6:$A$3000,0)),"")</f>
        <v/>
      </c>
      <c r="C102" t="str">
        <f>IFERROR(INDEX(類別!G$4:G$3000,MATCH($A102,類別!$C$4:$C$3000,0)),"")</f>
        <v/>
      </c>
      <c r="D102" t="str">
        <f>IFERROR(IF(INDEX(營收表現!C$6:C$3000,MATCH($A102,營收表現!$A$6:$A$3000,0))="","",INDEX(營收表現!C$6:C$3000,MATCH($A102,營收表現!$A$6:$A$3000,0))),"")</f>
        <v/>
      </c>
      <c r="E102" t="str">
        <f>IFERROR(IF(INDEX(營收表現!D$6:D$3000,MATCH($A102,營收表現!$A$6:$A$3000,0))="","",INDEX(營收表現!D$6:D$3000,MATCH($A102,營收表現!$A$6:$A$3000,0))),"")</f>
        <v/>
      </c>
      <c r="F102" t="str">
        <f>IFERROR(IF(INDEX(營收表現!E$6:E$3000,MATCH($A102,營收表現!$A$6:$A$3000,0))="","",INDEX(營收表現!E$6:E$3000,MATCH($A102,營收表現!$A$6:$A$3000,0))),"")</f>
        <v/>
      </c>
      <c r="G102" t="str">
        <f>IFERROR(IF(INDEX(營收表現!F$6:F$3000,MATCH($A102,營收表現!$A$6:$A$3000,0))="","",INDEX(營收表現!F$6:F$3000,MATCH($A102,營收表現!$A$6:$A$3000,0))),"")</f>
        <v/>
      </c>
      <c r="H102" t="str">
        <f>IFERROR(IF(INDEX(營收表現!G$6:G$3000,MATCH($A102,營收表現!$A$6:$A$3000,0))="","",INDEX(營收表現!G$6:G$3000,MATCH($A102,營收表現!$A$6:$A$3000,0))),"")</f>
        <v/>
      </c>
      <c r="I102" t="str">
        <f>IFERROR(IF(INDEX(營收表現!H$6:H$3000,MATCH($A102,營收表現!$A$6:$A$3000,0))="","",INDEX(營收表現!H$6:H$3000,MATCH($A102,營收表現!$A$6:$A$3000,0))),"")</f>
        <v/>
      </c>
      <c r="J102" t="str">
        <f>IFERROR(IF(INDEX(營收表現!I$6:I$3000,MATCH($A102,營收表現!$A$6:$A$3000,0))="","",INDEX(營收表現!I$6:I$3000,MATCH($A102,營收表現!$A$6:$A$3000,0))),"")</f>
        <v/>
      </c>
      <c r="K102" t="str">
        <f>IFERROR(IF(INDEX(營收表現!J$6:J$3000,MATCH($A102,營收表現!$A$6:$A$3000,0))="","",INDEX(營收表現!J$6:J$3000,MATCH($A102,營收表現!$A$6:$A$3000,0))),"")</f>
        <v/>
      </c>
      <c r="L102" t="str">
        <f>IFERROR(IF(INDEX(營收表現!K$6:K$3000,MATCH($A102,營收表現!$A$6:$A$3000,0))="","",INDEX(營收表現!K$6:K$3000,MATCH($A102,營收表現!$A$6:$A$3000,0))),"")</f>
        <v/>
      </c>
      <c r="M102" t="str">
        <f>IFERROR(IF(INDEX(營收表現!L$6:L$3000,MATCH($A102,營收表現!$A$6:$A$3000,0))="","",INDEX(營收表現!L$6:L$3000,MATCH($A102,營收表現!$A$6:$A$3000,0))),"")</f>
        <v/>
      </c>
      <c r="N102" t="str">
        <f>IFERROR(IF(INDEX(營收表現!M$6:M$3000,MATCH($A102,營收表現!$A$6:$A$3000,0))="","",INDEX(營收表現!M$6:M$3000,MATCH($A102,營收表現!$A$6:$A$3000,0))),"")</f>
        <v/>
      </c>
      <c r="O102" t="str">
        <f>IFERROR(IF(INDEX(營收表現!N$6:N$3000,MATCH($A102,營收表現!$A$6:$A$3000,0))="","",INDEX(營收表現!N$6:N$3000,MATCH($A102,營收表現!$A$6:$A$3000,0))),"")</f>
        <v/>
      </c>
    </row>
    <row r="103" spans="1:15">
      <c r="A103" s="2"/>
      <c r="B103" t="str">
        <f>IFERROR(INDEX(營收表現!B$6:B$3000,MATCH($A103,營收表現!$A$6:$A$3000,0)),"")</f>
        <v/>
      </c>
      <c r="C103" t="str">
        <f>IFERROR(INDEX(類別!G$4:G$3000,MATCH($A103,類別!$C$4:$C$3000,0)),"")</f>
        <v/>
      </c>
      <c r="D103" t="str">
        <f>IFERROR(IF(INDEX(營收表現!C$6:C$3000,MATCH($A103,營收表現!$A$6:$A$3000,0))="","",INDEX(營收表現!C$6:C$3000,MATCH($A103,營收表現!$A$6:$A$3000,0))),"")</f>
        <v/>
      </c>
      <c r="E103" t="str">
        <f>IFERROR(IF(INDEX(營收表現!D$6:D$3000,MATCH($A103,營收表現!$A$6:$A$3000,0))="","",INDEX(營收表現!D$6:D$3000,MATCH($A103,營收表現!$A$6:$A$3000,0))),"")</f>
        <v/>
      </c>
      <c r="F103" t="str">
        <f>IFERROR(IF(INDEX(營收表現!E$6:E$3000,MATCH($A103,營收表現!$A$6:$A$3000,0))="","",INDEX(營收表現!E$6:E$3000,MATCH($A103,營收表現!$A$6:$A$3000,0))),"")</f>
        <v/>
      </c>
      <c r="G103" t="str">
        <f>IFERROR(IF(INDEX(營收表現!F$6:F$3000,MATCH($A103,營收表現!$A$6:$A$3000,0))="","",INDEX(營收表現!F$6:F$3000,MATCH($A103,營收表現!$A$6:$A$3000,0))),"")</f>
        <v/>
      </c>
      <c r="H103" t="str">
        <f>IFERROR(IF(INDEX(營收表現!G$6:G$3000,MATCH($A103,營收表現!$A$6:$A$3000,0))="","",INDEX(營收表現!G$6:G$3000,MATCH($A103,營收表現!$A$6:$A$3000,0))),"")</f>
        <v/>
      </c>
      <c r="I103" t="str">
        <f>IFERROR(IF(INDEX(營收表現!H$6:H$3000,MATCH($A103,營收表現!$A$6:$A$3000,0))="","",INDEX(營收表現!H$6:H$3000,MATCH($A103,營收表現!$A$6:$A$3000,0))),"")</f>
        <v/>
      </c>
      <c r="J103" t="str">
        <f>IFERROR(IF(INDEX(營收表現!I$6:I$3000,MATCH($A103,營收表現!$A$6:$A$3000,0))="","",INDEX(營收表現!I$6:I$3000,MATCH($A103,營收表現!$A$6:$A$3000,0))),"")</f>
        <v/>
      </c>
      <c r="K103" t="str">
        <f>IFERROR(IF(INDEX(營收表現!J$6:J$3000,MATCH($A103,營收表現!$A$6:$A$3000,0))="","",INDEX(營收表現!J$6:J$3000,MATCH($A103,營收表現!$A$6:$A$3000,0))),"")</f>
        <v/>
      </c>
      <c r="L103" t="str">
        <f>IFERROR(IF(INDEX(營收表現!K$6:K$3000,MATCH($A103,營收表現!$A$6:$A$3000,0))="","",INDEX(營收表現!K$6:K$3000,MATCH($A103,營收表現!$A$6:$A$3000,0))),"")</f>
        <v/>
      </c>
      <c r="M103" t="str">
        <f>IFERROR(IF(INDEX(營收表現!L$6:L$3000,MATCH($A103,營收表現!$A$6:$A$3000,0))="","",INDEX(營收表現!L$6:L$3000,MATCH($A103,營收表現!$A$6:$A$3000,0))),"")</f>
        <v/>
      </c>
      <c r="N103" t="str">
        <f>IFERROR(IF(INDEX(營收表現!M$6:M$3000,MATCH($A103,營收表現!$A$6:$A$3000,0))="","",INDEX(營收表現!M$6:M$3000,MATCH($A103,營收表現!$A$6:$A$3000,0))),"")</f>
        <v/>
      </c>
      <c r="O103" t="str">
        <f>IFERROR(IF(INDEX(營收表現!N$6:N$3000,MATCH($A103,營收表現!$A$6:$A$3000,0))="","",INDEX(營收表現!N$6:N$3000,MATCH($A103,營收表現!$A$6:$A$3000,0))),"")</f>
        <v/>
      </c>
    </row>
    <row r="104" spans="1:15">
      <c r="A104" s="2"/>
      <c r="B104" t="str">
        <f>IFERROR(INDEX(營收表現!B$6:B$3000,MATCH($A104,營收表現!$A$6:$A$3000,0)),"")</f>
        <v/>
      </c>
      <c r="C104" t="str">
        <f>IFERROR(INDEX(類別!G$4:G$3000,MATCH($A104,類別!$C$4:$C$3000,0)),"")</f>
        <v/>
      </c>
      <c r="D104" t="str">
        <f>IFERROR(IF(INDEX(營收表現!C$6:C$3000,MATCH($A104,營收表現!$A$6:$A$3000,0))="","",INDEX(營收表現!C$6:C$3000,MATCH($A104,營收表現!$A$6:$A$3000,0))),"")</f>
        <v/>
      </c>
      <c r="E104" t="str">
        <f>IFERROR(IF(INDEX(營收表現!D$6:D$3000,MATCH($A104,營收表現!$A$6:$A$3000,0))="","",INDEX(營收表現!D$6:D$3000,MATCH($A104,營收表現!$A$6:$A$3000,0))),"")</f>
        <v/>
      </c>
      <c r="F104" t="str">
        <f>IFERROR(IF(INDEX(營收表現!E$6:E$3000,MATCH($A104,營收表現!$A$6:$A$3000,0))="","",INDEX(營收表現!E$6:E$3000,MATCH($A104,營收表現!$A$6:$A$3000,0))),"")</f>
        <v/>
      </c>
      <c r="G104" t="str">
        <f>IFERROR(IF(INDEX(營收表現!F$6:F$3000,MATCH($A104,營收表現!$A$6:$A$3000,0))="","",INDEX(營收表現!F$6:F$3000,MATCH($A104,營收表現!$A$6:$A$3000,0))),"")</f>
        <v/>
      </c>
      <c r="H104" t="str">
        <f>IFERROR(IF(INDEX(營收表現!G$6:G$3000,MATCH($A104,營收表現!$A$6:$A$3000,0))="","",INDEX(營收表現!G$6:G$3000,MATCH($A104,營收表現!$A$6:$A$3000,0))),"")</f>
        <v/>
      </c>
      <c r="I104" t="str">
        <f>IFERROR(IF(INDEX(營收表現!H$6:H$3000,MATCH($A104,營收表現!$A$6:$A$3000,0))="","",INDEX(營收表現!H$6:H$3000,MATCH($A104,營收表現!$A$6:$A$3000,0))),"")</f>
        <v/>
      </c>
      <c r="J104" t="str">
        <f>IFERROR(IF(INDEX(營收表現!I$6:I$3000,MATCH($A104,營收表現!$A$6:$A$3000,0))="","",INDEX(營收表現!I$6:I$3000,MATCH($A104,營收表現!$A$6:$A$3000,0))),"")</f>
        <v/>
      </c>
      <c r="K104" t="str">
        <f>IFERROR(IF(INDEX(營收表現!J$6:J$3000,MATCH($A104,營收表現!$A$6:$A$3000,0))="","",INDEX(營收表現!J$6:J$3000,MATCH($A104,營收表現!$A$6:$A$3000,0))),"")</f>
        <v/>
      </c>
      <c r="L104" t="str">
        <f>IFERROR(IF(INDEX(營收表現!K$6:K$3000,MATCH($A104,營收表現!$A$6:$A$3000,0))="","",INDEX(營收表現!K$6:K$3000,MATCH($A104,營收表現!$A$6:$A$3000,0))),"")</f>
        <v/>
      </c>
      <c r="M104" t="str">
        <f>IFERROR(IF(INDEX(營收表現!L$6:L$3000,MATCH($A104,營收表現!$A$6:$A$3000,0))="","",INDEX(營收表現!L$6:L$3000,MATCH($A104,營收表現!$A$6:$A$3000,0))),"")</f>
        <v/>
      </c>
      <c r="N104" t="str">
        <f>IFERROR(IF(INDEX(營收表現!M$6:M$3000,MATCH($A104,營收表現!$A$6:$A$3000,0))="","",INDEX(營收表現!M$6:M$3000,MATCH($A104,營收表現!$A$6:$A$3000,0))),"")</f>
        <v/>
      </c>
      <c r="O104" t="str">
        <f>IFERROR(IF(INDEX(營收表現!N$6:N$3000,MATCH($A104,營收表現!$A$6:$A$3000,0))="","",INDEX(營收表現!N$6:N$3000,MATCH($A104,營收表現!$A$6:$A$3000,0))),"")</f>
        <v/>
      </c>
    </row>
    <row r="105" spans="1:15">
      <c r="A105" s="2"/>
      <c r="B105" t="str">
        <f>IFERROR(INDEX(營收表現!B$6:B$3000,MATCH($A105,營收表現!$A$6:$A$3000,0)),"")</f>
        <v/>
      </c>
      <c r="C105" t="str">
        <f>IFERROR(INDEX(類別!G$4:G$3000,MATCH($A105,類別!$C$4:$C$3000,0)),"")</f>
        <v/>
      </c>
      <c r="D105" t="str">
        <f>IFERROR(IF(INDEX(營收表現!C$6:C$3000,MATCH($A105,營收表現!$A$6:$A$3000,0))="","",INDEX(營收表現!C$6:C$3000,MATCH($A105,營收表現!$A$6:$A$3000,0))),"")</f>
        <v/>
      </c>
      <c r="E105" t="str">
        <f>IFERROR(IF(INDEX(營收表現!D$6:D$3000,MATCH($A105,營收表現!$A$6:$A$3000,0))="","",INDEX(營收表現!D$6:D$3000,MATCH($A105,營收表現!$A$6:$A$3000,0))),"")</f>
        <v/>
      </c>
      <c r="F105" t="str">
        <f>IFERROR(IF(INDEX(營收表現!E$6:E$3000,MATCH($A105,營收表現!$A$6:$A$3000,0))="","",INDEX(營收表現!E$6:E$3000,MATCH($A105,營收表現!$A$6:$A$3000,0))),"")</f>
        <v/>
      </c>
      <c r="G105" t="str">
        <f>IFERROR(IF(INDEX(營收表現!F$6:F$3000,MATCH($A105,營收表現!$A$6:$A$3000,0))="","",INDEX(營收表現!F$6:F$3000,MATCH($A105,營收表現!$A$6:$A$3000,0))),"")</f>
        <v/>
      </c>
      <c r="H105" t="str">
        <f>IFERROR(IF(INDEX(營收表現!G$6:G$3000,MATCH($A105,營收表現!$A$6:$A$3000,0))="","",INDEX(營收表現!G$6:G$3000,MATCH($A105,營收表現!$A$6:$A$3000,0))),"")</f>
        <v/>
      </c>
      <c r="I105" t="str">
        <f>IFERROR(IF(INDEX(營收表現!H$6:H$3000,MATCH($A105,營收表現!$A$6:$A$3000,0))="","",INDEX(營收表現!H$6:H$3000,MATCH($A105,營收表現!$A$6:$A$3000,0))),"")</f>
        <v/>
      </c>
      <c r="J105" t="str">
        <f>IFERROR(IF(INDEX(營收表現!I$6:I$3000,MATCH($A105,營收表現!$A$6:$A$3000,0))="","",INDEX(營收表現!I$6:I$3000,MATCH($A105,營收表現!$A$6:$A$3000,0))),"")</f>
        <v/>
      </c>
      <c r="K105" t="str">
        <f>IFERROR(IF(INDEX(營收表現!J$6:J$3000,MATCH($A105,營收表現!$A$6:$A$3000,0))="","",INDEX(營收表現!J$6:J$3000,MATCH($A105,營收表現!$A$6:$A$3000,0))),"")</f>
        <v/>
      </c>
      <c r="L105" t="str">
        <f>IFERROR(IF(INDEX(營收表現!K$6:K$3000,MATCH($A105,營收表現!$A$6:$A$3000,0))="","",INDEX(營收表現!K$6:K$3000,MATCH($A105,營收表現!$A$6:$A$3000,0))),"")</f>
        <v/>
      </c>
      <c r="M105" t="str">
        <f>IFERROR(IF(INDEX(營收表現!L$6:L$3000,MATCH($A105,營收表現!$A$6:$A$3000,0))="","",INDEX(營收表現!L$6:L$3000,MATCH($A105,營收表現!$A$6:$A$3000,0))),"")</f>
        <v/>
      </c>
      <c r="N105" t="str">
        <f>IFERROR(IF(INDEX(營收表現!M$6:M$3000,MATCH($A105,營收表現!$A$6:$A$3000,0))="","",INDEX(營收表現!M$6:M$3000,MATCH($A105,營收表現!$A$6:$A$3000,0))),"")</f>
        <v/>
      </c>
      <c r="O105" t="str">
        <f>IFERROR(IF(INDEX(營收表現!N$6:N$3000,MATCH($A105,營收表現!$A$6:$A$3000,0))="","",INDEX(營收表現!N$6:N$3000,MATCH($A105,營收表現!$A$6:$A$3000,0))),"")</f>
        <v/>
      </c>
    </row>
    <row r="106" spans="1:15">
      <c r="A106" s="2"/>
      <c r="B106" t="str">
        <f>IFERROR(INDEX(營收表現!B$6:B$3000,MATCH($A106,營收表現!$A$6:$A$3000,0)),"")</f>
        <v/>
      </c>
      <c r="C106" t="str">
        <f>IFERROR(INDEX(類別!G$4:G$3000,MATCH($A106,類別!$C$4:$C$3000,0)),"")</f>
        <v/>
      </c>
      <c r="D106" t="str">
        <f>IFERROR(IF(INDEX(營收表現!C$6:C$3000,MATCH($A106,營收表現!$A$6:$A$3000,0))="","",INDEX(營收表現!C$6:C$3000,MATCH($A106,營收表現!$A$6:$A$3000,0))),"")</f>
        <v/>
      </c>
      <c r="E106" t="str">
        <f>IFERROR(IF(INDEX(營收表現!D$6:D$3000,MATCH($A106,營收表現!$A$6:$A$3000,0))="","",INDEX(營收表現!D$6:D$3000,MATCH($A106,營收表現!$A$6:$A$3000,0))),"")</f>
        <v/>
      </c>
      <c r="F106" t="str">
        <f>IFERROR(IF(INDEX(營收表現!E$6:E$3000,MATCH($A106,營收表現!$A$6:$A$3000,0))="","",INDEX(營收表現!E$6:E$3000,MATCH($A106,營收表現!$A$6:$A$3000,0))),"")</f>
        <v/>
      </c>
      <c r="G106" t="str">
        <f>IFERROR(IF(INDEX(營收表現!F$6:F$3000,MATCH($A106,營收表現!$A$6:$A$3000,0))="","",INDEX(營收表現!F$6:F$3000,MATCH($A106,營收表現!$A$6:$A$3000,0))),"")</f>
        <v/>
      </c>
      <c r="H106" t="str">
        <f>IFERROR(IF(INDEX(營收表現!G$6:G$3000,MATCH($A106,營收表現!$A$6:$A$3000,0))="","",INDEX(營收表現!G$6:G$3000,MATCH($A106,營收表現!$A$6:$A$3000,0))),"")</f>
        <v/>
      </c>
      <c r="I106" t="str">
        <f>IFERROR(IF(INDEX(營收表現!H$6:H$3000,MATCH($A106,營收表現!$A$6:$A$3000,0))="","",INDEX(營收表現!H$6:H$3000,MATCH($A106,營收表現!$A$6:$A$3000,0))),"")</f>
        <v/>
      </c>
      <c r="J106" t="str">
        <f>IFERROR(IF(INDEX(營收表現!I$6:I$3000,MATCH($A106,營收表現!$A$6:$A$3000,0))="","",INDEX(營收表現!I$6:I$3000,MATCH($A106,營收表現!$A$6:$A$3000,0))),"")</f>
        <v/>
      </c>
      <c r="K106" t="str">
        <f>IFERROR(IF(INDEX(營收表現!J$6:J$3000,MATCH($A106,營收表現!$A$6:$A$3000,0))="","",INDEX(營收表現!J$6:J$3000,MATCH($A106,營收表現!$A$6:$A$3000,0))),"")</f>
        <v/>
      </c>
      <c r="L106" t="str">
        <f>IFERROR(IF(INDEX(營收表現!K$6:K$3000,MATCH($A106,營收表現!$A$6:$A$3000,0))="","",INDEX(營收表現!K$6:K$3000,MATCH($A106,營收表現!$A$6:$A$3000,0))),"")</f>
        <v/>
      </c>
      <c r="M106" t="str">
        <f>IFERROR(IF(INDEX(營收表現!L$6:L$3000,MATCH($A106,營收表現!$A$6:$A$3000,0))="","",INDEX(營收表現!L$6:L$3000,MATCH($A106,營收表現!$A$6:$A$3000,0))),"")</f>
        <v/>
      </c>
      <c r="N106" t="str">
        <f>IFERROR(IF(INDEX(營收表現!M$6:M$3000,MATCH($A106,營收表現!$A$6:$A$3000,0))="","",INDEX(營收表現!M$6:M$3000,MATCH($A106,營收表現!$A$6:$A$3000,0))),"")</f>
        <v/>
      </c>
      <c r="O106" t="str">
        <f>IFERROR(IF(INDEX(營收表現!N$6:N$3000,MATCH($A106,營收表現!$A$6:$A$3000,0))="","",INDEX(營收表現!N$6:N$3000,MATCH($A106,營收表現!$A$6:$A$3000,0))),"")</f>
        <v/>
      </c>
    </row>
    <row r="107" spans="1:15">
      <c r="A107" s="2"/>
      <c r="B107" t="str">
        <f>IFERROR(INDEX(營收表現!B$6:B$3000,MATCH($A107,營收表現!$A$6:$A$3000,0)),"")</f>
        <v/>
      </c>
      <c r="C107" t="str">
        <f>IFERROR(INDEX(類別!G$4:G$3000,MATCH($A107,類別!$C$4:$C$3000,0)),"")</f>
        <v/>
      </c>
      <c r="D107" t="str">
        <f>IFERROR(IF(INDEX(營收表現!C$6:C$3000,MATCH($A107,營收表現!$A$6:$A$3000,0))="","",INDEX(營收表現!C$6:C$3000,MATCH($A107,營收表現!$A$6:$A$3000,0))),"")</f>
        <v/>
      </c>
      <c r="E107" t="str">
        <f>IFERROR(IF(INDEX(營收表現!D$6:D$3000,MATCH($A107,營收表現!$A$6:$A$3000,0))="","",INDEX(營收表現!D$6:D$3000,MATCH($A107,營收表現!$A$6:$A$3000,0))),"")</f>
        <v/>
      </c>
      <c r="F107" t="str">
        <f>IFERROR(IF(INDEX(營收表現!E$6:E$3000,MATCH($A107,營收表現!$A$6:$A$3000,0))="","",INDEX(營收表現!E$6:E$3000,MATCH($A107,營收表現!$A$6:$A$3000,0))),"")</f>
        <v/>
      </c>
      <c r="G107" t="str">
        <f>IFERROR(IF(INDEX(營收表現!F$6:F$3000,MATCH($A107,營收表現!$A$6:$A$3000,0))="","",INDEX(營收表現!F$6:F$3000,MATCH($A107,營收表現!$A$6:$A$3000,0))),"")</f>
        <v/>
      </c>
      <c r="H107" t="str">
        <f>IFERROR(IF(INDEX(營收表現!G$6:G$3000,MATCH($A107,營收表現!$A$6:$A$3000,0))="","",INDEX(營收表現!G$6:G$3000,MATCH($A107,營收表現!$A$6:$A$3000,0))),"")</f>
        <v/>
      </c>
      <c r="I107" t="str">
        <f>IFERROR(IF(INDEX(營收表現!H$6:H$3000,MATCH($A107,營收表現!$A$6:$A$3000,0))="","",INDEX(營收表現!H$6:H$3000,MATCH($A107,營收表現!$A$6:$A$3000,0))),"")</f>
        <v/>
      </c>
      <c r="J107" t="str">
        <f>IFERROR(IF(INDEX(營收表現!I$6:I$3000,MATCH($A107,營收表現!$A$6:$A$3000,0))="","",INDEX(營收表現!I$6:I$3000,MATCH($A107,營收表現!$A$6:$A$3000,0))),"")</f>
        <v/>
      </c>
      <c r="K107" t="str">
        <f>IFERROR(IF(INDEX(營收表現!J$6:J$3000,MATCH($A107,營收表現!$A$6:$A$3000,0))="","",INDEX(營收表現!J$6:J$3000,MATCH($A107,營收表現!$A$6:$A$3000,0))),"")</f>
        <v/>
      </c>
      <c r="L107" t="str">
        <f>IFERROR(IF(INDEX(營收表現!K$6:K$3000,MATCH($A107,營收表現!$A$6:$A$3000,0))="","",INDEX(營收表現!K$6:K$3000,MATCH($A107,營收表現!$A$6:$A$3000,0))),"")</f>
        <v/>
      </c>
      <c r="M107" t="str">
        <f>IFERROR(IF(INDEX(營收表現!L$6:L$3000,MATCH($A107,營收表現!$A$6:$A$3000,0))="","",INDEX(營收表現!L$6:L$3000,MATCH($A107,營收表現!$A$6:$A$3000,0))),"")</f>
        <v/>
      </c>
      <c r="N107" t="str">
        <f>IFERROR(IF(INDEX(營收表現!M$6:M$3000,MATCH($A107,營收表現!$A$6:$A$3000,0))="","",INDEX(營收表現!M$6:M$3000,MATCH($A107,營收表現!$A$6:$A$3000,0))),"")</f>
        <v/>
      </c>
      <c r="O107" t="str">
        <f>IFERROR(IF(INDEX(營收表現!N$6:N$3000,MATCH($A107,營收表現!$A$6:$A$3000,0))="","",INDEX(營收表現!N$6:N$3000,MATCH($A107,營收表現!$A$6:$A$3000,0))),"")</f>
        <v/>
      </c>
    </row>
    <row r="108" spans="1:15">
      <c r="A108" s="2"/>
      <c r="B108" t="str">
        <f>IFERROR(INDEX(營收表現!B$6:B$3000,MATCH($A108,營收表現!$A$6:$A$3000,0)),"")</f>
        <v/>
      </c>
      <c r="C108" t="str">
        <f>IFERROR(INDEX(類別!G$4:G$3000,MATCH($A108,類別!$C$4:$C$3000,0)),"")</f>
        <v/>
      </c>
      <c r="D108" t="str">
        <f>IFERROR(IF(INDEX(營收表現!C$6:C$3000,MATCH($A108,營收表現!$A$6:$A$3000,0))="","",INDEX(營收表現!C$6:C$3000,MATCH($A108,營收表現!$A$6:$A$3000,0))),"")</f>
        <v/>
      </c>
      <c r="E108" t="str">
        <f>IFERROR(IF(INDEX(營收表現!D$6:D$3000,MATCH($A108,營收表現!$A$6:$A$3000,0))="","",INDEX(營收表現!D$6:D$3000,MATCH($A108,營收表現!$A$6:$A$3000,0))),"")</f>
        <v/>
      </c>
      <c r="F108" t="str">
        <f>IFERROR(IF(INDEX(營收表現!E$6:E$3000,MATCH($A108,營收表現!$A$6:$A$3000,0))="","",INDEX(營收表現!E$6:E$3000,MATCH($A108,營收表現!$A$6:$A$3000,0))),"")</f>
        <v/>
      </c>
      <c r="G108" t="str">
        <f>IFERROR(IF(INDEX(營收表現!F$6:F$3000,MATCH($A108,營收表現!$A$6:$A$3000,0))="","",INDEX(營收表現!F$6:F$3000,MATCH($A108,營收表現!$A$6:$A$3000,0))),"")</f>
        <v/>
      </c>
      <c r="H108" t="str">
        <f>IFERROR(IF(INDEX(營收表現!G$6:G$3000,MATCH($A108,營收表現!$A$6:$A$3000,0))="","",INDEX(營收表現!G$6:G$3000,MATCH($A108,營收表現!$A$6:$A$3000,0))),"")</f>
        <v/>
      </c>
      <c r="I108" t="str">
        <f>IFERROR(IF(INDEX(營收表現!H$6:H$3000,MATCH($A108,營收表現!$A$6:$A$3000,0))="","",INDEX(營收表現!H$6:H$3000,MATCH($A108,營收表現!$A$6:$A$3000,0))),"")</f>
        <v/>
      </c>
      <c r="J108" t="str">
        <f>IFERROR(IF(INDEX(營收表現!I$6:I$3000,MATCH($A108,營收表現!$A$6:$A$3000,0))="","",INDEX(營收表現!I$6:I$3000,MATCH($A108,營收表現!$A$6:$A$3000,0))),"")</f>
        <v/>
      </c>
      <c r="K108" t="str">
        <f>IFERROR(IF(INDEX(營收表現!J$6:J$3000,MATCH($A108,營收表現!$A$6:$A$3000,0))="","",INDEX(營收表現!J$6:J$3000,MATCH($A108,營收表現!$A$6:$A$3000,0))),"")</f>
        <v/>
      </c>
      <c r="L108" t="str">
        <f>IFERROR(IF(INDEX(營收表現!K$6:K$3000,MATCH($A108,營收表現!$A$6:$A$3000,0))="","",INDEX(營收表現!K$6:K$3000,MATCH($A108,營收表現!$A$6:$A$3000,0))),"")</f>
        <v/>
      </c>
      <c r="M108" t="str">
        <f>IFERROR(IF(INDEX(營收表現!L$6:L$3000,MATCH($A108,營收表現!$A$6:$A$3000,0))="","",INDEX(營收表現!L$6:L$3000,MATCH($A108,營收表現!$A$6:$A$3000,0))),"")</f>
        <v/>
      </c>
      <c r="N108" t="str">
        <f>IFERROR(IF(INDEX(營收表現!M$6:M$3000,MATCH($A108,營收表現!$A$6:$A$3000,0))="","",INDEX(營收表現!M$6:M$3000,MATCH($A108,營收表現!$A$6:$A$3000,0))),"")</f>
        <v/>
      </c>
      <c r="O108" t="str">
        <f>IFERROR(IF(INDEX(營收表現!N$6:N$3000,MATCH($A108,營收表現!$A$6:$A$3000,0))="","",INDEX(營收表現!N$6:N$3000,MATCH($A108,營收表現!$A$6:$A$3000,0))),"")</f>
        <v/>
      </c>
    </row>
    <row r="109" spans="1:15">
      <c r="A109" s="2"/>
      <c r="B109" t="str">
        <f>IFERROR(INDEX(營收表現!B$6:B$3000,MATCH($A109,營收表現!$A$6:$A$3000,0)),"")</f>
        <v/>
      </c>
      <c r="C109" t="str">
        <f>IFERROR(INDEX(類別!G$4:G$3000,MATCH($A109,類別!$C$4:$C$3000,0)),"")</f>
        <v/>
      </c>
      <c r="D109" t="str">
        <f>IFERROR(IF(INDEX(營收表現!C$6:C$3000,MATCH($A109,營收表現!$A$6:$A$3000,0))="","",INDEX(營收表現!C$6:C$3000,MATCH($A109,營收表現!$A$6:$A$3000,0))),"")</f>
        <v/>
      </c>
      <c r="E109" t="str">
        <f>IFERROR(IF(INDEX(營收表現!D$6:D$3000,MATCH($A109,營收表現!$A$6:$A$3000,0))="","",INDEX(營收表現!D$6:D$3000,MATCH($A109,營收表現!$A$6:$A$3000,0))),"")</f>
        <v/>
      </c>
      <c r="F109" t="str">
        <f>IFERROR(IF(INDEX(營收表現!E$6:E$3000,MATCH($A109,營收表現!$A$6:$A$3000,0))="","",INDEX(營收表現!E$6:E$3000,MATCH($A109,營收表現!$A$6:$A$3000,0))),"")</f>
        <v/>
      </c>
      <c r="G109" t="str">
        <f>IFERROR(IF(INDEX(營收表現!F$6:F$3000,MATCH($A109,營收表現!$A$6:$A$3000,0))="","",INDEX(營收表現!F$6:F$3000,MATCH($A109,營收表現!$A$6:$A$3000,0))),"")</f>
        <v/>
      </c>
      <c r="H109" t="str">
        <f>IFERROR(IF(INDEX(營收表現!G$6:G$3000,MATCH($A109,營收表現!$A$6:$A$3000,0))="","",INDEX(營收表現!G$6:G$3000,MATCH($A109,營收表現!$A$6:$A$3000,0))),"")</f>
        <v/>
      </c>
      <c r="I109" t="str">
        <f>IFERROR(IF(INDEX(營收表現!H$6:H$3000,MATCH($A109,營收表現!$A$6:$A$3000,0))="","",INDEX(營收表現!H$6:H$3000,MATCH($A109,營收表現!$A$6:$A$3000,0))),"")</f>
        <v/>
      </c>
      <c r="J109" t="str">
        <f>IFERROR(IF(INDEX(營收表現!I$6:I$3000,MATCH($A109,營收表現!$A$6:$A$3000,0))="","",INDEX(營收表現!I$6:I$3000,MATCH($A109,營收表現!$A$6:$A$3000,0))),"")</f>
        <v/>
      </c>
      <c r="K109" t="str">
        <f>IFERROR(IF(INDEX(營收表現!J$6:J$3000,MATCH($A109,營收表現!$A$6:$A$3000,0))="","",INDEX(營收表現!J$6:J$3000,MATCH($A109,營收表現!$A$6:$A$3000,0))),"")</f>
        <v/>
      </c>
      <c r="L109" t="str">
        <f>IFERROR(IF(INDEX(營收表現!K$6:K$3000,MATCH($A109,營收表現!$A$6:$A$3000,0))="","",INDEX(營收表現!K$6:K$3000,MATCH($A109,營收表現!$A$6:$A$3000,0))),"")</f>
        <v/>
      </c>
      <c r="M109" t="str">
        <f>IFERROR(IF(INDEX(營收表現!L$6:L$3000,MATCH($A109,營收表現!$A$6:$A$3000,0))="","",INDEX(營收表現!L$6:L$3000,MATCH($A109,營收表現!$A$6:$A$3000,0))),"")</f>
        <v/>
      </c>
      <c r="N109" t="str">
        <f>IFERROR(IF(INDEX(營收表現!M$6:M$3000,MATCH($A109,營收表現!$A$6:$A$3000,0))="","",INDEX(營收表現!M$6:M$3000,MATCH($A109,營收表現!$A$6:$A$3000,0))),"")</f>
        <v/>
      </c>
      <c r="O109" t="str">
        <f>IFERROR(IF(INDEX(營收表現!N$6:N$3000,MATCH($A109,營收表現!$A$6:$A$3000,0))="","",INDEX(營收表現!N$6:N$3000,MATCH($A109,營收表現!$A$6:$A$3000,0))),"")</f>
        <v/>
      </c>
    </row>
    <row r="110" spans="1:15">
      <c r="A110" s="2"/>
      <c r="B110" t="str">
        <f>IFERROR(INDEX(營收表現!B$6:B$3000,MATCH($A110,營收表現!$A$6:$A$3000,0)),"")</f>
        <v/>
      </c>
      <c r="C110" t="str">
        <f>IFERROR(INDEX(類別!G$4:G$3000,MATCH($A110,類別!$C$4:$C$3000,0)),"")</f>
        <v/>
      </c>
      <c r="D110" t="str">
        <f>IFERROR(IF(INDEX(營收表現!C$6:C$3000,MATCH($A110,營收表現!$A$6:$A$3000,0))="","",INDEX(營收表現!C$6:C$3000,MATCH($A110,營收表現!$A$6:$A$3000,0))),"")</f>
        <v/>
      </c>
      <c r="E110" t="str">
        <f>IFERROR(IF(INDEX(營收表現!D$6:D$3000,MATCH($A110,營收表現!$A$6:$A$3000,0))="","",INDEX(營收表現!D$6:D$3000,MATCH($A110,營收表現!$A$6:$A$3000,0))),"")</f>
        <v/>
      </c>
      <c r="F110" t="str">
        <f>IFERROR(IF(INDEX(營收表現!E$6:E$3000,MATCH($A110,營收表現!$A$6:$A$3000,0))="","",INDEX(營收表現!E$6:E$3000,MATCH($A110,營收表現!$A$6:$A$3000,0))),"")</f>
        <v/>
      </c>
      <c r="G110" t="str">
        <f>IFERROR(IF(INDEX(營收表現!F$6:F$3000,MATCH($A110,營收表現!$A$6:$A$3000,0))="","",INDEX(營收表現!F$6:F$3000,MATCH($A110,營收表現!$A$6:$A$3000,0))),"")</f>
        <v/>
      </c>
      <c r="H110" t="str">
        <f>IFERROR(IF(INDEX(營收表現!G$6:G$3000,MATCH($A110,營收表現!$A$6:$A$3000,0))="","",INDEX(營收表現!G$6:G$3000,MATCH($A110,營收表現!$A$6:$A$3000,0))),"")</f>
        <v/>
      </c>
      <c r="I110" t="str">
        <f>IFERROR(IF(INDEX(營收表現!H$6:H$3000,MATCH($A110,營收表現!$A$6:$A$3000,0))="","",INDEX(營收表現!H$6:H$3000,MATCH($A110,營收表現!$A$6:$A$3000,0))),"")</f>
        <v/>
      </c>
      <c r="J110" t="str">
        <f>IFERROR(IF(INDEX(營收表現!I$6:I$3000,MATCH($A110,營收表現!$A$6:$A$3000,0))="","",INDEX(營收表現!I$6:I$3000,MATCH($A110,營收表現!$A$6:$A$3000,0))),"")</f>
        <v/>
      </c>
      <c r="K110" t="str">
        <f>IFERROR(IF(INDEX(營收表現!J$6:J$3000,MATCH($A110,營收表現!$A$6:$A$3000,0))="","",INDEX(營收表現!J$6:J$3000,MATCH($A110,營收表現!$A$6:$A$3000,0))),"")</f>
        <v/>
      </c>
      <c r="L110" t="str">
        <f>IFERROR(IF(INDEX(營收表現!K$6:K$3000,MATCH($A110,營收表現!$A$6:$A$3000,0))="","",INDEX(營收表現!K$6:K$3000,MATCH($A110,營收表現!$A$6:$A$3000,0))),"")</f>
        <v/>
      </c>
      <c r="M110" t="str">
        <f>IFERROR(IF(INDEX(營收表現!L$6:L$3000,MATCH($A110,營收表現!$A$6:$A$3000,0))="","",INDEX(營收表現!L$6:L$3000,MATCH($A110,營收表現!$A$6:$A$3000,0))),"")</f>
        <v/>
      </c>
      <c r="N110" t="str">
        <f>IFERROR(IF(INDEX(營收表現!M$6:M$3000,MATCH($A110,營收表現!$A$6:$A$3000,0))="","",INDEX(營收表現!M$6:M$3000,MATCH($A110,營收表現!$A$6:$A$3000,0))),"")</f>
        <v/>
      </c>
      <c r="O110" t="str">
        <f>IFERROR(IF(INDEX(營收表現!N$6:N$3000,MATCH($A110,營收表現!$A$6:$A$3000,0))="","",INDEX(營收表現!N$6:N$3000,MATCH($A110,營收表現!$A$6:$A$3000,0))),"")</f>
        <v/>
      </c>
    </row>
    <row r="111" spans="1:15">
      <c r="A111" s="2"/>
      <c r="B111" t="str">
        <f>IFERROR(INDEX(營收表現!B$6:B$3000,MATCH($A111,營收表現!$A$6:$A$3000,0)),"")</f>
        <v/>
      </c>
      <c r="C111" t="str">
        <f>IFERROR(INDEX(類別!G$4:G$3000,MATCH($A111,類別!$C$4:$C$3000,0)),"")</f>
        <v/>
      </c>
      <c r="D111" t="str">
        <f>IFERROR(IF(INDEX(營收表現!C$6:C$3000,MATCH($A111,營收表現!$A$6:$A$3000,0))="","",INDEX(營收表現!C$6:C$3000,MATCH($A111,營收表現!$A$6:$A$3000,0))),"")</f>
        <v/>
      </c>
      <c r="E111" t="str">
        <f>IFERROR(IF(INDEX(營收表現!D$6:D$3000,MATCH($A111,營收表現!$A$6:$A$3000,0))="","",INDEX(營收表現!D$6:D$3000,MATCH($A111,營收表現!$A$6:$A$3000,0))),"")</f>
        <v/>
      </c>
      <c r="F111" t="str">
        <f>IFERROR(IF(INDEX(營收表現!E$6:E$3000,MATCH($A111,營收表現!$A$6:$A$3000,0))="","",INDEX(營收表現!E$6:E$3000,MATCH($A111,營收表現!$A$6:$A$3000,0))),"")</f>
        <v/>
      </c>
      <c r="G111" t="str">
        <f>IFERROR(IF(INDEX(營收表現!F$6:F$3000,MATCH($A111,營收表現!$A$6:$A$3000,0))="","",INDEX(營收表現!F$6:F$3000,MATCH($A111,營收表現!$A$6:$A$3000,0))),"")</f>
        <v/>
      </c>
      <c r="H111" t="str">
        <f>IFERROR(IF(INDEX(營收表現!G$6:G$3000,MATCH($A111,營收表現!$A$6:$A$3000,0))="","",INDEX(營收表現!G$6:G$3000,MATCH($A111,營收表現!$A$6:$A$3000,0))),"")</f>
        <v/>
      </c>
      <c r="I111" t="str">
        <f>IFERROR(IF(INDEX(營收表現!H$6:H$3000,MATCH($A111,營收表現!$A$6:$A$3000,0))="","",INDEX(營收表現!H$6:H$3000,MATCH($A111,營收表現!$A$6:$A$3000,0))),"")</f>
        <v/>
      </c>
      <c r="J111" t="str">
        <f>IFERROR(IF(INDEX(營收表現!I$6:I$3000,MATCH($A111,營收表現!$A$6:$A$3000,0))="","",INDEX(營收表現!I$6:I$3000,MATCH($A111,營收表現!$A$6:$A$3000,0))),"")</f>
        <v/>
      </c>
      <c r="K111" t="str">
        <f>IFERROR(IF(INDEX(營收表現!J$6:J$3000,MATCH($A111,營收表現!$A$6:$A$3000,0))="","",INDEX(營收表現!J$6:J$3000,MATCH($A111,營收表現!$A$6:$A$3000,0))),"")</f>
        <v/>
      </c>
      <c r="L111" t="str">
        <f>IFERROR(IF(INDEX(營收表現!K$6:K$3000,MATCH($A111,營收表現!$A$6:$A$3000,0))="","",INDEX(營收表現!K$6:K$3000,MATCH($A111,營收表現!$A$6:$A$3000,0))),"")</f>
        <v/>
      </c>
      <c r="M111" t="str">
        <f>IFERROR(IF(INDEX(營收表現!L$6:L$3000,MATCH($A111,營收表現!$A$6:$A$3000,0))="","",INDEX(營收表現!L$6:L$3000,MATCH($A111,營收表現!$A$6:$A$3000,0))),"")</f>
        <v/>
      </c>
      <c r="N111" t="str">
        <f>IFERROR(IF(INDEX(營收表現!M$6:M$3000,MATCH($A111,營收表現!$A$6:$A$3000,0))="","",INDEX(營收表現!M$6:M$3000,MATCH($A111,營收表現!$A$6:$A$3000,0))),"")</f>
        <v/>
      </c>
      <c r="O111" t="str">
        <f>IFERROR(IF(INDEX(營收表現!N$6:N$3000,MATCH($A111,營收表現!$A$6:$A$3000,0))="","",INDEX(營收表現!N$6:N$3000,MATCH($A111,營收表現!$A$6:$A$3000,0))),"")</f>
        <v/>
      </c>
    </row>
    <row r="112" spans="1:15">
      <c r="A112" s="2"/>
      <c r="B112" t="str">
        <f>IFERROR(INDEX(營收表現!B$6:B$3000,MATCH($A112,營收表現!$A$6:$A$3000,0)),"")</f>
        <v/>
      </c>
      <c r="C112" t="str">
        <f>IFERROR(INDEX(類別!G$4:G$3000,MATCH($A112,類別!$C$4:$C$3000,0)),"")</f>
        <v/>
      </c>
      <c r="D112" t="str">
        <f>IFERROR(IF(INDEX(營收表現!C$6:C$3000,MATCH($A112,營收表現!$A$6:$A$3000,0))="","",INDEX(營收表現!C$6:C$3000,MATCH($A112,營收表現!$A$6:$A$3000,0))),"")</f>
        <v/>
      </c>
      <c r="E112" t="str">
        <f>IFERROR(IF(INDEX(營收表現!D$6:D$3000,MATCH($A112,營收表現!$A$6:$A$3000,0))="","",INDEX(營收表現!D$6:D$3000,MATCH($A112,營收表現!$A$6:$A$3000,0))),"")</f>
        <v/>
      </c>
      <c r="F112" t="str">
        <f>IFERROR(IF(INDEX(營收表現!E$6:E$3000,MATCH($A112,營收表現!$A$6:$A$3000,0))="","",INDEX(營收表現!E$6:E$3000,MATCH($A112,營收表現!$A$6:$A$3000,0))),"")</f>
        <v/>
      </c>
      <c r="G112" t="str">
        <f>IFERROR(IF(INDEX(營收表現!F$6:F$3000,MATCH($A112,營收表現!$A$6:$A$3000,0))="","",INDEX(營收表現!F$6:F$3000,MATCH($A112,營收表現!$A$6:$A$3000,0))),"")</f>
        <v/>
      </c>
      <c r="H112" t="str">
        <f>IFERROR(IF(INDEX(營收表現!G$6:G$3000,MATCH($A112,營收表現!$A$6:$A$3000,0))="","",INDEX(營收表現!G$6:G$3000,MATCH($A112,營收表現!$A$6:$A$3000,0))),"")</f>
        <v/>
      </c>
      <c r="I112" t="str">
        <f>IFERROR(IF(INDEX(營收表現!H$6:H$3000,MATCH($A112,營收表現!$A$6:$A$3000,0))="","",INDEX(營收表現!H$6:H$3000,MATCH($A112,營收表現!$A$6:$A$3000,0))),"")</f>
        <v/>
      </c>
      <c r="J112" t="str">
        <f>IFERROR(IF(INDEX(營收表現!I$6:I$3000,MATCH($A112,營收表現!$A$6:$A$3000,0))="","",INDEX(營收表現!I$6:I$3000,MATCH($A112,營收表現!$A$6:$A$3000,0))),"")</f>
        <v/>
      </c>
      <c r="K112" t="str">
        <f>IFERROR(IF(INDEX(營收表現!J$6:J$3000,MATCH($A112,營收表現!$A$6:$A$3000,0))="","",INDEX(營收表現!J$6:J$3000,MATCH($A112,營收表現!$A$6:$A$3000,0))),"")</f>
        <v/>
      </c>
      <c r="L112" t="str">
        <f>IFERROR(IF(INDEX(營收表現!K$6:K$3000,MATCH($A112,營收表現!$A$6:$A$3000,0))="","",INDEX(營收表現!K$6:K$3000,MATCH($A112,營收表現!$A$6:$A$3000,0))),"")</f>
        <v/>
      </c>
      <c r="M112" t="str">
        <f>IFERROR(IF(INDEX(營收表現!L$6:L$3000,MATCH($A112,營收表現!$A$6:$A$3000,0))="","",INDEX(營收表現!L$6:L$3000,MATCH($A112,營收表現!$A$6:$A$3000,0))),"")</f>
        <v/>
      </c>
      <c r="N112" t="str">
        <f>IFERROR(IF(INDEX(營收表現!M$6:M$3000,MATCH($A112,營收表現!$A$6:$A$3000,0))="","",INDEX(營收表現!M$6:M$3000,MATCH($A112,營收表現!$A$6:$A$3000,0))),"")</f>
        <v/>
      </c>
      <c r="O112" t="str">
        <f>IFERROR(IF(INDEX(營收表現!N$6:N$3000,MATCH($A112,營收表現!$A$6:$A$3000,0))="","",INDEX(營收表現!N$6:N$3000,MATCH($A112,營收表現!$A$6:$A$3000,0))),"")</f>
        <v/>
      </c>
    </row>
    <row r="113" spans="1:15">
      <c r="A113" s="2"/>
      <c r="B113" t="str">
        <f>IFERROR(INDEX(營收表現!B$6:B$3000,MATCH($A113,營收表現!$A$6:$A$3000,0)),"")</f>
        <v/>
      </c>
      <c r="C113" t="str">
        <f>IFERROR(INDEX(類別!G$4:G$3000,MATCH($A113,類別!$C$4:$C$3000,0)),"")</f>
        <v/>
      </c>
      <c r="D113" t="str">
        <f>IFERROR(IF(INDEX(營收表現!C$6:C$3000,MATCH($A113,營收表現!$A$6:$A$3000,0))="","",INDEX(營收表現!C$6:C$3000,MATCH($A113,營收表現!$A$6:$A$3000,0))),"")</f>
        <v/>
      </c>
      <c r="E113" t="str">
        <f>IFERROR(IF(INDEX(營收表現!D$6:D$3000,MATCH($A113,營收表現!$A$6:$A$3000,0))="","",INDEX(營收表現!D$6:D$3000,MATCH($A113,營收表現!$A$6:$A$3000,0))),"")</f>
        <v/>
      </c>
      <c r="F113" t="str">
        <f>IFERROR(IF(INDEX(營收表現!E$6:E$3000,MATCH($A113,營收表現!$A$6:$A$3000,0))="","",INDEX(營收表現!E$6:E$3000,MATCH($A113,營收表現!$A$6:$A$3000,0))),"")</f>
        <v/>
      </c>
      <c r="G113" t="str">
        <f>IFERROR(IF(INDEX(營收表現!F$6:F$3000,MATCH($A113,營收表現!$A$6:$A$3000,0))="","",INDEX(營收表現!F$6:F$3000,MATCH($A113,營收表現!$A$6:$A$3000,0))),"")</f>
        <v/>
      </c>
      <c r="H113" t="str">
        <f>IFERROR(IF(INDEX(營收表現!G$6:G$3000,MATCH($A113,營收表現!$A$6:$A$3000,0))="","",INDEX(營收表現!G$6:G$3000,MATCH($A113,營收表現!$A$6:$A$3000,0))),"")</f>
        <v/>
      </c>
      <c r="I113" t="str">
        <f>IFERROR(IF(INDEX(營收表現!H$6:H$3000,MATCH($A113,營收表現!$A$6:$A$3000,0))="","",INDEX(營收表現!H$6:H$3000,MATCH($A113,營收表現!$A$6:$A$3000,0))),"")</f>
        <v/>
      </c>
      <c r="J113" t="str">
        <f>IFERROR(IF(INDEX(營收表現!I$6:I$3000,MATCH($A113,營收表現!$A$6:$A$3000,0))="","",INDEX(營收表現!I$6:I$3000,MATCH($A113,營收表現!$A$6:$A$3000,0))),"")</f>
        <v/>
      </c>
      <c r="K113" t="str">
        <f>IFERROR(IF(INDEX(營收表現!J$6:J$3000,MATCH($A113,營收表現!$A$6:$A$3000,0))="","",INDEX(營收表現!J$6:J$3000,MATCH($A113,營收表現!$A$6:$A$3000,0))),"")</f>
        <v/>
      </c>
      <c r="L113" t="str">
        <f>IFERROR(IF(INDEX(營收表現!K$6:K$3000,MATCH($A113,營收表現!$A$6:$A$3000,0))="","",INDEX(營收表現!K$6:K$3000,MATCH($A113,營收表現!$A$6:$A$3000,0))),"")</f>
        <v/>
      </c>
      <c r="M113" t="str">
        <f>IFERROR(IF(INDEX(營收表現!L$6:L$3000,MATCH($A113,營收表現!$A$6:$A$3000,0))="","",INDEX(營收表現!L$6:L$3000,MATCH($A113,營收表現!$A$6:$A$3000,0))),"")</f>
        <v/>
      </c>
      <c r="N113" t="str">
        <f>IFERROR(IF(INDEX(營收表現!M$6:M$3000,MATCH($A113,營收表現!$A$6:$A$3000,0))="","",INDEX(營收表現!M$6:M$3000,MATCH($A113,營收表現!$A$6:$A$3000,0))),"")</f>
        <v/>
      </c>
      <c r="O113" t="str">
        <f>IFERROR(IF(INDEX(營收表現!N$6:N$3000,MATCH($A113,營收表現!$A$6:$A$3000,0))="","",INDEX(營收表現!N$6:N$3000,MATCH($A113,營收表現!$A$6:$A$3000,0))),"")</f>
        <v/>
      </c>
    </row>
    <row r="114" spans="1:15">
      <c r="A114" s="2"/>
      <c r="B114" t="str">
        <f>IFERROR(INDEX(營收表現!B$6:B$3000,MATCH($A114,營收表現!$A$6:$A$3000,0)),"")</f>
        <v/>
      </c>
      <c r="C114" t="str">
        <f>IFERROR(INDEX(類別!G$4:G$3000,MATCH($A114,類別!$C$4:$C$3000,0)),"")</f>
        <v/>
      </c>
      <c r="D114" t="str">
        <f>IFERROR(IF(INDEX(營收表現!C$6:C$3000,MATCH($A114,營收表現!$A$6:$A$3000,0))="","",INDEX(營收表現!C$6:C$3000,MATCH($A114,營收表現!$A$6:$A$3000,0))),"")</f>
        <v/>
      </c>
      <c r="E114" t="str">
        <f>IFERROR(IF(INDEX(營收表現!D$6:D$3000,MATCH($A114,營收表現!$A$6:$A$3000,0))="","",INDEX(營收表現!D$6:D$3000,MATCH($A114,營收表現!$A$6:$A$3000,0))),"")</f>
        <v/>
      </c>
      <c r="F114" t="str">
        <f>IFERROR(IF(INDEX(營收表現!E$6:E$3000,MATCH($A114,營收表現!$A$6:$A$3000,0))="","",INDEX(營收表現!E$6:E$3000,MATCH($A114,營收表現!$A$6:$A$3000,0))),"")</f>
        <v/>
      </c>
      <c r="G114" t="str">
        <f>IFERROR(IF(INDEX(營收表現!F$6:F$3000,MATCH($A114,營收表現!$A$6:$A$3000,0))="","",INDEX(營收表現!F$6:F$3000,MATCH($A114,營收表現!$A$6:$A$3000,0))),"")</f>
        <v/>
      </c>
      <c r="H114" t="str">
        <f>IFERROR(IF(INDEX(營收表現!G$6:G$3000,MATCH($A114,營收表現!$A$6:$A$3000,0))="","",INDEX(營收表現!G$6:G$3000,MATCH($A114,營收表現!$A$6:$A$3000,0))),"")</f>
        <v/>
      </c>
      <c r="I114" t="str">
        <f>IFERROR(IF(INDEX(營收表現!H$6:H$3000,MATCH($A114,營收表現!$A$6:$A$3000,0))="","",INDEX(營收表現!H$6:H$3000,MATCH($A114,營收表現!$A$6:$A$3000,0))),"")</f>
        <v/>
      </c>
      <c r="J114" t="str">
        <f>IFERROR(IF(INDEX(營收表現!I$6:I$3000,MATCH($A114,營收表現!$A$6:$A$3000,0))="","",INDEX(營收表現!I$6:I$3000,MATCH($A114,營收表現!$A$6:$A$3000,0))),"")</f>
        <v/>
      </c>
      <c r="K114" t="str">
        <f>IFERROR(IF(INDEX(營收表現!J$6:J$3000,MATCH($A114,營收表現!$A$6:$A$3000,0))="","",INDEX(營收表現!J$6:J$3000,MATCH($A114,營收表現!$A$6:$A$3000,0))),"")</f>
        <v/>
      </c>
      <c r="L114" t="str">
        <f>IFERROR(IF(INDEX(營收表現!K$6:K$3000,MATCH($A114,營收表現!$A$6:$A$3000,0))="","",INDEX(營收表現!K$6:K$3000,MATCH($A114,營收表現!$A$6:$A$3000,0))),"")</f>
        <v/>
      </c>
      <c r="M114" t="str">
        <f>IFERROR(IF(INDEX(營收表現!L$6:L$3000,MATCH($A114,營收表現!$A$6:$A$3000,0))="","",INDEX(營收表現!L$6:L$3000,MATCH($A114,營收表現!$A$6:$A$3000,0))),"")</f>
        <v/>
      </c>
      <c r="N114" t="str">
        <f>IFERROR(IF(INDEX(營收表現!M$6:M$3000,MATCH($A114,營收表現!$A$6:$A$3000,0))="","",INDEX(營收表現!M$6:M$3000,MATCH($A114,營收表現!$A$6:$A$3000,0))),"")</f>
        <v/>
      </c>
      <c r="O114" t="str">
        <f>IFERROR(IF(INDEX(營收表現!N$6:N$3000,MATCH($A114,營收表現!$A$6:$A$3000,0))="","",INDEX(營收表現!N$6:N$3000,MATCH($A114,營收表現!$A$6:$A$3000,0))),"")</f>
        <v/>
      </c>
    </row>
    <row r="115" spans="1:15">
      <c r="A115" s="2"/>
      <c r="B115" t="str">
        <f>IFERROR(INDEX(營收表現!B$6:B$3000,MATCH($A115,營收表現!$A$6:$A$3000,0)),"")</f>
        <v/>
      </c>
      <c r="C115" t="str">
        <f>IFERROR(INDEX(類別!G$4:G$3000,MATCH($A115,類別!$C$4:$C$3000,0)),"")</f>
        <v/>
      </c>
      <c r="D115" t="str">
        <f>IFERROR(IF(INDEX(營收表現!C$6:C$3000,MATCH($A115,營收表現!$A$6:$A$3000,0))="","",INDEX(營收表現!C$6:C$3000,MATCH($A115,營收表現!$A$6:$A$3000,0))),"")</f>
        <v/>
      </c>
      <c r="E115" t="str">
        <f>IFERROR(IF(INDEX(營收表現!D$6:D$3000,MATCH($A115,營收表現!$A$6:$A$3000,0))="","",INDEX(營收表現!D$6:D$3000,MATCH($A115,營收表現!$A$6:$A$3000,0))),"")</f>
        <v/>
      </c>
      <c r="F115" t="str">
        <f>IFERROR(IF(INDEX(營收表現!E$6:E$3000,MATCH($A115,營收表現!$A$6:$A$3000,0))="","",INDEX(營收表現!E$6:E$3000,MATCH($A115,營收表現!$A$6:$A$3000,0))),"")</f>
        <v/>
      </c>
      <c r="G115" t="str">
        <f>IFERROR(IF(INDEX(營收表現!F$6:F$3000,MATCH($A115,營收表現!$A$6:$A$3000,0))="","",INDEX(營收表現!F$6:F$3000,MATCH($A115,營收表現!$A$6:$A$3000,0))),"")</f>
        <v/>
      </c>
      <c r="H115" t="str">
        <f>IFERROR(IF(INDEX(營收表現!G$6:G$3000,MATCH($A115,營收表現!$A$6:$A$3000,0))="","",INDEX(營收表現!G$6:G$3000,MATCH($A115,營收表現!$A$6:$A$3000,0))),"")</f>
        <v/>
      </c>
      <c r="I115" t="str">
        <f>IFERROR(IF(INDEX(營收表現!H$6:H$3000,MATCH($A115,營收表現!$A$6:$A$3000,0))="","",INDEX(營收表現!H$6:H$3000,MATCH($A115,營收表現!$A$6:$A$3000,0))),"")</f>
        <v/>
      </c>
      <c r="J115" t="str">
        <f>IFERROR(IF(INDEX(營收表現!I$6:I$3000,MATCH($A115,營收表現!$A$6:$A$3000,0))="","",INDEX(營收表現!I$6:I$3000,MATCH($A115,營收表現!$A$6:$A$3000,0))),"")</f>
        <v/>
      </c>
      <c r="K115" t="str">
        <f>IFERROR(IF(INDEX(營收表現!J$6:J$3000,MATCH($A115,營收表現!$A$6:$A$3000,0))="","",INDEX(營收表現!J$6:J$3000,MATCH($A115,營收表現!$A$6:$A$3000,0))),"")</f>
        <v/>
      </c>
      <c r="L115" t="str">
        <f>IFERROR(IF(INDEX(營收表現!K$6:K$3000,MATCH($A115,營收表現!$A$6:$A$3000,0))="","",INDEX(營收表現!K$6:K$3000,MATCH($A115,營收表現!$A$6:$A$3000,0))),"")</f>
        <v/>
      </c>
      <c r="M115" t="str">
        <f>IFERROR(IF(INDEX(營收表現!L$6:L$3000,MATCH($A115,營收表現!$A$6:$A$3000,0))="","",INDEX(營收表現!L$6:L$3000,MATCH($A115,營收表現!$A$6:$A$3000,0))),"")</f>
        <v/>
      </c>
      <c r="N115" t="str">
        <f>IFERROR(IF(INDEX(營收表現!M$6:M$3000,MATCH($A115,營收表現!$A$6:$A$3000,0))="","",INDEX(營收表現!M$6:M$3000,MATCH($A115,營收表現!$A$6:$A$3000,0))),"")</f>
        <v/>
      </c>
      <c r="O115" t="str">
        <f>IFERROR(IF(INDEX(營收表現!N$6:N$3000,MATCH($A115,營收表現!$A$6:$A$3000,0))="","",INDEX(營收表現!N$6:N$3000,MATCH($A115,營收表現!$A$6:$A$3000,0))),"")</f>
        <v/>
      </c>
    </row>
    <row r="116" spans="1:15">
      <c r="A116" s="2"/>
      <c r="B116" t="str">
        <f>IFERROR(INDEX(營收表現!B$6:B$3000,MATCH($A116,營收表現!$A$6:$A$3000,0)),"")</f>
        <v/>
      </c>
      <c r="C116" t="str">
        <f>IFERROR(INDEX(類別!G$4:G$3000,MATCH($A116,類別!$C$4:$C$3000,0)),"")</f>
        <v/>
      </c>
      <c r="D116" t="str">
        <f>IFERROR(IF(INDEX(營收表現!C$6:C$3000,MATCH($A116,營收表現!$A$6:$A$3000,0))="","",INDEX(營收表現!C$6:C$3000,MATCH($A116,營收表現!$A$6:$A$3000,0))),"")</f>
        <v/>
      </c>
      <c r="E116" t="str">
        <f>IFERROR(IF(INDEX(營收表現!D$6:D$3000,MATCH($A116,營收表現!$A$6:$A$3000,0))="","",INDEX(營收表現!D$6:D$3000,MATCH($A116,營收表現!$A$6:$A$3000,0))),"")</f>
        <v/>
      </c>
      <c r="F116" t="str">
        <f>IFERROR(IF(INDEX(營收表現!E$6:E$3000,MATCH($A116,營收表現!$A$6:$A$3000,0))="","",INDEX(營收表現!E$6:E$3000,MATCH($A116,營收表現!$A$6:$A$3000,0))),"")</f>
        <v/>
      </c>
      <c r="G116" t="str">
        <f>IFERROR(IF(INDEX(營收表現!F$6:F$3000,MATCH($A116,營收表現!$A$6:$A$3000,0))="","",INDEX(營收表現!F$6:F$3000,MATCH($A116,營收表現!$A$6:$A$3000,0))),"")</f>
        <v/>
      </c>
      <c r="H116" t="str">
        <f>IFERROR(IF(INDEX(營收表現!G$6:G$3000,MATCH($A116,營收表現!$A$6:$A$3000,0))="","",INDEX(營收表現!G$6:G$3000,MATCH($A116,營收表現!$A$6:$A$3000,0))),"")</f>
        <v/>
      </c>
      <c r="I116" t="str">
        <f>IFERROR(IF(INDEX(營收表現!H$6:H$3000,MATCH($A116,營收表現!$A$6:$A$3000,0))="","",INDEX(營收表現!H$6:H$3000,MATCH($A116,營收表現!$A$6:$A$3000,0))),"")</f>
        <v/>
      </c>
      <c r="J116" t="str">
        <f>IFERROR(IF(INDEX(營收表現!I$6:I$3000,MATCH($A116,營收表現!$A$6:$A$3000,0))="","",INDEX(營收表現!I$6:I$3000,MATCH($A116,營收表現!$A$6:$A$3000,0))),"")</f>
        <v/>
      </c>
      <c r="K116" t="str">
        <f>IFERROR(IF(INDEX(營收表現!J$6:J$3000,MATCH($A116,營收表現!$A$6:$A$3000,0))="","",INDEX(營收表現!J$6:J$3000,MATCH($A116,營收表現!$A$6:$A$3000,0))),"")</f>
        <v/>
      </c>
      <c r="L116" t="str">
        <f>IFERROR(IF(INDEX(營收表現!K$6:K$3000,MATCH($A116,營收表現!$A$6:$A$3000,0))="","",INDEX(營收表現!K$6:K$3000,MATCH($A116,營收表現!$A$6:$A$3000,0))),"")</f>
        <v/>
      </c>
      <c r="M116" t="str">
        <f>IFERROR(IF(INDEX(營收表現!L$6:L$3000,MATCH($A116,營收表現!$A$6:$A$3000,0))="","",INDEX(營收表現!L$6:L$3000,MATCH($A116,營收表現!$A$6:$A$3000,0))),"")</f>
        <v/>
      </c>
      <c r="N116" t="str">
        <f>IFERROR(IF(INDEX(營收表現!M$6:M$3000,MATCH($A116,營收表現!$A$6:$A$3000,0))="","",INDEX(營收表現!M$6:M$3000,MATCH($A116,營收表現!$A$6:$A$3000,0))),"")</f>
        <v/>
      </c>
      <c r="O116" t="str">
        <f>IFERROR(IF(INDEX(營收表現!N$6:N$3000,MATCH($A116,營收表現!$A$6:$A$3000,0))="","",INDEX(營收表現!N$6:N$3000,MATCH($A116,營收表現!$A$6:$A$3000,0))),"")</f>
        <v/>
      </c>
    </row>
    <row r="117" spans="1:15">
      <c r="A117" s="2"/>
      <c r="B117" t="str">
        <f>IFERROR(INDEX(營收表現!B$6:B$3000,MATCH($A117,營收表現!$A$6:$A$3000,0)),"")</f>
        <v/>
      </c>
      <c r="C117" t="str">
        <f>IFERROR(INDEX(類別!G$4:G$3000,MATCH($A117,類別!$C$4:$C$3000,0)),"")</f>
        <v/>
      </c>
      <c r="D117" t="str">
        <f>IFERROR(IF(INDEX(營收表現!C$6:C$3000,MATCH($A117,營收表現!$A$6:$A$3000,0))="","",INDEX(營收表現!C$6:C$3000,MATCH($A117,營收表現!$A$6:$A$3000,0))),"")</f>
        <v/>
      </c>
      <c r="E117" t="str">
        <f>IFERROR(IF(INDEX(營收表現!D$6:D$3000,MATCH($A117,營收表現!$A$6:$A$3000,0))="","",INDEX(營收表現!D$6:D$3000,MATCH($A117,營收表現!$A$6:$A$3000,0))),"")</f>
        <v/>
      </c>
      <c r="F117" t="str">
        <f>IFERROR(IF(INDEX(營收表現!E$6:E$3000,MATCH($A117,營收表現!$A$6:$A$3000,0))="","",INDEX(營收表現!E$6:E$3000,MATCH($A117,營收表現!$A$6:$A$3000,0))),"")</f>
        <v/>
      </c>
      <c r="G117" t="str">
        <f>IFERROR(IF(INDEX(營收表現!F$6:F$3000,MATCH($A117,營收表現!$A$6:$A$3000,0))="","",INDEX(營收表現!F$6:F$3000,MATCH($A117,營收表現!$A$6:$A$3000,0))),"")</f>
        <v/>
      </c>
      <c r="H117" t="str">
        <f>IFERROR(IF(INDEX(營收表現!G$6:G$3000,MATCH($A117,營收表現!$A$6:$A$3000,0))="","",INDEX(營收表現!G$6:G$3000,MATCH($A117,營收表現!$A$6:$A$3000,0))),"")</f>
        <v/>
      </c>
      <c r="I117" t="str">
        <f>IFERROR(IF(INDEX(營收表現!H$6:H$3000,MATCH($A117,營收表現!$A$6:$A$3000,0))="","",INDEX(營收表現!H$6:H$3000,MATCH($A117,營收表現!$A$6:$A$3000,0))),"")</f>
        <v/>
      </c>
      <c r="J117" t="str">
        <f>IFERROR(IF(INDEX(營收表現!I$6:I$3000,MATCH($A117,營收表現!$A$6:$A$3000,0))="","",INDEX(營收表現!I$6:I$3000,MATCH($A117,營收表現!$A$6:$A$3000,0))),"")</f>
        <v/>
      </c>
      <c r="K117" t="str">
        <f>IFERROR(IF(INDEX(營收表現!J$6:J$3000,MATCH($A117,營收表現!$A$6:$A$3000,0))="","",INDEX(營收表現!J$6:J$3000,MATCH($A117,營收表現!$A$6:$A$3000,0))),"")</f>
        <v/>
      </c>
      <c r="L117" t="str">
        <f>IFERROR(IF(INDEX(營收表現!K$6:K$3000,MATCH($A117,營收表現!$A$6:$A$3000,0))="","",INDEX(營收表現!K$6:K$3000,MATCH($A117,營收表現!$A$6:$A$3000,0))),"")</f>
        <v/>
      </c>
      <c r="M117" t="str">
        <f>IFERROR(IF(INDEX(營收表現!L$6:L$3000,MATCH($A117,營收表現!$A$6:$A$3000,0))="","",INDEX(營收表現!L$6:L$3000,MATCH($A117,營收表現!$A$6:$A$3000,0))),"")</f>
        <v/>
      </c>
      <c r="N117" t="str">
        <f>IFERROR(IF(INDEX(營收表現!M$6:M$3000,MATCH($A117,營收表現!$A$6:$A$3000,0))="","",INDEX(營收表現!M$6:M$3000,MATCH($A117,營收表現!$A$6:$A$3000,0))),"")</f>
        <v/>
      </c>
      <c r="O117" t="str">
        <f>IFERROR(IF(INDEX(營收表現!N$6:N$3000,MATCH($A117,營收表現!$A$6:$A$3000,0))="","",INDEX(營收表現!N$6:N$3000,MATCH($A117,營收表現!$A$6:$A$3000,0))),"")</f>
        <v/>
      </c>
    </row>
    <row r="118" spans="1:15">
      <c r="A118" s="2"/>
      <c r="B118" t="str">
        <f>IFERROR(INDEX(營收表現!B$6:B$3000,MATCH($A118,營收表現!$A$6:$A$3000,0)),"")</f>
        <v/>
      </c>
      <c r="C118" t="str">
        <f>IFERROR(INDEX(類別!G$4:G$3000,MATCH($A118,類別!$C$4:$C$3000,0)),"")</f>
        <v/>
      </c>
      <c r="D118" t="str">
        <f>IFERROR(IF(INDEX(營收表現!C$6:C$3000,MATCH($A118,營收表現!$A$6:$A$3000,0))="","",INDEX(營收表現!C$6:C$3000,MATCH($A118,營收表現!$A$6:$A$3000,0))),"")</f>
        <v/>
      </c>
      <c r="E118" t="str">
        <f>IFERROR(IF(INDEX(營收表現!D$6:D$3000,MATCH($A118,營收表現!$A$6:$A$3000,0))="","",INDEX(營收表現!D$6:D$3000,MATCH($A118,營收表現!$A$6:$A$3000,0))),"")</f>
        <v/>
      </c>
      <c r="F118" t="str">
        <f>IFERROR(IF(INDEX(營收表現!E$6:E$3000,MATCH($A118,營收表現!$A$6:$A$3000,0))="","",INDEX(營收表現!E$6:E$3000,MATCH($A118,營收表現!$A$6:$A$3000,0))),"")</f>
        <v/>
      </c>
      <c r="G118" t="str">
        <f>IFERROR(IF(INDEX(營收表現!F$6:F$3000,MATCH($A118,營收表現!$A$6:$A$3000,0))="","",INDEX(營收表現!F$6:F$3000,MATCH($A118,營收表現!$A$6:$A$3000,0))),"")</f>
        <v/>
      </c>
      <c r="H118" t="str">
        <f>IFERROR(IF(INDEX(營收表現!G$6:G$3000,MATCH($A118,營收表現!$A$6:$A$3000,0))="","",INDEX(營收表現!G$6:G$3000,MATCH($A118,營收表現!$A$6:$A$3000,0))),"")</f>
        <v/>
      </c>
      <c r="I118" t="str">
        <f>IFERROR(IF(INDEX(營收表現!H$6:H$3000,MATCH($A118,營收表現!$A$6:$A$3000,0))="","",INDEX(營收表現!H$6:H$3000,MATCH($A118,營收表現!$A$6:$A$3000,0))),"")</f>
        <v/>
      </c>
      <c r="J118" t="str">
        <f>IFERROR(IF(INDEX(營收表現!I$6:I$3000,MATCH($A118,營收表現!$A$6:$A$3000,0))="","",INDEX(營收表現!I$6:I$3000,MATCH($A118,營收表現!$A$6:$A$3000,0))),"")</f>
        <v/>
      </c>
      <c r="K118" t="str">
        <f>IFERROR(IF(INDEX(營收表現!J$6:J$3000,MATCH($A118,營收表現!$A$6:$A$3000,0))="","",INDEX(營收表現!J$6:J$3000,MATCH($A118,營收表現!$A$6:$A$3000,0))),"")</f>
        <v/>
      </c>
      <c r="L118" t="str">
        <f>IFERROR(IF(INDEX(營收表現!K$6:K$3000,MATCH($A118,營收表現!$A$6:$A$3000,0))="","",INDEX(營收表現!K$6:K$3000,MATCH($A118,營收表現!$A$6:$A$3000,0))),"")</f>
        <v/>
      </c>
      <c r="M118" t="str">
        <f>IFERROR(IF(INDEX(營收表現!L$6:L$3000,MATCH($A118,營收表現!$A$6:$A$3000,0))="","",INDEX(營收表現!L$6:L$3000,MATCH($A118,營收表現!$A$6:$A$3000,0))),"")</f>
        <v/>
      </c>
      <c r="N118" t="str">
        <f>IFERROR(IF(INDEX(營收表現!M$6:M$3000,MATCH($A118,營收表現!$A$6:$A$3000,0))="","",INDEX(營收表現!M$6:M$3000,MATCH($A118,營收表現!$A$6:$A$3000,0))),"")</f>
        <v/>
      </c>
      <c r="O118" t="str">
        <f>IFERROR(IF(INDEX(營收表現!N$6:N$3000,MATCH($A118,營收表現!$A$6:$A$3000,0))="","",INDEX(營收表現!N$6:N$3000,MATCH($A118,營收表現!$A$6:$A$3000,0))),"")</f>
        <v/>
      </c>
    </row>
    <row r="119" spans="1:15">
      <c r="A119" s="2"/>
      <c r="B119" t="str">
        <f>IFERROR(INDEX(營收表現!B$6:B$3000,MATCH($A119,營收表現!$A$6:$A$3000,0)),"")</f>
        <v/>
      </c>
      <c r="C119" t="str">
        <f>IFERROR(INDEX(類別!G$4:G$3000,MATCH($A119,類別!$C$4:$C$3000,0)),"")</f>
        <v/>
      </c>
      <c r="D119" t="str">
        <f>IFERROR(IF(INDEX(營收表現!C$6:C$3000,MATCH($A119,營收表現!$A$6:$A$3000,0))="","",INDEX(營收表現!C$6:C$3000,MATCH($A119,營收表現!$A$6:$A$3000,0))),"")</f>
        <v/>
      </c>
      <c r="E119" t="str">
        <f>IFERROR(IF(INDEX(營收表現!D$6:D$3000,MATCH($A119,營收表現!$A$6:$A$3000,0))="","",INDEX(營收表現!D$6:D$3000,MATCH($A119,營收表現!$A$6:$A$3000,0))),"")</f>
        <v/>
      </c>
      <c r="F119" t="str">
        <f>IFERROR(IF(INDEX(營收表現!E$6:E$3000,MATCH($A119,營收表現!$A$6:$A$3000,0))="","",INDEX(營收表現!E$6:E$3000,MATCH($A119,營收表現!$A$6:$A$3000,0))),"")</f>
        <v/>
      </c>
      <c r="G119" t="str">
        <f>IFERROR(IF(INDEX(營收表現!F$6:F$3000,MATCH($A119,營收表現!$A$6:$A$3000,0))="","",INDEX(營收表現!F$6:F$3000,MATCH($A119,營收表現!$A$6:$A$3000,0))),"")</f>
        <v/>
      </c>
      <c r="H119" t="str">
        <f>IFERROR(IF(INDEX(營收表現!G$6:G$3000,MATCH($A119,營收表現!$A$6:$A$3000,0))="","",INDEX(營收表現!G$6:G$3000,MATCH($A119,營收表現!$A$6:$A$3000,0))),"")</f>
        <v/>
      </c>
      <c r="I119" t="str">
        <f>IFERROR(IF(INDEX(營收表現!H$6:H$3000,MATCH($A119,營收表現!$A$6:$A$3000,0))="","",INDEX(營收表現!H$6:H$3000,MATCH($A119,營收表現!$A$6:$A$3000,0))),"")</f>
        <v/>
      </c>
      <c r="J119" t="str">
        <f>IFERROR(IF(INDEX(營收表現!I$6:I$3000,MATCH($A119,營收表現!$A$6:$A$3000,0))="","",INDEX(營收表現!I$6:I$3000,MATCH($A119,營收表現!$A$6:$A$3000,0))),"")</f>
        <v/>
      </c>
      <c r="K119" t="str">
        <f>IFERROR(IF(INDEX(營收表現!J$6:J$3000,MATCH($A119,營收表現!$A$6:$A$3000,0))="","",INDEX(營收表現!J$6:J$3000,MATCH($A119,營收表現!$A$6:$A$3000,0))),"")</f>
        <v/>
      </c>
      <c r="L119" t="str">
        <f>IFERROR(IF(INDEX(營收表現!K$6:K$3000,MATCH($A119,營收表現!$A$6:$A$3000,0))="","",INDEX(營收表現!K$6:K$3000,MATCH($A119,營收表現!$A$6:$A$3000,0))),"")</f>
        <v/>
      </c>
      <c r="M119" t="str">
        <f>IFERROR(IF(INDEX(營收表現!L$6:L$3000,MATCH($A119,營收表現!$A$6:$A$3000,0))="","",INDEX(營收表現!L$6:L$3000,MATCH($A119,營收表現!$A$6:$A$3000,0))),"")</f>
        <v/>
      </c>
      <c r="N119" t="str">
        <f>IFERROR(IF(INDEX(營收表現!M$6:M$3000,MATCH($A119,營收表現!$A$6:$A$3000,0))="","",INDEX(營收表現!M$6:M$3000,MATCH($A119,營收表現!$A$6:$A$3000,0))),"")</f>
        <v/>
      </c>
      <c r="O119" t="str">
        <f>IFERROR(IF(INDEX(營收表現!N$6:N$3000,MATCH($A119,營收表現!$A$6:$A$3000,0))="","",INDEX(營收表現!N$6:N$3000,MATCH($A119,營收表現!$A$6:$A$3000,0))),"")</f>
        <v/>
      </c>
    </row>
    <row r="120" spans="1:15">
      <c r="A120" s="2"/>
      <c r="B120" t="str">
        <f>IFERROR(INDEX(營收表現!B$6:B$3000,MATCH($A120,營收表現!$A$6:$A$3000,0)),"")</f>
        <v/>
      </c>
      <c r="C120" t="str">
        <f>IFERROR(INDEX(類別!G$4:G$3000,MATCH($A120,類別!$C$4:$C$3000,0)),"")</f>
        <v/>
      </c>
      <c r="D120" t="str">
        <f>IFERROR(IF(INDEX(營收表現!C$6:C$3000,MATCH($A120,營收表現!$A$6:$A$3000,0))="","",INDEX(營收表現!C$6:C$3000,MATCH($A120,營收表現!$A$6:$A$3000,0))),"")</f>
        <v/>
      </c>
      <c r="E120" t="str">
        <f>IFERROR(IF(INDEX(營收表現!D$6:D$3000,MATCH($A120,營收表現!$A$6:$A$3000,0))="","",INDEX(營收表現!D$6:D$3000,MATCH($A120,營收表現!$A$6:$A$3000,0))),"")</f>
        <v/>
      </c>
      <c r="F120" t="str">
        <f>IFERROR(IF(INDEX(營收表現!E$6:E$3000,MATCH($A120,營收表現!$A$6:$A$3000,0))="","",INDEX(營收表現!E$6:E$3000,MATCH($A120,營收表現!$A$6:$A$3000,0))),"")</f>
        <v/>
      </c>
      <c r="G120" t="str">
        <f>IFERROR(IF(INDEX(營收表現!F$6:F$3000,MATCH($A120,營收表現!$A$6:$A$3000,0))="","",INDEX(營收表現!F$6:F$3000,MATCH($A120,營收表現!$A$6:$A$3000,0))),"")</f>
        <v/>
      </c>
      <c r="H120" t="str">
        <f>IFERROR(IF(INDEX(營收表現!G$6:G$3000,MATCH($A120,營收表現!$A$6:$A$3000,0))="","",INDEX(營收表現!G$6:G$3000,MATCH($A120,營收表現!$A$6:$A$3000,0))),"")</f>
        <v/>
      </c>
      <c r="I120" t="str">
        <f>IFERROR(IF(INDEX(營收表現!H$6:H$3000,MATCH($A120,營收表現!$A$6:$A$3000,0))="","",INDEX(營收表現!H$6:H$3000,MATCH($A120,營收表現!$A$6:$A$3000,0))),"")</f>
        <v/>
      </c>
      <c r="J120" t="str">
        <f>IFERROR(IF(INDEX(營收表現!I$6:I$3000,MATCH($A120,營收表現!$A$6:$A$3000,0))="","",INDEX(營收表現!I$6:I$3000,MATCH($A120,營收表現!$A$6:$A$3000,0))),"")</f>
        <v/>
      </c>
      <c r="K120" t="str">
        <f>IFERROR(IF(INDEX(營收表現!J$6:J$3000,MATCH($A120,營收表現!$A$6:$A$3000,0))="","",INDEX(營收表現!J$6:J$3000,MATCH($A120,營收表現!$A$6:$A$3000,0))),"")</f>
        <v/>
      </c>
      <c r="L120" t="str">
        <f>IFERROR(IF(INDEX(營收表現!K$6:K$3000,MATCH($A120,營收表現!$A$6:$A$3000,0))="","",INDEX(營收表現!K$6:K$3000,MATCH($A120,營收表現!$A$6:$A$3000,0))),"")</f>
        <v/>
      </c>
      <c r="M120" t="str">
        <f>IFERROR(IF(INDEX(營收表現!L$6:L$3000,MATCH($A120,營收表現!$A$6:$A$3000,0))="","",INDEX(營收表現!L$6:L$3000,MATCH($A120,營收表現!$A$6:$A$3000,0))),"")</f>
        <v/>
      </c>
      <c r="N120" t="str">
        <f>IFERROR(IF(INDEX(營收表現!M$6:M$3000,MATCH($A120,營收表現!$A$6:$A$3000,0))="","",INDEX(營收表現!M$6:M$3000,MATCH($A120,營收表現!$A$6:$A$3000,0))),"")</f>
        <v/>
      </c>
      <c r="O120" t="str">
        <f>IFERROR(IF(INDEX(營收表現!N$6:N$3000,MATCH($A120,營收表現!$A$6:$A$3000,0))="","",INDEX(營收表現!N$6:N$3000,MATCH($A120,營收表現!$A$6:$A$3000,0))),"")</f>
        <v/>
      </c>
    </row>
    <row r="121" spans="1:15">
      <c r="A121" s="2"/>
      <c r="B121" t="str">
        <f>IFERROR(INDEX(營收表現!B$6:B$3000,MATCH($A121,營收表現!$A$6:$A$3000,0)),"")</f>
        <v/>
      </c>
      <c r="C121" t="str">
        <f>IFERROR(INDEX(類別!G$4:G$3000,MATCH($A121,類別!$C$4:$C$3000,0)),"")</f>
        <v/>
      </c>
      <c r="D121" t="str">
        <f>IFERROR(IF(INDEX(營收表現!C$6:C$3000,MATCH($A121,營收表現!$A$6:$A$3000,0))="","",INDEX(營收表現!C$6:C$3000,MATCH($A121,營收表現!$A$6:$A$3000,0))),"")</f>
        <v/>
      </c>
      <c r="E121" t="str">
        <f>IFERROR(IF(INDEX(營收表現!D$6:D$3000,MATCH($A121,營收表現!$A$6:$A$3000,0))="","",INDEX(營收表現!D$6:D$3000,MATCH($A121,營收表現!$A$6:$A$3000,0))),"")</f>
        <v/>
      </c>
      <c r="F121" t="str">
        <f>IFERROR(IF(INDEX(營收表現!E$6:E$3000,MATCH($A121,營收表現!$A$6:$A$3000,0))="","",INDEX(營收表現!E$6:E$3000,MATCH($A121,營收表現!$A$6:$A$3000,0))),"")</f>
        <v/>
      </c>
      <c r="G121" t="str">
        <f>IFERROR(IF(INDEX(營收表現!F$6:F$3000,MATCH($A121,營收表現!$A$6:$A$3000,0))="","",INDEX(營收表現!F$6:F$3000,MATCH($A121,營收表現!$A$6:$A$3000,0))),"")</f>
        <v/>
      </c>
      <c r="H121" t="str">
        <f>IFERROR(IF(INDEX(營收表現!G$6:G$3000,MATCH($A121,營收表現!$A$6:$A$3000,0))="","",INDEX(營收表現!G$6:G$3000,MATCH($A121,營收表現!$A$6:$A$3000,0))),"")</f>
        <v/>
      </c>
      <c r="I121" t="str">
        <f>IFERROR(IF(INDEX(營收表現!H$6:H$3000,MATCH($A121,營收表現!$A$6:$A$3000,0))="","",INDEX(營收表現!H$6:H$3000,MATCH($A121,營收表現!$A$6:$A$3000,0))),"")</f>
        <v/>
      </c>
      <c r="J121" t="str">
        <f>IFERROR(IF(INDEX(營收表現!I$6:I$3000,MATCH($A121,營收表現!$A$6:$A$3000,0))="","",INDEX(營收表現!I$6:I$3000,MATCH($A121,營收表現!$A$6:$A$3000,0))),"")</f>
        <v/>
      </c>
      <c r="K121" t="str">
        <f>IFERROR(IF(INDEX(營收表現!J$6:J$3000,MATCH($A121,營收表現!$A$6:$A$3000,0))="","",INDEX(營收表現!J$6:J$3000,MATCH($A121,營收表現!$A$6:$A$3000,0))),"")</f>
        <v/>
      </c>
      <c r="L121" t="str">
        <f>IFERROR(IF(INDEX(營收表現!K$6:K$3000,MATCH($A121,營收表現!$A$6:$A$3000,0))="","",INDEX(營收表現!K$6:K$3000,MATCH($A121,營收表現!$A$6:$A$3000,0))),"")</f>
        <v/>
      </c>
      <c r="M121" t="str">
        <f>IFERROR(IF(INDEX(營收表現!L$6:L$3000,MATCH($A121,營收表現!$A$6:$A$3000,0))="","",INDEX(營收表現!L$6:L$3000,MATCH($A121,營收表現!$A$6:$A$3000,0))),"")</f>
        <v/>
      </c>
      <c r="N121" t="str">
        <f>IFERROR(IF(INDEX(營收表現!M$6:M$3000,MATCH($A121,營收表現!$A$6:$A$3000,0))="","",INDEX(營收表現!M$6:M$3000,MATCH($A121,營收表現!$A$6:$A$3000,0))),"")</f>
        <v/>
      </c>
      <c r="O121" t="str">
        <f>IFERROR(IF(INDEX(營收表現!N$6:N$3000,MATCH($A121,營收表現!$A$6:$A$3000,0))="","",INDEX(營收表現!N$6:N$3000,MATCH($A121,營收表現!$A$6:$A$3000,0))),"")</f>
        <v/>
      </c>
    </row>
    <row r="122" spans="1:15">
      <c r="A122" s="2"/>
      <c r="B122" t="str">
        <f>IFERROR(INDEX(營收表現!B$6:B$3000,MATCH($A122,營收表現!$A$6:$A$3000,0)),"")</f>
        <v/>
      </c>
      <c r="C122" t="str">
        <f>IFERROR(INDEX(類別!G$4:G$3000,MATCH($A122,類別!$C$4:$C$3000,0)),"")</f>
        <v/>
      </c>
      <c r="D122" t="str">
        <f>IFERROR(IF(INDEX(營收表現!C$6:C$3000,MATCH($A122,營收表現!$A$6:$A$3000,0))="","",INDEX(營收表現!C$6:C$3000,MATCH($A122,營收表現!$A$6:$A$3000,0))),"")</f>
        <v/>
      </c>
      <c r="E122" t="str">
        <f>IFERROR(IF(INDEX(營收表現!D$6:D$3000,MATCH($A122,營收表現!$A$6:$A$3000,0))="","",INDEX(營收表現!D$6:D$3000,MATCH($A122,營收表現!$A$6:$A$3000,0))),"")</f>
        <v/>
      </c>
      <c r="F122" t="str">
        <f>IFERROR(IF(INDEX(營收表現!E$6:E$3000,MATCH($A122,營收表現!$A$6:$A$3000,0))="","",INDEX(營收表現!E$6:E$3000,MATCH($A122,營收表現!$A$6:$A$3000,0))),"")</f>
        <v/>
      </c>
      <c r="G122" t="str">
        <f>IFERROR(IF(INDEX(營收表現!F$6:F$3000,MATCH($A122,營收表現!$A$6:$A$3000,0))="","",INDEX(營收表現!F$6:F$3000,MATCH($A122,營收表現!$A$6:$A$3000,0))),"")</f>
        <v/>
      </c>
      <c r="H122" t="str">
        <f>IFERROR(IF(INDEX(營收表現!G$6:G$3000,MATCH($A122,營收表現!$A$6:$A$3000,0))="","",INDEX(營收表現!G$6:G$3000,MATCH($A122,營收表現!$A$6:$A$3000,0))),"")</f>
        <v/>
      </c>
      <c r="I122" t="str">
        <f>IFERROR(IF(INDEX(營收表現!H$6:H$3000,MATCH($A122,營收表現!$A$6:$A$3000,0))="","",INDEX(營收表現!H$6:H$3000,MATCH($A122,營收表現!$A$6:$A$3000,0))),"")</f>
        <v/>
      </c>
      <c r="J122" t="str">
        <f>IFERROR(IF(INDEX(營收表現!I$6:I$3000,MATCH($A122,營收表現!$A$6:$A$3000,0))="","",INDEX(營收表現!I$6:I$3000,MATCH($A122,營收表現!$A$6:$A$3000,0))),"")</f>
        <v/>
      </c>
      <c r="K122" t="str">
        <f>IFERROR(IF(INDEX(營收表現!J$6:J$3000,MATCH($A122,營收表現!$A$6:$A$3000,0))="","",INDEX(營收表現!J$6:J$3000,MATCH($A122,營收表現!$A$6:$A$3000,0))),"")</f>
        <v/>
      </c>
      <c r="L122" t="str">
        <f>IFERROR(IF(INDEX(營收表現!K$6:K$3000,MATCH($A122,營收表現!$A$6:$A$3000,0))="","",INDEX(營收表現!K$6:K$3000,MATCH($A122,營收表現!$A$6:$A$3000,0))),"")</f>
        <v/>
      </c>
      <c r="M122" t="str">
        <f>IFERROR(IF(INDEX(營收表現!L$6:L$3000,MATCH($A122,營收表現!$A$6:$A$3000,0))="","",INDEX(營收表現!L$6:L$3000,MATCH($A122,營收表現!$A$6:$A$3000,0))),"")</f>
        <v/>
      </c>
      <c r="N122" t="str">
        <f>IFERROR(IF(INDEX(營收表現!M$6:M$3000,MATCH($A122,營收表現!$A$6:$A$3000,0))="","",INDEX(營收表現!M$6:M$3000,MATCH($A122,營收表現!$A$6:$A$3000,0))),"")</f>
        <v/>
      </c>
      <c r="O122" t="str">
        <f>IFERROR(IF(INDEX(營收表現!N$6:N$3000,MATCH($A122,營收表現!$A$6:$A$3000,0))="","",INDEX(營收表現!N$6:N$3000,MATCH($A122,營收表現!$A$6:$A$3000,0))),"")</f>
        <v/>
      </c>
    </row>
    <row r="123" spans="1:15">
      <c r="A123" s="2"/>
      <c r="B123" t="str">
        <f>IFERROR(INDEX(營收表現!B$6:B$3000,MATCH($A123,營收表現!$A$6:$A$3000,0)),"")</f>
        <v/>
      </c>
      <c r="C123" t="str">
        <f>IFERROR(INDEX(類別!G$4:G$3000,MATCH($A123,類別!$C$4:$C$3000,0)),"")</f>
        <v/>
      </c>
      <c r="D123" t="str">
        <f>IFERROR(IF(INDEX(營收表現!C$6:C$3000,MATCH($A123,營收表現!$A$6:$A$3000,0))="","",INDEX(營收表現!C$6:C$3000,MATCH($A123,營收表現!$A$6:$A$3000,0))),"")</f>
        <v/>
      </c>
      <c r="E123" t="str">
        <f>IFERROR(IF(INDEX(營收表現!D$6:D$3000,MATCH($A123,營收表現!$A$6:$A$3000,0))="","",INDEX(營收表現!D$6:D$3000,MATCH($A123,營收表現!$A$6:$A$3000,0))),"")</f>
        <v/>
      </c>
      <c r="F123" t="str">
        <f>IFERROR(IF(INDEX(營收表現!E$6:E$3000,MATCH($A123,營收表現!$A$6:$A$3000,0))="","",INDEX(營收表現!E$6:E$3000,MATCH($A123,營收表現!$A$6:$A$3000,0))),"")</f>
        <v/>
      </c>
      <c r="G123" t="str">
        <f>IFERROR(IF(INDEX(營收表現!F$6:F$3000,MATCH($A123,營收表現!$A$6:$A$3000,0))="","",INDEX(營收表現!F$6:F$3000,MATCH($A123,營收表現!$A$6:$A$3000,0))),"")</f>
        <v/>
      </c>
      <c r="H123" t="str">
        <f>IFERROR(IF(INDEX(營收表現!G$6:G$3000,MATCH($A123,營收表現!$A$6:$A$3000,0))="","",INDEX(營收表現!G$6:G$3000,MATCH($A123,營收表現!$A$6:$A$3000,0))),"")</f>
        <v/>
      </c>
      <c r="I123" t="str">
        <f>IFERROR(IF(INDEX(營收表現!H$6:H$3000,MATCH($A123,營收表現!$A$6:$A$3000,0))="","",INDEX(營收表現!H$6:H$3000,MATCH($A123,營收表現!$A$6:$A$3000,0))),"")</f>
        <v/>
      </c>
      <c r="J123" t="str">
        <f>IFERROR(IF(INDEX(營收表現!I$6:I$3000,MATCH($A123,營收表現!$A$6:$A$3000,0))="","",INDEX(營收表現!I$6:I$3000,MATCH($A123,營收表現!$A$6:$A$3000,0))),"")</f>
        <v/>
      </c>
      <c r="K123" t="str">
        <f>IFERROR(IF(INDEX(營收表現!J$6:J$3000,MATCH($A123,營收表現!$A$6:$A$3000,0))="","",INDEX(營收表現!J$6:J$3000,MATCH($A123,營收表現!$A$6:$A$3000,0))),"")</f>
        <v/>
      </c>
      <c r="L123" t="str">
        <f>IFERROR(IF(INDEX(營收表現!K$6:K$3000,MATCH($A123,營收表現!$A$6:$A$3000,0))="","",INDEX(營收表現!K$6:K$3000,MATCH($A123,營收表現!$A$6:$A$3000,0))),"")</f>
        <v/>
      </c>
      <c r="M123" t="str">
        <f>IFERROR(IF(INDEX(營收表現!L$6:L$3000,MATCH($A123,營收表現!$A$6:$A$3000,0))="","",INDEX(營收表現!L$6:L$3000,MATCH($A123,營收表現!$A$6:$A$3000,0))),"")</f>
        <v/>
      </c>
      <c r="N123" t="str">
        <f>IFERROR(IF(INDEX(營收表現!M$6:M$3000,MATCH($A123,營收表現!$A$6:$A$3000,0))="","",INDEX(營收表現!M$6:M$3000,MATCH($A123,營收表現!$A$6:$A$3000,0))),"")</f>
        <v/>
      </c>
      <c r="O123" t="str">
        <f>IFERROR(IF(INDEX(營收表現!N$6:N$3000,MATCH($A123,營收表現!$A$6:$A$3000,0))="","",INDEX(營收表現!N$6:N$3000,MATCH($A123,營收表現!$A$6:$A$3000,0))),"")</f>
        <v/>
      </c>
    </row>
    <row r="124" spans="1:15">
      <c r="A124" s="2"/>
      <c r="B124" t="str">
        <f>IFERROR(INDEX(營收表現!B$6:B$3000,MATCH($A124,營收表現!$A$6:$A$3000,0)),"")</f>
        <v/>
      </c>
      <c r="C124" t="str">
        <f>IFERROR(INDEX(類別!G$4:G$3000,MATCH($A124,類別!$C$4:$C$3000,0)),"")</f>
        <v/>
      </c>
      <c r="D124" t="str">
        <f>IFERROR(IF(INDEX(營收表現!C$6:C$3000,MATCH($A124,營收表現!$A$6:$A$3000,0))="","",INDEX(營收表現!C$6:C$3000,MATCH($A124,營收表現!$A$6:$A$3000,0))),"")</f>
        <v/>
      </c>
      <c r="E124" t="str">
        <f>IFERROR(IF(INDEX(營收表現!D$6:D$3000,MATCH($A124,營收表現!$A$6:$A$3000,0))="","",INDEX(營收表現!D$6:D$3000,MATCH($A124,營收表現!$A$6:$A$3000,0))),"")</f>
        <v/>
      </c>
      <c r="F124" t="str">
        <f>IFERROR(IF(INDEX(營收表現!E$6:E$3000,MATCH($A124,營收表現!$A$6:$A$3000,0))="","",INDEX(營收表現!E$6:E$3000,MATCH($A124,營收表現!$A$6:$A$3000,0))),"")</f>
        <v/>
      </c>
      <c r="G124" t="str">
        <f>IFERROR(IF(INDEX(營收表現!F$6:F$3000,MATCH($A124,營收表現!$A$6:$A$3000,0))="","",INDEX(營收表現!F$6:F$3000,MATCH($A124,營收表現!$A$6:$A$3000,0))),"")</f>
        <v/>
      </c>
      <c r="H124" t="str">
        <f>IFERROR(IF(INDEX(營收表現!G$6:G$3000,MATCH($A124,營收表現!$A$6:$A$3000,0))="","",INDEX(營收表現!G$6:G$3000,MATCH($A124,營收表現!$A$6:$A$3000,0))),"")</f>
        <v/>
      </c>
      <c r="I124" t="str">
        <f>IFERROR(IF(INDEX(營收表現!H$6:H$3000,MATCH($A124,營收表現!$A$6:$A$3000,0))="","",INDEX(營收表現!H$6:H$3000,MATCH($A124,營收表現!$A$6:$A$3000,0))),"")</f>
        <v/>
      </c>
      <c r="J124" t="str">
        <f>IFERROR(IF(INDEX(營收表現!I$6:I$3000,MATCH($A124,營收表現!$A$6:$A$3000,0))="","",INDEX(營收表現!I$6:I$3000,MATCH($A124,營收表現!$A$6:$A$3000,0))),"")</f>
        <v/>
      </c>
      <c r="K124" t="str">
        <f>IFERROR(IF(INDEX(營收表現!J$6:J$3000,MATCH($A124,營收表現!$A$6:$A$3000,0))="","",INDEX(營收表現!J$6:J$3000,MATCH($A124,營收表現!$A$6:$A$3000,0))),"")</f>
        <v/>
      </c>
      <c r="L124" t="str">
        <f>IFERROR(IF(INDEX(營收表現!K$6:K$3000,MATCH($A124,營收表現!$A$6:$A$3000,0))="","",INDEX(營收表現!K$6:K$3000,MATCH($A124,營收表現!$A$6:$A$3000,0))),"")</f>
        <v/>
      </c>
      <c r="M124" t="str">
        <f>IFERROR(IF(INDEX(營收表現!L$6:L$3000,MATCH($A124,營收表現!$A$6:$A$3000,0))="","",INDEX(營收表現!L$6:L$3000,MATCH($A124,營收表現!$A$6:$A$3000,0))),"")</f>
        <v/>
      </c>
      <c r="N124" t="str">
        <f>IFERROR(IF(INDEX(營收表現!M$6:M$3000,MATCH($A124,營收表現!$A$6:$A$3000,0))="","",INDEX(營收表現!M$6:M$3000,MATCH($A124,營收表現!$A$6:$A$3000,0))),"")</f>
        <v/>
      </c>
      <c r="O124" t="str">
        <f>IFERROR(IF(INDEX(營收表現!N$6:N$3000,MATCH($A124,營收表現!$A$6:$A$3000,0))="","",INDEX(營收表現!N$6:N$3000,MATCH($A124,營收表現!$A$6:$A$3000,0))),"")</f>
        <v/>
      </c>
    </row>
    <row r="125" spans="1:15">
      <c r="A125" s="2"/>
      <c r="B125" t="str">
        <f>IFERROR(INDEX(營收表現!B$6:B$3000,MATCH($A125,營收表現!$A$6:$A$3000,0)),"")</f>
        <v/>
      </c>
      <c r="C125" t="str">
        <f>IFERROR(INDEX(類別!G$4:G$3000,MATCH($A125,類別!$C$4:$C$3000,0)),"")</f>
        <v/>
      </c>
      <c r="D125" t="str">
        <f>IFERROR(IF(INDEX(營收表現!C$6:C$3000,MATCH($A125,營收表現!$A$6:$A$3000,0))="","",INDEX(營收表現!C$6:C$3000,MATCH($A125,營收表現!$A$6:$A$3000,0))),"")</f>
        <v/>
      </c>
      <c r="E125" t="str">
        <f>IFERROR(IF(INDEX(營收表現!D$6:D$3000,MATCH($A125,營收表現!$A$6:$A$3000,0))="","",INDEX(營收表現!D$6:D$3000,MATCH($A125,營收表現!$A$6:$A$3000,0))),"")</f>
        <v/>
      </c>
      <c r="F125" t="str">
        <f>IFERROR(IF(INDEX(營收表現!E$6:E$3000,MATCH($A125,營收表現!$A$6:$A$3000,0))="","",INDEX(營收表現!E$6:E$3000,MATCH($A125,營收表現!$A$6:$A$3000,0))),"")</f>
        <v/>
      </c>
      <c r="G125" t="str">
        <f>IFERROR(IF(INDEX(營收表現!F$6:F$3000,MATCH($A125,營收表現!$A$6:$A$3000,0))="","",INDEX(營收表現!F$6:F$3000,MATCH($A125,營收表現!$A$6:$A$3000,0))),"")</f>
        <v/>
      </c>
      <c r="H125" t="str">
        <f>IFERROR(IF(INDEX(營收表現!G$6:G$3000,MATCH($A125,營收表現!$A$6:$A$3000,0))="","",INDEX(營收表現!G$6:G$3000,MATCH($A125,營收表現!$A$6:$A$3000,0))),"")</f>
        <v/>
      </c>
      <c r="I125" t="str">
        <f>IFERROR(IF(INDEX(營收表現!H$6:H$3000,MATCH($A125,營收表現!$A$6:$A$3000,0))="","",INDEX(營收表現!H$6:H$3000,MATCH($A125,營收表現!$A$6:$A$3000,0))),"")</f>
        <v/>
      </c>
      <c r="J125" t="str">
        <f>IFERROR(IF(INDEX(營收表現!I$6:I$3000,MATCH($A125,營收表現!$A$6:$A$3000,0))="","",INDEX(營收表現!I$6:I$3000,MATCH($A125,營收表現!$A$6:$A$3000,0))),"")</f>
        <v/>
      </c>
      <c r="K125" t="str">
        <f>IFERROR(IF(INDEX(營收表現!J$6:J$3000,MATCH($A125,營收表現!$A$6:$A$3000,0))="","",INDEX(營收表現!J$6:J$3000,MATCH($A125,營收表現!$A$6:$A$3000,0))),"")</f>
        <v/>
      </c>
      <c r="L125" t="str">
        <f>IFERROR(IF(INDEX(營收表現!K$6:K$3000,MATCH($A125,營收表現!$A$6:$A$3000,0))="","",INDEX(營收表現!K$6:K$3000,MATCH($A125,營收表現!$A$6:$A$3000,0))),"")</f>
        <v/>
      </c>
      <c r="M125" t="str">
        <f>IFERROR(IF(INDEX(營收表現!L$6:L$3000,MATCH($A125,營收表現!$A$6:$A$3000,0))="","",INDEX(營收表現!L$6:L$3000,MATCH($A125,營收表現!$A$6:$A$3000,0))),"")</f>
        <v/>
      </c>
      <c r="N125" t="str">
        <f>IFERROR(IF(INDEX(營收表現!M$6:M$3000,MATCH($A125,營收表現!$A$6:$A$3000,0))="","",INDEX(營收表現!M$6:M$3000,MATCH($A125,營收表現!$A$6:$A$3000,0))),"")</f>
        <v/>
      </c>
      <c r="O125" t="str">
        <f>IFERROR(IF(INDEX(營收表現!N$6:N$3000,MATCH($A125,營收表現!$A$6:$A$3000,0))="","",INDEX(營收表現!N$6:N$3000,MATCH($A125,營收表現!$A$6:$A$3000,0))),"")</f>
        <v/>
      </c>
    </row>
    <row r="126" spans="1:15">
      <c r="A126" s="2"/>
      <c r="B126" t="str">
        <f>IFERROR(INDEX(營收表現!B$6:B$3000,MATCH($A126,營收表現!$A$6:$A$3000,0)),"")</f>
        <v/>
      </c>
      <c r="C126" t="str">
        <f>IFERROR(INDEX(類別!G$4:G$3000,MATCH($A126,類別!$C$4:$C$3000,0)),"")</f>
        <v/>
      </c>
      <c r="D126" t="str">
        <f>IFERROR(IF(INDEX(營收表現!C$6:C$3000,MATCH($A126,營收表現!$A$6:$A$3000,0))="","",INDEX(營收表現!C$6:C$3000,MATCH($A126,營收表現!$A$6:$A$3000,0))),"")</f>
        <v/>
      </c>
      <c r="E126" t="str">
        <f>IFERROR(IF(INDEX(營收表現!D$6:D$3000,MATCH($A126,營收表現!$A$6:$A$3000,0))="","",INDEX(營收表現!D$6:D$3000,MATCH($A126,營收表現!$A$6:$A$3000,0))),"")</f>
        <v/>
      </c>
      <c r="F126" t="str">
        <f>IFERROR(IF(INDEX(營收表現!E$6:E$3000,MATCH($A126,營收表現!$A$6:$A$3000,0))="","",INDEX(營收表現!E$6:E$3000,MATCH($A126,營收表現!$A$6:$A$3000,0))),"")</f>
        <v/>
      </c>
      <c r="G126" t="str">
        <f>IFERROR(IF(INDEX(營收表現!F$6:F$3000,MATCH($A126,營收表現!$A$6:$A$3000,0))="","",INDEX(營收表現!F$6:F$3000,MATCH($A126,營收表現!$A$6:$A$3000,0))),"")</f>
        <v/>
      </c>
      <c r="H126" t="str">
        <f>IFERROR(IF(INDEX(營收表現!G$6:G$3000,MATCH($A126,營收表現!$A$6:$A$3000,0))="","",INDEX(營收表現!G$6:G$3000,MATCH($A126,營收表現!$A$6:$A$3000,0))),"")</f>
        <v/>
      </c>
      <c r="I126" t="str">
        <f>IFERROR(IF(INDEX(營收表現!H$6:H$3000,MATCH($A126,營收表現!$A$6:$A$3000,0))="","",INDEX(營收表現!H$6:H$3000,MATCH($A126,營收表現!$A$6:$A$3000,0))),"")</f>
        <v/>
      </c>
      <c r="J126" t="str">
        <f>IFERROR(IF(INDEX(營收表現!I$6:I$3000,MATCH($A126,營收表現!$A$6:$A$3000,0))="","",INDEX(營收表現!I$6:I$3000,MATCH($A126,營收表現!$A$6:$A$3000,0))),"")</f>
        <v/>
      </c>
      <c r="K126" t="str">
        <f>IFERROR(IF(INDEX(營收表現!J$6:J$3000,MATCH($A126,營收表現!$A$6:$A$3000,0))="","",INDEX(營收表現!J$6:J$3000,MATCH($A126,營收表現!$A$6:$A$3000,0))),"")</f>
        <v/>
      </c>
      <c r="L126" t="str">
        <f>IFERROR(IF(INDEX(營收表現!K$6:K$3000,MATCH($A126,營收表現!$A$6:$A$3000,0))="","",INDEX(營收表現!K$6:K$3000,MATCH($A126,營收表現!$A$6:$A$3000,0))),"")</f>
        <v/>
      </c>
      <c r="M126" t="str">
        <f>IFERROR(IF(INDEX(營收表現!L$6:L$3000,MATCH($A126,營收表現!$A$6:$A$3000,0))="","",INDEX(營收表現!L$6:L$3000,MATCH($A126,營收表現!$A$6:$A$3000,0))),"")</f>
        <v/>
      </c>
      <c r="N126" t="str">
        <f>IFERROR(IF(INDEX(營收表現!M$6:M$3000,MATCH($A126,營收表現!$A$6:$A$3000,0))="","",INDEX(營收表現!M$6:M$3000,MATCH($A126,營收表現!$A$6:$A$3000,0))),"")</f>
        <v/>
      </c>
      <c r="O126" t="str">
        <f>IFERROR(IF(INDEX(營收表現!N$6:N$3000,MATCH($A126,營收表現!$A$6:$A$3000,0))="","",INDEX(營收表現!N$6:N$3000,MATCH($A126,營收表現!$A$6:$A$3000,0))),"")</f>
        <v/>
      </c>
    </row>
    <row r="127" spans="1:15">
      <c r="A127" s="2"/>
      <c r="B127" t="str">
        <f>IFERROR(INDEX(營收表現!B$6:B$3000,MATCH($A127,營收表現!$A$6:$A$3000,0)),"")</f>
        <v/>
      </c>
      <c r="C127" t="str">
        <f>IFERROR(INDEX(類別!G$4:G$3000,MATCH($A127,類別!$C$4:$C$3000,0)),"")</f>
        <v/>
      </c>
      <c r="D127" t="str">
        <f>IFERROR(IF(INDEX(營收表現!C$6:C$3000,MATCH($A127,營收表現!$A$6:$A$3000,0))="","",INDEX(營收表現!C$6:C$3000,MATCH($A127,營收表現!$A$6:$A$3000,0))),"")</f>
        <v/>
      </c>
      <c r="E127" t="str">
        <f>IFERROR(IF(INDEX(營收表現!D$6:D$3000,MATCH($A127,營收表現!$A$6:$A$3000,0))="","",INDEX(營收表現!D$6:D$3000,MATCH($A127,營收表現!$A$6:$A$3000,0))),"")</f>
        <v/>
      </c>
      <c r="F127" t="str">
        <f>IFERROR(IF(INDEX(營收表現!E$6:E$3000,MATCH($A127,營收表現!$A$6:$A$3000,0))="","",INDEX(營收表現!E$6:E$3000,MATCH($A127,營收表現!$A$6:$A$3000,0))),"")</f>
        <v/>
      </c>
      <c r="G127" t="str">
        <f>IFERROR(IF(INDEX(營收表現!F$6:F$3000,MATCH($A127,營收表現!$A$6:$A$3000,0))="","",INDEX(營收表現!F$6:F$3000,MATCH($A127,營收表現!$A$6:$A$3000,0))),"")</f>
        <v/>
      </c>
      <c r="H127" t="str">
        <f>IFERROR(IF(INDEX(營收表現!G$6:G$3000,MATCH($A127,營收表現!$A$6:$A$3000,0))="","",INDEX(營收表現!G$6:G$3000,MATCH($A127,營收表現!$A$6:$A$3000,0))),"")</f>
        <v/>
      </c>
      <c r="I127" t="str">
        <f>IFERROR(IF(INDEX(營收表現!H$6:H$3000,MATCH($A127,營收表現!$A$6:$A$3000,0))="","",INDEX(營收表現!H$6:H$3000,MATCH($A127,營收表現!$A$6:$A$3000,0))),"")</f>
        <v/>
      </c>
      <c r="J127" t="str">
        <f>IFERROR(IF(INDEX(營收表現!I$6:I$3000,MATCH($A127,營收表現!$A$6:$A$3000,0))="","",INDEX(營收表現!I$6:I$3000,MATCH($A127,營收表現!$A$6:$A$3000,0))),"")</f>
        <v/>
      </c>
      <c r="K127" t="str">
        <f>IFERROR(IF(INDEX(營收表現!J$6:J$3000,MATCH($A127,營收表現!$A$6:$A$3000,0))="","",INDEX(營收表現!J$6:J$3000,MATCH($A127,營收表現!$A$6:$A$3000,0))),"")</f>
        <v/>
      </c>
      <c r="L127" t="str">
        <f>IFERROR(IF(INDEX(營收表現!K$6:K$3000,MATCH($A127,營收表現!$A$6:$A$3000,0))="","",INDEX(營收表現!K$6:K$3000,MATCH($A127,營收表現!$A$6:$A$3000,0))),"")</f>
        <v/>
      </c>
      <c r="M127" t="str">
        <f>IFERROR(IF(INDEX(營收表現!L$6:L$3000,MATCH($A127,營收表現!$A$6:$A$3000,0))="","",INDEX(營收表現!L$6:L$3000,MATCH($A127,營收表現!$A$6:$A$3000,0))),"")</f>
        <v/>
      </c>
      <c r="N127" t="str">
        <f>IFERROR(IF(INDEX(營收表現!M$6:M$3000,MATCH($A127,營收表現!$A$6:$A$3000,0))="","",INDEX(營收表現!M$6:M$3000,MATCH($A127,營收表現!$A$6:$A$3000,0))),"")</f>
        <v/>
      </c>
      <c r="O127" t="str">
        <f>IFERROR(IF(INDEX(營收表現!N$6:N$3000,MATCH($A127,營收表現!$A$6:$A$3000,0))="","",INDEX(營收表現!N$6:N$3000,MATCH($A127,營收表現!$A$6:$A$3000,0))),"")</f>
        <v/>
      </c>
    </row>
    <row r="128" spans="1:15">
      <c r="A128" s="2"/>
      <c r="B128" t="str">
        <f>IFERROR(INDEX(營收表現!B$6:B$3000,MATCH($A128,營收表現!$A$6:$A$3000,0)),"")</f>
        <v/>
      </c>
      <c r="C128" t="str">
        <f>IFERROR(INDEX(類別!G$4:G$3000,MATCH($A128,類別!$C$4:$C$3000,0)),"")</f>
        <v/>
      </c>
      <c r="D128" t="str">
        <f>IFERROR(IF(INDEX(營收表現!C$6:C$3000,MATCH($A128,營收表現!$A$6:$A$3000,0))="","",INDEX(營收表現!C$6:C$3000,MATCH($A128,營收表現!$A$6:$A$3000,0))),"")</f>
        <v/>
      </c>
      <c r="E128" t="str">
        <f>IFERROR(IF(INDEX(營收表現!D$6:D$3000,MATCH($A128,營收表現!$A$6:$A$3000,0))="","",INDEX(營收表現!D$6:D$3000,MATCH($A128,營收表現!$A$6:$A$3000,0))),"")</f>
        <v/>
      </c>
      <c r="F128" t="str">
        <f>IFERROR(IF(INDEX(營收表現!E$6:E$3000,MATCH($A128,營收表現!$A$6:$A$3000,0))="","",INDEX(營收表現!E$6:E$3000,MATCH($A128,營收表現!$A$6:$A$3000,0))),"")</f>
        <v/>
      </c>
      <c r="G128" t="str">
        <f>IFERROR(IF(INDEX(營收表現!F$6:F$3000,MATCH($A128,營收表現!$A$6:$A$3000,0))="","",INDEX(營收表現!F$6:F$3000,MATCH($A128,營收表現!$A$6:$A$3000,0))),"")</f>
        <v/>
      </c>
      <c r="H128" t="str">
        <f>IFERROR(IF(INDEX(營收表現!G$6:G$3000,MATCH($A128,營收表現!$A$6:$A$3000,0))="","",INDEX(營收表現!G$6:G$3000,MATCH($A128,營收表現!$A$6:$A$3000,0))),"")</f>
        <v/>
      </c>
      <c r="I128" t="str">
        <f>IFERROR(IF(INDEX(營收表現!H$6:H$3000,MATCH($A128,營收表現!$A$6:$A$3000,0))="","",INDEX(營收表現!H$6:H$3000,MATCH($A128,營收表現!$A$6:$A$3000,0))),"")</f>
        <v/>
      </c>
      <c r="J128" t="str">
        <f>IFERROR(IF(INDEX(營收表現!I$6:I$3000,MATCH($A128,營收表現!$A$6:$A$3000,0))="","",INDEX(營收表現!I$6:I$3000,MATCH($A128,營收表現!$A$6:$A$3000,0))),"")</f>
        <v/>
      </c>
      <c r="K128" t="str">
        <f>IFERROR(IF(INDEX(營收表現!J$6:J$3000,MATCH($A128,營收表現!$A$6:$A$3000,0))="","",INDEX(營收表現!J$6:J$3000,MATCH($A128,營收表現!$A$6:$A$3000,0))),"")</f>
        <v/>
      </c>
      <c r="L128" t="str">
        <f>IFERROR(IF(INDEX(營收表現!K$6:K$3000,MATCH($A128,營收表現!$A$6:$A$3000,0))="","",INDEX(營收表現!K$6:K$3000,MATCH($A128,營收表現!$A$6:$A$3000,0))),"")</f>
        <v/>
      </c>
      <c r="M128" t="str">
        <f>IFERROR(IF(INDEX(營收表現!L$6:L$3000,MATCH($A128,營收表現!$A$6:$A$3000,0))="","",INDEX(營收表現!L$6:L$3000,MATCH($A128,營收表現!$A$6:$A$3000,0))),"")</f>
        <v/>
      </c>
      <c r="N128" t="str">
        <f>IFERROR(IF(INDEX(營收表現!M$6:M$3000,MATCH($A128,營收表現!$A$6:$A$3000,0))="","",INDEX(營收表現!M$6:M$3000,MATCH($A128,營收表現!$A$6:$A$3000,0))),"")</f>
        <v/>
      </c>
      <c r="O128" t="str">
        <f>IFERROR(IF(INDEX(營收表現!N$6:N$3000,MATCH($A128,營收表現!$A$6:$A$3000,0))="","",INDEX(營收表現!N$6:N$3000,MATCH($A128,營收表現!$A$6:$A$3000,0))),"")</f>
        <v/>
      </c>
    </row>
    <row r="129" spans="1:15">
      <c r="A129" s="2"/>
      <c r="B129" t="str">
        <f>IFERROR(INDEX(營收表現!B$6:B$3000,MATCH($A129,營收表現!$A$6:$A$3000,0)),"")</f>
        <v/>
      </c>
      <c r="C129" t="str">
        <f>IFERROR(INDEX(類別!G$4:G$3000,MATCH($A129,類別!$C$4:$C$3000,0)),"")</f>
        <v/>
      </c>
      <c r="D129" t="str">
        <f>IFERROR(IF(INDEX(營收表現!C$6:C$3000,MATCH($A129,營收表現!$A$6:$A$3000,0))="","",INDEX(營收表現!C$6:C$3000,MATCH($A129,營收表現!$A$6:$A$3000,0))),"")</f>
        <v/>
      </c>
      <c r="E129" t="str">
        <f>IFERROR(IF(INDEX(營收表現!D$6:D$3000,MATCH($A129,營收表現!$A$6:$A$3000,0))="","",INDEX(營收表現!D$6:D$3000,MATCH($A129,營收表現!$A$6:$A$3000,0))),"")</f>
        <v/>
      </c>
      <c r="F129" t="str">
        <f>IFERROR(IF(INDEX(營收表現!E$6:E$3000,MATCH($A129,營收表現!$A$6:$A$3000,0))="","",INDEX(營收表現!E$6:E$3000,MATCH($A129,營收表現!$A$6:$A$3000,0))),"")</f>
        <v/>
      </c>
      <c r="G129" t="str">
        <f>IFERROR(IF(INDEX(營收表現!F$6:F$3000,MATCH($A129,營收表現!$A$6:$A$3000,0))="","",INDEX(營收表現!F$6:F$3000,MATCH($A129,營收表現!$A$6:$A$3000,0))),"")</f>
        <v/>
      </c>
      <c r="H129" t="str">
        <f>IFERROR(IF(INDEX(營收表現!G$6:G$3000,MATCH($A129,營收表現!$A$6:$A$3000,0))="","",INDEX(營收表現!G$6:G$3000,MATCH($A129,營收表現!$A$6:$A$3000,0))),"")</f>
        <v/>
      </c>
      <c r="I129" t="str">
        <f>IFERROR(IF(INDEX(營收表現!H$6:H$3000,MATCH($A129,營收表現!$A$6:$A$3000,0))="","",INDEX(營收表現!H$6:H$3000,MATCH($A129,營收表現!$A$6:$A$3000,0))),"")</f>
        <v/>
      </c>
      <c r="J129" t="str">
        <f>IFERROR(IF(INDEX(營收表現!I$6:I$3000,MATCH($A129,營收表現!$A$6:$A$3000,0))="","",INDEX(營收表現!I$6:I$3000,MATCH($A129,營收表現!$A$6:$A$3000,0))),"")</f>
        <v/>
      </c>
      <c r="K129" t="str">
        <f>IFERROR(IF(INDEX(營收表現!J$6:J$3000,MATCH($A129,營收表現!$A$6:$A$3000,0))="","",INDEX(營收表現!J$6:J$3000,MATCH($A129,營收表現!$A$6:$A$3000,0))),"")</f>
        <v/>
      </c>
      <c r="L129" t="str">
        <f>IFERROR(IF(INDEX(營收表現!K$6:K$3000,MATCH($A129,營收表現!$A$6:$A$3000,0))="","",INDEX(營收表現!K$6:K$3000,MATCH($A129,營收表現!$A$6:$A$3000,0))),"")</f>
        <v/>
      </c>
      <c r="M129" t="str">
        <f>IFERROR(IF(INDEX(營收表現!L$6:L$3000,MATCH($A129,營收表現!$A$6:$A$3000,0))="","",INDEX(營收表現!L$6:L$3000,MATCH($A129,營收表現!$A$6:$A$3000,0))),"")</f>
        <v/>
      </c>
      <c r="N129" t="str">
        <f>IFERROR(IF(INDEX(營收表現!M$6:M$3000,MATCH($A129,營收表現!$A$6:$A$3000,0))="","",INDEX(營收表現!M$6:M$3000,MATCH($A129,營收表現!$A$6:$A$3000,0))),"")</f>
        <v/>
      </c>
      <c r="O129" t="str">
        <f>IFERROR(IF(INDEX(營收表現!N$6:N$3000,MATCH($A129,營收表現!$A$6:$A$3000,0))="","",INDEX(營收表現!N$6:N$3000,MATCH($A129,營收表現!$A$6:$A$3000,0))),"")</f>
        <v/>
      </c>
    </row>
    <row r="130" spans="1:15">
      <c r="A130" s="2"/>
      <c r="B130" t="str">
        <f>IFERROR(INDEX(營收表現!B$6:B$3000,MATCH($A130,營收表現!$A$6:$A$3000,0)),"")</f>
        <v/>
      </c>
      <c r="C130" t="str">
        <f>IFERROR(INDEX(類別!G$4:G$3000,MATCH($A130,類別!$C$4:$C$3000,0)),"")</f>
        <v/>
      </c>
      <c r="D130" t="str">
        <f>IFERROR(IF(INDEX(營收表現!C$6:C$3000,MATCH($A130,營收表現!$A$6:$A$3000,0))="","",INDEX(營收表現!C$6:C$3000,MATCH($A130,營收表現!$A$6:$A$3000,0))),"")</f>
        <v/>
      </c>
      <c r="E130" t="str">
        <f>IFERROR(IF(INDEX(營收表現!D$6:D$3000,MATCH($A130,營收表現!$A$6:$A$3000,0))="","",INDEX(營收表現!D$6:D$3000,MATCH($A130,營收表現!$A$6:$A$3000,0))),"")</f>
        <v/>
      </c>
      <c r="F130" t="str">
        <f>IFERROR(IF(INDEX(營收表現!E$6:E$3000,MATCH($A130,營收表現!$A$6:$A$3000,0))="","",INDEX(營收表現!E$6:E$3000,MATCH($A130,營收表現!$A$6:$A$3000,0))),"")</f>
        <v/>
      </c>
      <c r="G130" t="str">
        <f>IFERROR(IF(INDEX(營收表現!F$6:F$3000,MATCH($A130,營收表現!$A$6:$A$3000,0))="","",INDEX(營收表現!F$6:F$3000,MATCH($A130,營收表現!$A$6:$A$3000,0))),"")</f>
        <v/>
      </c>
      <c r="H130" t="str">
        <f>IFERROR(IF(INDEX(營收表現!G$6:G$3000,MATCH($A130,營收表現!$A$6:$A$3000,0))="","",INDEX(營收表現!G$6:G$3000,MATCH($A130,營收表現!$A$6:$A$3000,0))),"")</f>
        <v/>
      </c>
      <c r="I130" t="str">
        <f>IFERROR(IF(INDEX(營收表現!H$6:H$3000,MATCH($A130,營收表現!$A$6:$A$3000,0))="","",INDEX(營收表現!H$6:H$3000,MATCH($A130,營收表現!$A$6:$A$3000,0))),"")</f>
        <v/>
      </c>
      <c r="J130" t="str">
        <f>IFERROR(IF(INDEX(營收表現!I$6:I$3000,MATCH($A130,營收表現!$A$6:$A$3000,0))="","",INDEX(營收表現!I$6:I$3000,MATCH($A130,營收表現!$A$6:$A$3000,0))),"")</f>
        <v/>
      </c>
      <c r="K130" t="str">
        <f>IFERROR(IF(INDEX(營收表現!J$6:J$3000,MATCH($A130,營收表現!$A$6:$A$3000,0))="","",INDEX(營收表現!J$6:J$3000,MATCH($A130,營收表現!$A$6:$A$3000,0))),"")</f>
        <v/>
      </c>
      <c r="L130" t="str">
        <f>IFERROR(IF(INDEX(營收表現!K$6:K$3000,MATCH($A130,營收表現!$A$6:$A$3000,0))="","",INDEX(營收表現!K$6:K$3000,MATCH($A130,營收表現!$A$6:$A$3000,0))),"")</f>
        <v/>
      </c>
      <c r="M130" t="str">
        <f>IFERROR(IF(INDEX(營收表現!L$6:L$3000,MATCH($A130,營收表現!$A$6:$A$3000,0))="","",INDEX(營收表現!L$6:L$3000,MATCH($A130,營收表現!$A$6:$A$3000,0))),"")</f>
        <v/>
      </c>
      <c r="N130" t="str">
        <f>IFERROR(IF(INDEX(營收表現!M$6:M$3000,MATCH($A130,營收表現!$A$6:$A$3000,0))="","",INDEX(營收表現!M$6:M$3000,MATCH($A130,營收表現!$A$6:$A$3000,0))),"")</f>
        <v/>
      </c>
      <c r="O130" t="str">
        <f>IFERROR(IF(INDEX(營收表現!N$6:N$3000,MATCH($A130,營收表現!$A$6:$A$3000,0))="","",INDEX(營收表現!N$6:N$3000,MATCH($A130,營收表現!$A$6:$A$3000,0))),"")</f>
        <v/>
      </c>
    </row>
    <row r="131" spans="1:15">
      <c r="A131" s="2"/>
      <c r="B131" t="str">
        <f>IFERROR(INDEX(營收表現!B$6:B$3000,MATCH($A131,營收表現!$A$6:$A$3000,0)),"")</f>
        <v/>
      </c>
      <c r="C131" t="str">
        <f>IFERROR(INDEX(類別!G$4:G$3000,MATCH($A131,類別!$C$4:$C$3000,0)),"")</f>
        <v/>
      </c>
      <c r="D131" t="str">
        <f>IFERROR(IF(INDEX(營收表現!C$6:C$3000,MATCH($A131,營收表現!$A$6:$A$3000,0))="","",INDEX(營收表現!C$6:C$3000,MATCH($A131,營收表現!$A$6:$A$3000,0))),"")</f>
        <v/>
      </c>
      <c r="E131" t="str">
        <f>IFERROR(IF(INDEX(營收表現!D$6:D$3000,MATCH($A131,營收表現!$A$6:$A$3000,0))="","",INDEX(營收表現!D$6:D$3000,MATCH($A131,營收表現!$A$6:$A$3000,0))),"")</f>
        <v/>
      </c>
      <c r="F131" t="str">
        <f>IFERROR(IF(INDEX(營收表現!E$6:E$3000,MATCH($A131,營收表現!$A$6:$A$3000,0))="","",INDEX(營收表現!E$6:E$3000,MATCH($A131,營收表現!$A$6:$A$3000,0))),"")</f>
        <v/>
      </c>
      <c r="G131" t="str">
        <f>IFERROR(IF(INDEX(營收表現!F$6:F$3000,MATCH($A131,營收表現!$A$6:$A$3000,0))="","",INDEX(營收表現!F$6:F$3000,MATCH($A131,營收表現!$A$6:$A$3000,0))),"")</f>
        <v/>
      </c>
      <c r="H131" t="str">
        <f>IFERROR(IF(INDEX(營收表現!G$6:G$3000,MATCH($A131,營收表現!$A$6:$A$3000,0))="","",INDEX(營收表現!G$6:G$3000,MATCH($A131,營收表現!$A$6:$A$3000,0))),"")</f>
        <v/>
      </c>
      <c r="I131" t="str">
        <f>IFERROR(IF(INDEX(營收表現!H$6:H$3000,MATCH($A131,營收表現!$A$6:$A$3000,0))="","",INDEX(營收表現!H$6:H$3000,MATCH($A131,營收表現!$A$6:$A$3000,0))),"")</f>
        <v/>
      </c>
      <c r="J131" t="str">
        <f>IFERROR(IF(INDEX(營收表現!I$6:I$3000,MATCH($A131,營收表現!$A$6:$A$3000,0))="","",INDEX(營收表現!I$6:I$3000,MATCH($A131,營收表現!$A$6:$A$3000,0))),"")</f>
        <v/>
      </c>
      <c r="K131" t="str">
        <f>IFERROR(IF(INDEX(營收表現!J$6:J$3000,MATCH($A131,營收表現!$A$6:$A$3000,0))="","",INDEX(營收表現!J$6:J$3000,MATCH($A131,營收表現!$A$6:$A$3000,0))),"")</f>
        <v/>
      </c>
      <c r="L131" t="str">
        <f>IFERROR(IF(INDEX(營收表現!K$6:K$3000,MATCH($A131,營收表現!$A$6:$A$3000,0))="","",INDEX(營收表現!K$6:K$3000,MATCH($A131,營收表現!$A$6:$A$3000,0))),"")</f>
        <v/>
      </c>
      <c r="M131" t="str">
        <f>IFERROR(IF(INDEX(營收表現!L$6:L$3000,MATCH($A131,營收表現!$A$6:$A$3000,0))="","",INDEX(營收表現!L$6:L$3000,MATCH($A131,營收表現!$A$6:$A$3000,0))),"")</f>
        <v/>
      </c>
      <c r="N131" t="str">
        <f>IFERROR(IF(INDEX(營收表現!M$6:M$3000,MATCH($A131,營收表現!$A$6:$A$3000,0))="","",INDEX(營收表現!M$6:M$3000,MATCH($A131,營收表現!$A$6:$A$3000,0))),"")</f>
        <v/>
      </c>
      <c r="O131" t="str">
        <f>IFERROR(IF(INDEX(營收表現!N$6:N$3000,MATCH($A131,營收表現!$A$6:$A$3000,0))="","",INDEX(營收表現!N$6:N$3000,MATCH($A131,營收表現!$A$6:$A$3000,0))),"")</f>
        <v/>
      </c>
    </row>
    <row r="132" spans="1:15">
      <c r="A132" s="2"/>
      <c r="B132" t="str">
        <f>IFERROR(INDEX(營收表現!B$6:B$3000,MATCH($A132,營收表現!$A$6:$A$3000,0)),"")</f>
        <v/>
      </c>
      <c r="C132" t="str">
        <f>IFERROR(INDEX(類別!G$4:G$3000,MATCH($A132,類別!$C$4:$C$3000,0)),"")</f>
        <v/>
      </c>
      <c r="D132" t="str">
        <f>IFERROR(IF(INDEX(營收表現!C$6:C$3000,MATCH($A132,營收表現!$A$6:$A$3000,0))="","",INDEX(營收表現!C$6:C$3000,MATCH($A132,營收表現!$A$6:$A$3000,0))),"")</f>
        <v/>
      </c>
      <c r="E132" t="str">
        <f>IFERROR(IF(INDEX(營收表現!D$6:D$3000,MATCH($A132,營收表現!$A$6:$A$3000,0))="","",INDEX(營收表現!D$6:D$3000,MATCH($A132,營收表現!$A$6:$A$3000,0))),"")</f>
        <v/>
      </c>
      <c r="F132" t="str">
        <f>IFERROR(IF(INDEX(營收表現!E$6:E$3000,MATCH($A132,營收表現!$A$6:$A$3000,0))="","",INDEX(營收表現!E$6:E$3000,MATCH($A132,營收表現!$A$6:$A$3000,0))),"")</f>
        <v/>
      </c>
      <c r="G132" t="str">
        <f>IFERROR(IF(INDEX(營收表現!F$6:F$3000,MATCH($A132,營收表現!$A$6:$A$3000,0))="","",INDEX(營收表現!F$6:F$3000,MATCH($A132,營收表現!$A$6:$A$3000,0))),"")</f>
        <v/>
      </c>
      <c r="H132" t="str">
        <f>IFERROR(IF(INDEX(營收表現!G$6:G$3000,MATCH($A132,營收表現!$A$6:$A$3000,0))="","",INDEX(營收表現!G$6:G$3000,MATCH($A132,營收表現!$A$6:$A$3000,0))),"")</f>
        <v/>
      </c>
      <c r="I132" t="str">
        <f>IFERROR(IF(INDEX(營收表現!H$6:H$3000,MATCH($A132,營收表現!$A$6:$A$3000,0))="","",INDEX(營收表現!H$6:H$3000,MATCH($A132,營收表現!$A$6:$A$3000,0))),"")</f>
        <v/>
      </c>
      <c r="J132" t="str">
        <f>IFERROR(IF(INDEX(營收表現!I$6:I$3000,MATCH($A132,營收表現!$A$6:$A$3000,0))="","",INDEX(營收表現!I$6:I$3000,MATCH($A132,營收表現!$A$6:$A$3000,0))),"")</f>
        <v/>
      </c>
      <c r="K132" t="str">
        <f>IFERROR(IF(INDEX(營收表現!J$6:J$3000,MATCH($A132,營收表現!$A$6:$A$3000,0))="","",INDEX(營收表現!J$6:J$3000,MATCH($A132,營收表現!$A$6:$A$3000,0))),"")</f>
        <v/>
      </c>
      <c r="L132" t="str">
        <f>IFERROR(IF(INDEX(營收表現!K$6:K$3000,MATCH($A132,營收表現!$A$6:$A$3000,0))="","",INDEX(營收表現!K$6:K$3000,MATCH($A132,營收表現!$A$6:$A$3000,0))),"")</f>
        <v/>
      </c>
      <c r="M132" t="str">
        <f>IFERROR(IF(INDEX(營收表現!L$6:L$3000,MATCH($A132,營收表現!$A$6:$A$3000,0))="","",INDEX(營收表現!L$6:L$3000,MATCH($A132,營收表現!$A$6:$A$3000,0))),"")</f>
        <v/>
      </c>
      <c r="N132" t="str">
        <f>IFERROR(IF(INDEX(營收表現!M$6:M$3000,MATCH($A132,營收表現!$A$6:$A$3000,0))="","",INDEX(營收表現!M$6:M$3000,MATCH($A132,營收表現!$A$6:$A$3000,0))),"")</f>
        <v/>
      </c>
      <c r="O132" t="str">
        <f>IFERROR(IF(INDEX(營收表現!N$6:N$3000,MATCH($A132,營收表現!$A$6:$A$3000,0))="","",INDEX(營收表現!N$6:N$3000,MATCH($A132,營收表現!$A$6:$A$3000,0))),"")</f>
        <v/>
      </c>
    </row>
    <row r="133" spans="1:15">
      <c r="A133" s="2"/>
      <c r="B133" t="str">
        <f>IFERROR(INDEX(營收表現!B$6:B$3000,MATCH($A133,營收表現!$A$6:$A$3000,0)),"")</f>
        <v/>
      </c>
      <c r="C133" t="str">
        <f>IFERROR(INDEX(類別!G$4:G$3000,MATCH($A133,類別!$C$4:$C$3000,0)),"")</f>
        <v/>
      </c>
      <c r="D133" t="str">
        <f>IFERROR(IF(INDEX(營收表現!C$6:C$3000,MATCH($A133,營收表現!$A$6:$A$3000,0))="","",INDEX(營收表現!C$6:C$3000,MATCH($A133,營收表現!$A$6:$A$3000,0))),"")</f>
        <v/>
      </c>
      <c r="E133" t="str">
        <f>IFERROR(IF(INDEX(營收表現!D$6:D$3000,MATCH($A133,營收表現!$A$6:$A$3000,0))="","",INDEX(營收表現!D$6:D$3000,MATCH($A133,營收表現!$A$6:$A$3000,0))),"")</f>
        <v/>
      </c>
      <c r="F133" t="str">
        <f>IFERROR(IF(INDEX(營收表現!E$6:E$3000,MATCH($A133,營收表現!$A$6:$A$3000,0))="","",INDEX(營收表現!E$6:E$3000,MATCH($A133,營收表現!$A$6:$A$3000,0))),"")</f>
        <v/>
      </c>
      <c r="G133" t="str">
        <f>IFERROR(IF(INDEX(營收表現!F$6:F$3000,MATCH($A133,營收表現!$A$6:$A$3000,0))="","",INDEX(營收表現!F$6:F$3000,MATCH($A133,營收表現!$A$6:$A$3000,0))),"")</f>
        <v/>
      </c>
      <c r="H133" t="str">
        <f>IFERROR(IF(INDEX(營收表現!G$6:G$3000,MATCH($A133,營收表現!$A$6:$A$3000,0))="","",INDEX(營收表現!G$6:G$3000,MATCH($A133,營收表現!$A$6:$A$3000,0))),"")</f>
        <v/>
      </c>
      <c r="I133" t="str">
        <f>IFERROR(IF(INDEX(營收表現!H$6:H$3000,MATCH($A133,營收表現!$A$6:$A$3000,0))="","",INDEX(營收表現!H$6:H$3000,MATCH($A133,營收表現!$A$6:$A$3000,0))),"")</f>
        <v/>
      </c>
      <c r="J133" t="str">
        <f>IFERROR(IF(INDEX(營收表現!I$6:I$3000,MATCH($A133,營收表現!$A$6:$A$3000,0))="","",INDEX(營收表現!I$6:I$3000,MATCH($A133,營收表現!$A$6:$A$3000,0))),"")</f>
        <v/>
      </c>
      <c r="K133" t="str">
        <f>IFERROR(IF(INDEX(營收表現!J$6:J$3000,MATCH($A133,營收表現!$A$6:$A$3000,0))="","",INDEX(營收表現!J$6:J$3000,MATCH($A133,營收表現!$A$6:$A$3000,0))),"")</f>
        <v/>
      </c>
      <c r="L133" t="str">
        <f>IFERROR(IF(INDEX(營收表現!K$6:K$3000,MATCH($A133,營收表現!$A$6:$A$3000,0))="","",INDEX(營收表現!K$6:K$3000,MATCH($A133,營收表現!$A$6:$A$3000,0))),"")</f>
        <v/>
      </c>
      <c r="M133" t="str">
        <f>IFERROR(IF(INDEX(營收表現!L$6:L$3000,MATCH($A133,營收表現!$A$6:$A$3000,0))="","",INDEX(營收表現!L$6:L$3000,MATCH($A133,營收表現!$A$6:$A$3000,0))),"")</f>
        <v/>
      </c>
      <c r="N133" t="str">
        <f>IFERROR(IF(INDEX(營收表現!M$6:M$3000,MATCH($A133,營收表現!$A$6:$A$3000,0))="","",INDEX(營收表現!M$6:M$3000,MATCH($A133,營收表現!$A$6:$A$3000,0))),"")</f>
        <v/>
      </c>
      <c r="O133" t="str">
        <f>IFERROR(IF(INDEX(營收表現!N$6:N$3000,MATCH($A133,營收表現!$A$6:$A$3000,0))="","",INDEX(營收表現!N$6:N$3000,MATCH($A133,營收表現!$A$6:$A$3000,0))),"")</f>
        <v/>
      </c>
    </row>
    <row r="134" spans="1:15">
      <c r="A134" s="2"/>
      <c r="B134" t="str">
        <f>IFERROR(INDEX(營收表現!B$6:B$3000,MATCH($A134,營收表現!$A$6:$A$3000,0)),"")</f>
        <v/>
      </c>
      <c r="C134" t="str">
        <f>IFERROR(INDEX(類別!G$4:G$3000,MATCH($A134,類別!$C$4:$C$3000,0)),"")</f>
        <v/>
      </c>
      <c r="D134" t="str">
        <f>IFERROR(IF(INDEX(營收表現!C$6:C$3000,MATCH($A134,營收表現!$A$6:$A$3000,0))="","",INDEX(營收表現!C$6:C$3000,MATCH($A134,營收表現!$A$6:$A$3000,0))),"")</f>
        <v/>
      </c>
      <c r="E134" t="str">
        <f>IFERROR(IF(INDEX(營收表現!D$6:D$3000,MATCH($A134,營收表現!$A$6:$A$3000,0))="","",INDEX(營收表現!D$6:D$3000,MATCH($A134,營收表現!$A$6:$A$3000,0))),"")</f>
        <v/>
      </c>
      <c r="F134" t="str">
        <f>IFERROR(IF(INDEX(營收表現!E$6:E$3000,MATCH($A134,營收表現!$A$6:$A$3000,0))="","",INDEX(營收表現!E$6:E$3000,MATCH($A134,營收表現!$A$6:$A$3000,0))),"")</f>
        <v/>
      </c>
      <c r="G134" t="str">
        <f>IFERROR(IF(INDEX(營收表現!F$6:F$3000,MATCH($A134,營收表現!$A$6:$A$3000,0))="","",INDEX(營收表現!F$6:F$3000,MATCH($A134,營收表現!$A$6:$A$3000,0))),"")</f>
        <v/>
      </c>
      <c r="H134" t="str">
        <f>IFERROR(IF(INDEX(營收表現!G$6:G$3000,MATCH($A134,營收表現!$A$6:$A$3000,0))="","",INDEX(營收表現!G$6:G$3000,MATCH($A134,營收表現!$A$6:$A$3000,0))),"")</f>
        <v/>
      </c>
      <c r="I134" t="str">
        <f>IFERROR(IF(INDEX(營收表現!H$6:H$3000,MATCH($A134,營收表現!$A$6:$A$3000,0))="","",INDEX(營收表現!H$6:H$3000,MATCH($A134,營收表現!$A$6:$A$3000,0))),"")</f>
        <v/>
      </c>
      <c r="J134" t="str">
        <f>IFERROR(IF(INDEX(營收表現!I$6:I$3000,MATCH($A134,營收表現!$A$6:$A$3000,0))="","",INDEX(營收表現!I$6:I$3000,MATCH($A134,營收表現!$A$6:$A$3000,0))),"")</f>
        <v/>
      </c>
      <c r="K134" t="str">
        <f>IFERROR(IF(INDEX(營收表現!J$6:J$3000,MATCH($A134,營收表現!$A$6:$A$3000,0))="","",INDEX(營收表現!J$6:J$3000,MATCH($A134,營收表現!$A$6:$A$3000,0))),"")</f>
        <v/>
      </c>
      <c r="L134" t="str">
        <f>IFERROR(IF(INDEX(營收表現!K$6:K$3000,MATCH($A134,營收表現!$A$6:$A$3000,0))="","",INDEX(營收表現!K$6:K$3000,MATCH($A134,營收表現!$A$6:$A$3000,0))),"")</f>
        <v/>
      </c>
      <c r="M134" t="str">
        <f>IFERROR(IF(INDEX(營收表現!L$6:L$3000,MATCH($A134,營收表現!$A$6:$A$3000,0))="","",INDEX(營收表現!L$6:L$3000,MATCH($A134,營收表現!$A$6:$A$3000,0))),"")</f>
        <v/>
      </c>
      <c r="N134" t="str">
        <f>IFERROR(IF(INDEX(營收表現!M$6:M$3000,MATCH($A134,營收表現!$A$6:$A$3000,0))="","",INDEX(營收表現!M$6:M$3000,MATCH($A134,營收表現!$A$6:$A$3000,0))),"")</f>
        <v/>
      </c>
      <c r="O134" t="str">
        <f>IFERROR(IF(INDEX(營收表現!N$6:N$3000,MATCH($A134,營收表現!$A$6:$A$3000,0))="","",INDEX(營收表現!N$6:N$3000,MATCH($A134,營收表現!$A$6:$A$3000,0))),"")</f>
        <v/>
      </c>
    </row>
    <row r="135" spans="1:15">
      <c r="A135" s="2"/>
      <c r="B135" t="str">
        <f>IFERROR(INDEX(營收表現!B$6:B$3000,MATCH($A135,營收表現!$A$6:$A$3000,0)),"")</f>
        <v/>
      </c>
      <c r="C135" t="str">
        <f>IFERROR(INDEX(類別!G$4:G$3000,MATCH($A135,類別!$C$4:$C$3000,0)),"")</f>
        <v/>
      </c>
      <c r="D135" t="str">
        <f>IFERROR(IF(INDEX(營收表現!C$6:C$3000,MATCH($A135,營收表現!$A$6:$A$3000,0))="","",INDEX(營收表現!C$6:C$3000,MATCH($A135,營收表現!$A$6:$A$3000,0))),"")</f>
        <v/>
      </c>
      <c r="E135" t="str">
        <f>IFERROR(IF(INDEX(營收表現!D$6:D$3000,MATCH($A135,營收表現!$A$6:$A$3000,0))="","",INDEX(營收表現!D$6:D$3000,MATCH($A135,營收表現!$A$6:$A$3000,0))),"")</f>
        <v/>
      </c>
      <c r="F135" t="str">
        <f>IFERROR(IF(INDEX(營收表現!E$6:E$3000,MATCH($A135,營收表現!$A$6:$A$3000,0))="","",INDEX(營收表現!E$6:E$3000,MATCH($A135,營收表現!$A$6:$A$3000,0))),"")</f>
        <v/>
      </c>
      <c r="G135" t="str">
        <f>IFERROR(IF(INDEX(營收表現!F$6:F$3000,MATCH($A135,營收表現!$A$6:$A$3000,0))="","",INDEX(營收表現!F$6:F$3000,MATCH($A135,營收表現!$A$6:$A$3000,0))),"")</f>
        <v/>
      </c>
      <c r="H135" t="str">
        <f>IFERROR(IF(INDEX(營收表現!G$6:G$3000,MATCH($A135,營收表現!$A$6:$A$3000,0))="","",INDEX(營收表現!G$6:G$3000,MATCH($A135,營收表現!$A$6:$A$3000,0))),"")</f>
        <v/>
      </c>
      <c r="I135" t="str">
        <f>IFERROR(IF(INDEX(營收表現!H$6:H$3000,MATCH($A135,營收表現!$A$6:$A$3000,0))="","",INDEX(營收表現!H$6:H$3000,MATCH($A135,營收表現!$A$6:$A$3000,0))),"")</f>
        <v/>
      </c>
      <c r="J135" t="str">
        <f>IFERROR(IF(INDEX(營收表現!I$6:I$3000,MATCH($A135,營收表現!$A$6:$A$3000,0))="","",INDEX(營收表現!I$6:I$3000,MATCH($A135,營收表現!$A$6:$A$3000,0))),"")</f>
        <v/>
      </c>
      <c r="K135" t="str">
        <f>IFERROR(IF(INDEX(營收表現!J$6:J$3000,MATCH($A135,營收表現!$A$6:$A$3000,0))="","",INDEX(營收表現!J$6:J$3000,MATCH($A135,營收表現!$A$6:$A$3000,0))),"")</f>
        <v/>
      </c>
      <c r="L135" t="str">
        <f>IFERROR(IF(INDEX(營收表現!K$6:K$3000,MATCH($A135,營收表現!$A$6:$A$3000,0))="","",INDEX(營收表現!K$6:K$3000,MATCH($A135,營收表現!$A$6:$A$3000,0))),"")</f>
        <v/>
      </c>
      <c r="M135" t="str">
        <f>IFERROR(IF(INDEX(營收表現!L$6:L$3000,MATCH($A135,營收表現!$A$6:$A$3000,0))="","",INDEX(營收表現!L$6:L$3000,MATCH($A135,營收表現!$A$6:$A$3000,0))),"")</f>
        <v/>
      </c>
      <c r="N135" t="str">
        <f>IFERROR(IF(INDEX(營收表現!M$6:M$3000,MATCH($A135,營收表現!$A$6:$A$3000,0))="","",INDEX(營收表現!M$6:M$3000,MATCH($A135,營收表現!$A$6:$A$3000,0))),"")</f>
        <v/>
      </c>
      <c r="O135" t="str">
        <f>IFERROR(IF(INDEX(營收表現!N$6:N$3000,MATCH($A135,營收表現!$A$6:$A$3000,0))="","",INDEX(營收表現!N$6:N$3000,MATCH($A135,營收表現!$A$6:$A$3000,0))),"")</f>
        <v/>
      </c>
    </row>
    <row r="136" spans="1:15">
      <c r="A136" s="2"/>
      <c r="B136" t="str">
        <f>IFERROR(INDEX(營收表現!B$6:B$3000,MATCH($A136,營收表現!$A$6:$A$3000,0)),"")</f>
        <v/>
      </c>
      <c r="C136" t="str">
        <f>IFERROR(INDEX(類別!G$4:G$3000,MATCH($A136,類別!$C$4:$C$3000,0)),"")</f>
        <v/>
      </c>
      <c r="D136" t="str">
        <f>IFERROR(IF(INDEX(營收表現!C$6:C$3000,MATCH($A136,營收表現!$A$6:$A$3000,0))="","",INDEX(營收表現!C$6:C$3000,MATCH($A136,營收表現!$A$6:$A$3000,0))),"")</f>
        <v/>
      </c>
      <c r="E136" t="str">
        <f>IFERROR(IF(INDEX(營收表現!D$6:D$3000,MATCH($A136,營收表現!$A$6:$A$3000,0))="","",INDEX(營收表現!D$6:D$3000,MATCH($A136,營收表現!$A$6:$A$3000,0))),"")</f>
        <v/>
      </c>
      <c r="F136" t="str">
        <f>IFERROR(IF(INDEX(營收表現!E$6:E$3000,MATCH($A136,營收表現!$A$6:$A$3000,0))="","",INDEX(營收表現!E$6:E$3000,MATCH($A136,營收表現!$A$6:$A$3000,0))),"")</f>
        <v/>
      </c>
      <c r="G136" t="str">
        <f>IFERROR(IF(INDEX(營收表現!F$6:F$3000,MATCH($A136,營收表現!$A$6:$A$3000,0))="","",INDEX(營收表現!F$6:F$3000,MATCH($A136,營收表現!$A$6:$A$3000,0))),"")</f>
        <v/>
      </c>
      <c r="H136" t="str">
        <f>IFERROR(IF(INDEX(營收表現!G$6:G$3000,MATCH($A136,營收表現!$A$6:$A$3000,0))="","",INDEX(營收表現!G$6:G$3000,MATCH($A136,營收表現!$A$6:$A$3000,0))),"")</f>
        <v/>
      </c>
      <c r="I136" t="str">
        <f>IFERROR(IF(INDEX(營收表現!H$6:H$3000,MATCH($A136,營收表現!$A$6:$A$3000,0))="","",INDEX(營收表現!H$6:H$3000,MATCH($A136,營收表現!$A$6:$A$3000,0))),"")</f>
        <v/>
      </c>
      <c r="J136" t="str">
        <f>IFERROR(IF(INDEX(營收表現!I$6:I$3000,MATCH($A136,營收表現!$A$6:$A$3000,0))="","",INDEX(營收表現!I$6:I$3000,MATCH($A136,營收表現!$A$6:$A$3000,0))),"")</f>
        <v/>
      </c>
      <c r="K136" t="str">
        <f>IFERROR(IF(INDEX(營收表現!J$6:J$3000,MATCH($A136,營收表現!$A$6:$A$3000,0))="","",INDEX(營收表現!J$6:J$3000,MATCH($A136,營收表現!$A$6:$A$3000,0))),"")</f>
        <v/>
      </c>
      <c r="L136" t="str">
        <f>IFERROR(IF(INDEX(營收表現!K$6:K$3000,MATCH($A136,營收表現!$A$6:$A$3000,0))="","",INDEX(營收表現!K$6:K$3000,MATCH($A136,營收表現!$A$6:$A$3000,0))),"")</f>
        <v/>
      </c>
      <c r="M136" t="str">
        <f>IFERROR(IF(INDEX(營收表現!L$6:L$3000,MATCH($A136,營收表現!$A$6:$A$3000,0))="","",INDEX(營收表現!L$6:L$3000,MATCH($A136,營收表現!$A$6:$A$3000,0))),"")</f>
        <v/>
      </c>
      <c r="N136" t="str">
        <f>IFERROR(IF(INDEX(營收表現!M$6:M$3000,MATCH($A136,營收表現!$A$6:$A$3000,0))="","",INDEX(營收表現!M$6:M$3000,MATCH($A136,營收表現!$A$6:$A$3000,0))),"")</f>
        <v/>
      </c>
      <c r="O136" t="str">
        <f>IFERROR(IF(INDEX(營收表現!N$6:N$3000,MATCH($A136,營收表現!$A$6:$A$3000,0))="","",INDEX(營收表現!N$6:N$3000,MATCH($A136,營收表現!$A$6:$A$3000,0))),"")</f>
        <v/>
      </c>
    </row>
    <row r="137" spans="1:15">
      <c r="A137" s="2"/>
      <c r="B137" t="str">
        <f>IFERROR(INDEX(營收表現!B$6:B$3000,MATCH($A137,營收表現!$A$6:$A$3000,0)),"")</f>
        <v/>
      </c>
      <c r="C137" t="str">
        <f>IFERROR(INDEX(類別!G$4:G$3000,MATCH($A137,類別!$C$4:$C$3000,0)),"")</f>
        <v/>
      </c>
      <c r="D137" t="str">
        <f>IFERROR(IF(INDEX(營收表現!C$6:C$3000,MATCH($A137,營收表現!$A$6:$A$3000,0))="","",INDEX(營收表現!C$6:C$3000,MATCH($A137,營收表現!$A$6:$A$3000,0))),"")</f>
        <v/>
      </c>
      <c r="E137" t="str">
        <f>IFERROR(IF(INDEX(營收表現!D$6:D$3000,MATCH($A137,營收表現!$A$6:$A$3000,0))="","",INDEX(營收表現!D$6:D$3000,MATCH($A137,營收表現!$A$6:$A$3000,0))),"")</f>
        <v/>
      </c>
      <c r="F137" t="str">
        <f>IFERROR(IF(INDEX(營收表現!E$6:E$3000,MATCH($A137,營收表現!$A$6:$A$3000,0))="","",INDEX(營收表現!E$6:E$3000,MATCH($A137,營收表現!$A$6:$A$3000,0))),"")</f>
        <v/>
      </c>
      <c r="G137" t="str">
        <f>IFERROR(IF(INDEX(營收表現!F$6:F$3000,MATCH($A137,營收表現!$A$6:$A$3000,0))="","",INDEX(營收表現!F$6:F$3000,MATCH($A137,營收表現!$A$6:$A$3000,0))),"")</f>
        <v/>
      </c>
      <c r="H137" t="str">
        <f>IFERROR(IF(INDEX(營收表現!G$6:G$3000,MATCH($A137,營收表現!$A$6:$A$3000,0))="","",INDEX(營收表現!G$6:G$3000,MATCH($A137,營收表現!$A$6:$A$3000,0))),"")</f>
        <v/>
      </c>
      <c r="I137" t="str">
        <f>IFERROR(IF(INDEX(營收表現!H$6:H$3000,MATCH($A137,營收表現!$A$6:$A$3000,0))="","",INDEX(營收表現!H$6:H$3000,MATCH($A137,營收表現!$A$6:$A$3000,0))),"")</f>
        <v/>
      </c>
      <c r="J137" t="str">
        <f>IFERROR(IF(INDEX(營收表現!I$6:I$3000,MATCH($A137,營收表現!$A$6:$A$3000,0))="","",INDEX(營收表現!I$6:I$3000,MATCH($A137,營收表現!$A$6:$A$3000,0))),"")</f>
        <v/>
      </c>
      <c r="K137" t="str">
        <f>IFERROR(IF(INDEX(營收表現!J$6:J$3000,MATCH($A137,營收表現!$A$6:$A$3000,0))="","",INDEX(營收表現!J$6:J$3000,MATCH($A137,營收表現!$A$6:$A$3000,0))),"")</f>
        <v/>
      </c>
      <c r="L137" t="str">
        <f>IFERROR(IF(INDEX(營收表現!K$6:K$3000,MATCH($A137,營收表現!$A$6:$A$3000,0))="","",INDEX(營收表現!K$6:K$3000,MATCH($A137,營收表現!$A$6:$A$3000,0))),"")</f>
        <v/>
      </c>
      <c r="M137" t="str">
        <f>IFERROR(IF(INDEX(營收表現!L$6:L$3000,MATCH($A137,營收表現!$A$6:$A$3000,0))="","",INDEX(營收表現!L$6:L$3000,MATCH($A137,營收表現!$A$6:$A$3000,0))),"")</f>
        <v/>
      </c>
      <c r="N137" t="str">
        <f>IFERROR(IF(INDEX(營收表現!M$6:M$3000,MATCH($A137,營收表現!$A$6:$A$3000,0))="","",INDEX(營收表現!M$6:M$3000,MATCH($A137,營收表現!$A$6:$A$3000,0))),"")</f>
        <v/>
      </c>
      <c r="O137" t="str">
        <f>IFERROR(IF(INDEX(營收表現!N$6:N$3000,MATCH($A137,營收表現!$A$6:$A$3000,0))="","",INDEX(營收表現!N$6:N$3000,MATCH($A137,營收表現!$A$6:$A$3000,0))),"")</f>
        <v/>
      </c>
    </row>
    <row r="138" spans="1:15">
      <c r="A138" s="2"/>
      <c r="B138" t="str">
        <f>IFERROR(INDEX(營收表現!B$6:B$3000,MATCH($A138,營收表現!$A$6:$A$3000,0)),"")</f>
        <v/>
      </c>
      <c r="C138" t="str">
        <f>IFERROR(INDEX(類別!G$4:G$3000,MATCH($A138,類別!$C$4:$C$3000,0)),"")</f>
        <v/>
      </c>
      <c r="D138" t="str">
        <f>IFERROR(IF(INDEX(營收表現!C$6:C$3000,MATCH($A138,營收表現!$A$6:$A$3000,0))="","",INDEX(營收表現!C$6:C$3000,MATCH($A138,營收表現!$A$6:$A$3000,0))),"")</f>
        <v/>
      </c>
      <c r="E138" t="str">
        <f>IFERROR(IF(INDEX(營收表現!D$6:D$3000,MATCH($A138,營收表現!$A$6:$A$3000,0))="","",INDEX(營收表現!D$6:D$3000,MATCH($A138,營收表現!$A$6:$A$3000,0))),"")</f>
        <v/>
      </c>
      <c r="F138" t="str">
        <f>IFERROR(IF(INDEX(營收表現!E$6:E$3000,MATCH($A138,營收表現!$A$6:$A$3000,0))="","",INDEX(營收表現!E$6:E$3000,MATCH($A138,營收表現!$A$6:$A$3000,0))),"")</f>
        <v/>
      </c>
      <c r="G138" t="str">
        <f>IFERROR(IF(INDEX(營收表現!F$6:F$3000,MATCH($A138,營收表現!$A$6:$A$3000,0))="","",INDEX(營收表現!F$6:F$3000,MATCH($A138,營收表現!$A$6:$A$3000,0))),"")</f>
        <v/>
      </c>
      <c r="H138" t="str">
        <f>IFERROR(IF(INDEX(營收表現!G$6:G$3000,MATCH($A138,營收表現!$A$6:$A$3000,0))="","",INDEX(營收表現!G$6:G$3000,MATCH($A138,營收表現!$A$6:$A$3000,0))),"")</f>
        <v/>
      </c>
      <c r="I138" t="str">
        <f>IFERROR(IF(INDEX(營收表現!H$6:H$3000,MATCH($A138,營收表現!$A$6:$A$3000,0))="","",INDEX(營收表現!H$6:H$3000,MATCH($A138,營收表現!$A$6:$A$3000,0))),"")</f>
        <v/>
      </c>
      <c r="J138" t="str">
        <f>IFERROR(IF(INDEX(營收表現!I$6:I$3000,MATCH($A138,營收表現!$A$6:$A$3000,0))="","",INDEX(營收表現!I$6:I$3000,MATCH($A138,營收表現!$A$6:$A$3000,0))),"")</f>
        <v/>
      </c>
      <c r="K138" t="str">
        <f>IFERROR(IF(INDEX(營收表現!J$6:J$3000,MATCH($A138,營收表現!$A$6:$A$3000,0))="","",INDEX(營收表現!J$6:J$3000,MATCH($A138,營收表現!$A$6:$A$3000,0))),"")</f>
        <v/>
      </c>
      <c r="L138" t="str">
        <f>IFERROR(IF(INDEX(營收表現!K$6:K$3000,MATCH($A138,營收表現!$A$6:$A$3000,0))="","",INDEX(營收表現!K$6:K$3000,MATCH($A138,營收表現!$A$6:$A$3000,0))),"")</f>
        <v/>
      </c>
      <c r="M138" t="str">
        <f>IFERROR(IF(INDEX(營收表現!L$6:L$3000,MATCH($A138,營收表現!$A$6:$A$3000,0))="","",INDEX(營收表現!L$6:L$3000,MATCH($A138,營收表現!$A$6:$A$3000,0))),"")</f>
        <v/>
      </c>
      <c r="N138" t="str">
        <f>IFERROR(IF(INDEX(營收表現!M$6:M$3000,MATCH($A138,營收表現!$A$6:$A$3000,0))="","",INDEX(營收表現!M$6:M$3000,MATCH($A138,營收表現!$A$6:$A$3000,0))),"")</f>
        <v/>
      </c>
      <c r="O138" t="str">
        <f>IFERROR(IF(INDEX(營收表現!N$6:N$3000,MATCH($A138,營收表現!$A$6:$A$3000,0))="","",INDEX(營收表現!N$6:N$3000,MATCH($A138,營收表現!$A$6:$A$3000,0))),"")</f>
        <v/>
      </c>
    </row>
    <row r="139" spans="1:15">
      <c r="A139" s="2"/>
      <c r="B139" t="str">
        <f>IFERROR(INDEX(營收表現!B$6:B$3000,MATCH($A139,營收表現!$A$6:$A$3000,0)),"")</f>
        <v/>
      </c>
      <c r="C139" t="str">
        <f>IFERROR(INDEX(類別!G$4:G$3000,MATCH($A139,類別!$C$4:$C$3000,0)),"")</f>
        <v/>
      </c>
      <c r="D139" t="str">
        <f>IFERROR(IF(INDEX(營收表現!C$6:C$3000,MATCH($A139,營收表現!$A$6:$A$3000,0))="","",INDEX(營收表現!C$6:C$3000,MATCH($A139,營收表現!$A$6:$A$3000,0))),"")</f>
        <v/>
      </c>
      <c r="E139" t="str">
        <f>IFERROR(IF(INDEX(營收表現!D$6:D$3000,MATCH($A139,營收表現!$A$6:$A$3000,0))="","",INDEX(營收表現!D$6:D$3000,MATCH($A139,營收表現!$A$6:$A$3000,0))),"")</f>
        <v/>
      </c>
      <c r="F139" t="str">
        <f>IFERROR(IF(INDEX(營收表現!E$6:E$3000,MATCH($A139,營收表現!$A$6:$A$3000,0))="","",INDEX(營收表現!E$6:E$3000,MATCH($A139,營收表現!$A$6:$A$3000,0))),"")</f>
        <v/>
      </c>
      <c r="G139" t="str">
        <f>IFERROR(IF(INDEX(營收表現!F$6:F$3000,MATCH($A139,營收表現!$A$6:$A$3000,0))="","",INDEX(營收表現!F$6:F$3000,MATCH($A139,營收表現!$A$6:$A$3000,0))),"")</f>
        <v/>
      </c>
      <c r="H139" t="str">
        <f>IFERROR(IF(INDEX(營收表現!G$6:G$3000,MATCH($A139,營收表現!$A$6:$A$3000,0))="","",INDEX(營收表現!G$6:G$3000,MATCH($A139,營收表現!$A$6:$A$3000,0))),"")</f>
        <v/>
      </c>
      <c r="I139" t="str">
        <f>IFERROR(IF(INDEX(營收表現!H$6:H$3000,MATCH($A139,營收表現!$A$6:$A$3000,0))="","",INDEX(營收表現!H$6:H$3000,MATCH($A139,營收表現!$A$6:$A$3000,0))),"")</f>
        <v/>
      </c>
      <c r="J139" t="str">
        <f>IFERROR(IF(INDEX(營收表現!I$6:I$3000,MATCH($A139,營收表現!$A$6:$A$3000,0))="","",INDEX(營收表現!I$6:I$3000,MATCH($A139,營收表現!$A$6:$A$3000,0))),"")</f>
        <v/>
      </c>
      <c r="K139" t="str">
        <f>IFERROR(IF(INDEX(營收表現!J$6:J$3000,MATCH($A139,營收表現!$A$6:$A$3000,0))="","",INDEX(營收表現!J$6:J$3000,MATCH($A139,營收表現!$A$6:$A$3000,0))),"")</f>
        <v/>
      </c>
      <c r="L139" t="str">
        <f>IFERROR(IF(INDEX(營收表現!K$6:K$3000,MATCH($A139,營收表現!$A$6:$A$3000,0))="","",INDEX(營收表現!K$6:K$3000,MATCH($A139,營收表現!$A$6:$A$3000,0))),"")</f>
        <v/>
      </c>
      <c r="M139" t="str">
        <f>IFERROR(IF(INDEX(營收表現!L$6:L$3000,MATCH($A139,營收表現!$A$6:$A$3000,0))="","",INDEX(營收表現!L$6:L$3000,MATCH($A139,營收表現!$A$6:$A$3000,0))),"")</f>
        <v/>
      </c>
      <c r="N139" t="str">
        <f>IFERROR(IF(INDEX(營收表現!M$6:M$3000,MATCH($A139,營收表現!$A$6:$A$3000,0))="","",INDEX(營收表現!M$6:M$3000,MATCH($A139,營收表現!$A$6:$A$3000,0))),"")</f>
        <v/>
      </c>
      <c r="O139" t="str">
        <f>IFERROR(IF(INDEX(營收表現!N$6:N$3000,MATCH($A139,營收表現!$A$6:$A$3000,0))="","",INDEX(營收表現!N$6:N$3000,MATCH($A139,營收表現!$A$6:$A$3000,0))),"")</f>
        <v/>
      </c>
    </row>
    <row r="140" spans="1:15">
      <c r="A140" s="2"/>
      <c r="B140" t="str">
        <f>IFERROR(INDEX(營收表現!B$6:B$3000,MATCH($A140,營收表現!$A$6:$A$3000,0)),"")</f>
        <v/>
      </c>
      <c r="C140" t="str">
        <f>IFERROR(INDEX(類別!G$4:G$3000,MATCH($A140,類別!$C$4:$C$3000,0)),"")</f>
        <v/>
      </c>
      <c r="D140" t="str">
        <f>IFERROR(IF(INDEX(營收表現!C$6:C$3000,MATCH($A140,營收表現!$A$6:$A$3000,0))="","",INDEX(營收表現!C$6:C$3000,MATCH($A140,營收表現!$A$6:$A$3000,0))),"")</f>
        <v/>
      </c>
      <c r="E140" t="str">
        <f>IFERROR(IF(INDEX(營收表現!D$6:D$3000,MATCH($A140,營收表現!$A$6:$A$3000,0))="","",INDEX(營收表現!D$6:D$3000,MATCH($A140,營收表現!$A$6:$A$3000,0))),"")</f>
        <v/>
      </c>
      <c r="F140" t="str">
        <f>IFERROR(IF(INDEX(營收表現!E$6:E$3000,MATCH($A140,營收表現!$A$6:$A$3000,0))="","",INDEX(營收表現!E$6:E$3000,MATCH($A140,營收表現!$A$6:$A$3000,0))),"")</f>
        <v/>
      </c>
      <c r="G140" t="str">
        <f>IFERROR(IF(INDEX(營收表現!F$6:F$3000,MATCH($A140,營收表現!$A$6:$A$3000,0))="","",INDEX(營收表現!F$6:F$3000,MATCH($A140,營收表現!$A$6:$A$3000,0))),"")</f>
        <v/>
      </c>
      <c r="H140" t="str">
        <f>IFERROR(IF(INDEX(營收表現!G$6:G$3000,MATCH($A140,營收表現!$A$6:$A$3000,0))="","",INDEX(營收表現!G$6:G$3000,MATCH($A140,營收表現!$A$6:$A$3000,0))),"")</f>
        <v/>
      </c>
      <c r="I140" t="str">
        <f>IFERROR(IF(INDEX(營收表現!H$6:H$3000,MATCH($A140,營收表現!$A$6:$A$3000,0))="","",INDEX(營收表現!H$6:H$3000,MATCH($A140,營收表現!$A$6:$A$3000,0))),"")</f>
        <v/>
      </c>
      <c r="J140" t="str">
        <f>IFERROR(IF(INDEX(營收表現!I$6:I$3000,MATCH($A140,營收表現!$A$6:$A$3000,0))="","",INDEX(營收表現!I$6:I$3000,MATCH($A140,營收表現!$A$6:$A$3000,0))),"")</f>
        <v/>
      </c>
      <c r="K140" t="str">
        <f>IFERROR(IF(INDEX(營收表現!J$6:J$3000,MATCH($A140,營收表現!$A$6:$A$3000,0))="","",INDEX(營收表現!J$6:J$3000,MATCH($A140,營收表現!$A$6:$A$3000,0))),"")</f>
        <v/>
      </c>
      <c r="L140" t="str">
        <f>IFERROR(IF(INDEX(營收表現!K$6:K$3000,MATCH($A140,營收表現!$A$6:$A$3000,0))="","",INDEX(營收表現!K$6:K$3000,MATCH($A140,營收表現!$A$6:$A$3000,0))),"")</f>
        <v/>
      </c>
      <c r="M140" t="str">
        <f>IFERROR(IF(INDEX(營收表現!L$6:L$3000,MATCH($A140,營收表現!$A$6:$A$3000,0))="","",INDEX(營收表現!L$6:L$3000,MATCH($A140,營收表現!$A$6:$A$3000,0))),"")</f>
        <v/>
      </c>
      <c r="N140" t="str">
        <f>IFERROR(IF(INDEX(營收表現!M$6:M$3000,MATCH($A140,營收表現!$A$6:$A$3000,0))="","",INDEX(營收表現!M$6:M$3000,MATCH($A140,營收表現!$A$6:$A$3000,0))),"")</f>
        <v/>
      </c>
      <c r="O140" t="str">
        <f>IFERROR(IF(INDEX(營收表現!N$6:N$3000,MATCH($A140,營收表現!$A$6:$A$3000,0))="","",INDEX(營收表現!N$6:N$3000,MATCH($A140,營收表現!$A$6:$A$3000,0))),"")</f>
        <v/>
      </c>
    </row>
    <row r="141" spans="1:15">
      <c r="A141" s="2"/>
      <c r="B141" t="str">
        <f>IFERROR(INDEX(營收表現!B$6:B$3000,MATCH($A141,營收表現!$A$6:$A$3000,0)),"")</f>
        <v/>
      </c>
      <c r="C141" t="str">
        <f>IFERROR(INDEX(類別!G$4:G$3000,MATCH($A141,類別!$C$4:$C$3000,0)),"")</f>
        <v/>
      </c>
      <c r="D141" t="str">
        <f>IFERROR(IF(INDEX(營收表現!C$6:C$3000,MATCH($A141,營收表現!$A$6:$A$3000,0))="","",INDEX(營收表現!C$6:C$3000,MATCH($A141,營收表現!$A$6:$A$3000,0))),"")</f>
        <v/>
      </c>
      <c r="E141" t="str">
        <f>IFERROR(IF(INDEX(營收表現!D$6:D$3000,MATCH($A141,營收表現!$A$6:$A$3000,0))="","",INDEX(營收表現!D$6:D$3000,MATCH($A141,營收表現!$A$6:$A$3000,0))),"")</f>
        <v/>
      </c>
      <c r="F141" t="str">
        <f>IFERROR(IF(INDEX(營收表現!E$6:E$3000,MATCH($A141,營收表現!$A$6:$A$3000,0))="","",INDEX(營收表現!E$6:E$3000,MATCH($A141,營收表現!$A$6:$A$3000,0))),"")</f>
        <v/>
      </c>
      <c r="G141" t="str">
        <f>IFERROR(IF(INDEX(營收表現!F$6:F$3000,MATCH($A141,營收表現!$A$6:$A$3000,0))="","",INDEX(營收表現!F$6:F$3000,MATCH($A141,營收表現!$A$6:$A$3000,0))),"")</f>
        <v/>
      </c>
      <c r="H141" t="str">
        <f>IFERROR(IF(INDEX(營收表現!G$6:G$3000,MATCH($A141,營收表現!$A$6:$A$3000,0))="","",INDEX(營收表現!G$6:G$3000,MATCH($A141,營收表現!$A$6:$A$3000,0))),"")</f>
        <v/>
      </c>
      <c r="I141" t="str">
        <f>IFERROR(IF(INDEX(營收表現!H$6:H$3000,MATCH($A141,營收表現!$A$6:$A$3000,0))="","",INDEX(營收表現!H$6:H$3000,MATCH($A141,營收表現!$A$6:$A$3000,0))),"")</f>
        <v/>
      </c>
      <c r="J141" t="str">
        <f>IFERROR(IF(INDEX(營收表現!I$6:I$3000,MATCH($A141,營收表現!$A$6:$A$3000,0))="","",INDEX(營收表現!I$6:I$3000,MATCH($A141,營收表現!$A$6:$A$3000,0))),"")</f>
        <v/>
      </c>
      <c r="K141" t="str">
        <f>IFERROR(IF(INDEX(營收表現!J$6:J$3000,MATCH($A141,營收表現!$A$6:$A$3000,0))="","",INDEX(營收表現!J$6:J$3000,MATCH($A141,營收表現!$A$6:$A$3000,0))),"")</f>
        <v/>
      </c>
      <c r="L141" t="str">
        <f>IFERROR(IF(INDEX(營收表現!K$6:K$3000,MATCH($A141,營收表現!$A$6:$A$3000,0))="","",INDEX(營收表現!K$6:K$3000,MATCH($A141,營收表現!$A$6:$A$3000,0))),"")</f>
        <v/>
      </c>
      <c r="M141" t="str">
        <f>IFERROR(IF(INDEX(營收表現!L$6:L$3000,MATCH($A141,營收表現!$A$6:$A$3000,0))="","",INDEX(營收表現!L$6:L$3000,MATCH($A141,營收表現!$A$6:$A$3000,0))),"")</f>
        <v/>
      </c>
      <c r="N141" t="str">
        <f>IFERROR(IF(INDEX(營收表現!M$6:M$3000,MATCH($A141,營收表現!$A$6:$A$3000,0))="","",INDEX(營收表現!M$6:M$3000,MATCH($A141,營收表現!$A$6:$A$3000,0))),"")</f>
        <v/>
      </c>
      <c r="O141" t="str">
        <f>IFERROR(IF(INDEX(營收表現!N$6:N$3000,MATCH($A141,營收表現!$A$6:$A$3000,0))="","",INDEX(營收表現!N$6:N$3000,MATCH($A141,營收表現!$A$6:$A$3000,0))),"")</f>
        <v/>
      </c>
    </row>
    <row r="142" spans="1:15">
      <c r="A142" s="2"/>
      <c r="B142" t="str">
        <f>IFERROR(INDEX(營收表現!B$6:B$3000,MATCH($A142,營收表現!$A$6:$A$3000,0)),"")</f>
        <v/>
      </c>
      <c r="C142" t="str">
        <f>IFERROR(INDEX(類別!G$4:G$3000,MATCH($A142,類別!$C$4:$C$3000,0)),"")</f>
        <v/>
      </c>
      <c r="D142" t="str">
        <f>IFERROR(IF(INDEX(營收表現!C$6:C$3000,MATCH($A142,營收表現!$A$6:$A$3000,0))="","",INDEX(營收表現!C$6:C$3000,MATCH($A142,營收表現!$A$6:$A$3000,0))),"")</f>
        <v/>
      </c>
      <c r="E142" t="str">
        <f>IFERROR(IF(INDEX(營收表現!D$6:D$3000,MATCH($A142,營收表現!$A$6:$A$3000,0))="","",INDEX(營收表現!D$6:D$3000,MATCH($A142,營收表現!$A$6:$A$3000,0))),"")</f>
        <v/>
      </c>
      <c r="F142" t="str">
        <f>IFERROR(IF(INDEX(營收表現!E$6:E$3000,MATCH($A142,營收表現!$A$6:$A$3000,0))="","",INDEX(營收表現!E$6:E$3000,MATCH($A142,營收表現!$A$6:$A$3000,0))),"")</f>
        <v/>
      </c>
      <c r="G142" t="str">
        <f>IFERROR(IF(INDEX(營收表現!F$6:F$3000,MATCH($A142,營收表現!$A$6:$A$3000,0))="","",INDEX(營收表現!F$6:F$3000,MATCH($A142,營收表現!$A$6:$A$3000,0))),"")</f>
        <v/>
      </c>
      <c r="H142" t="str">
        <f>IFERROR(IF(INDEX(營收表現!G$6:G$3000,MATCH($A142,營收表現!$A$6:$A$3000,0))="","",INDEX(營收表現!G$6:G$3000,MATCH($A142,營收表現!$A$6:$A$3000,0))),"")</f>
        <v/>
      </c>
      <c r="I142" t="str">
        <f>IFERROR(IF(INDEX(營收表現!H$6:H$3000,MATCH($A142,營收表現!$A$6:$A$3000,0))="","",INDEX(營收表現!H$6:H$3000,MATCH($A142,營收表現!$A$6:$A$3000,0))),"")</f>
        <v/>
      </c>
      <c r="J142" t="str">
        <f>IFERROR(IF(INDEX(營收表現!I$6:I$3000,MATCH($A142,營收表現!$A$6:$A$3000,0))="","",INDEX(營收表現!I$6:I$3000,MATCH($A142,營收表現!$A$6:$A$3000,0))),"")</f>
        <v/>
      </c>
      <c r="K142" t="str">
        <f>IFERROR(IF(INDEX(營收表現!J$6:J$3000,MATCH($A142,營收表現!$A$6:$A$3000,0))="","",INDEX(營收表現!J$6:J$3000,MATCH($A142,營收表現!$A$6:$A$3000,0))),"")</f>
        <v/>
      </c>
      <c r="L142" t="str">
        <f>IFERROR(IF(INDEX(營收表現!K$6:K$3000,MATCH($A142,營收表現!$A$6:$A$3000,0))="","",INDEX(營收表現!K$6:K$3000,MATCH($A142,營收表現!$A$6:$A$3000,0))),"")</f>
        <v/>
      </c>
      <c r="M142" t="str">
        <f>IFERROR(IF(INDEX(營收表現!L$6:L$3000,MATCH($A142,營收表現!$A$6:$A$3000,0))="","",INDEX(營收表現!L$6:L$3000,MATCH($A142,營收表現!$A$6:$A$3000,0))),"")</f>
        <v/>
      </c>
      <c r="N142" t="str">
        <f>IFERROR(IF(INDEX(營收表現!M$6:M$3000,MATCH($A142,營收表現!$A$6:$A$3000,0))="","",INDEX(營收表現!M$6:M$3000,MATCH($A142,營收表現!$A$6:$A$3000,0))),"")</f>
        <v/>
      </c>
      <c r="O142" t="str">
        <f>IFERROR(IF(INDEX(營收表現!N$6:N$3000,MATCH($A142,營收表現!$A$6:$A$3000,0))="","",INDEX(營收表現!N$6:N$3000,MATCH($A142,營收表現!$A$6:$A$3000,0))),"")</f>
        <v/>
      </c>
    </row>
    <row r="143" spans="1:15">
      <c r="A143" s="2"/>
      <c r="B143" t="str">
        <f>IFERROR(INDEX(營收表現!B$6:B$3000,MATCH($A143,營收表現!$A$6:$A$3000,0)),"")</f>
        <v/>
      </c>
      <c r="C143" t="str">
        <f>IFERROR(INDEX(類別!G$4:G$3000,MATCH($A143,類別!$C$4:$C$3000,0)),"")</f>
        <v/>
      </c>
      <c r="D143" t="str">
        <f>IFERROR(IF(INDEX(營收表現!C$6:C$3000,MATCH($A143,營收表現!$A$6:$A$3000,0))="","",INDEX(營收表現!C$6:C$3000,MATCH($A143,營收表現!$A$6:$A$3000,0))),"")</f>
        <v/>
      </c>
      <c r="E143" t="str">
        <f>IFERROR(IF(INDEX(營收表現!D$6:D$3000,MATCH($A143,營收表現!$A$6:$A$3000,0))="","",INDEX(營收表現!D$6:D$3000,MATCH($A143,營收表現!$A$6:$A$3000,0))),"")</f>
        <v/>
      </c>
      <c r="F143" t="str">
        <f>IFERROR(IF(INDEX(營收表現!E$6:E$3000,MATCH($A143,營收表現!$A$6:$A$3000,0))="","",INDEX(營收表現!E$6:E$3000,MATCH($A143,營收表現!$A$6:$A$3000,0))),"")</f>
        <v/>
      </c>
      <c r="G143" t="str">
        <f>IFERROR(IF(INDEX(營收表現!F$6:F$3000,MATCH($A143,營收表現!$A$6:$A$3000,0))="","",INDEX(營收表現!F$6:F$3000,MATCH($A143,營收表現!$A$6:$A$3000,0))),"")</f>
        <v/>
      </c>
      <c r="H143" t="str">
        <f>IFERROR(IF(INDEX(營收表現!G$6:G$3000,MATCH($A143,營收表現!$A$6:$A$3000,0))="","",INDEX(營收表現!G$6:G$3000,MATCH($A143,營收表現!$A$6:$A$3000,0))),"")</f>
        <v/>
      </c>
      <c r="I143" t="str">
        <f>IFERROR(IF(INDEX(營收表現!H$6:H$3000,MATCH($A143,營收表現!$A$6:$A$3000,0))="","",INDEX(營收表現!H$6:H$3000,MATCH($A143,營收表現!$A$6:$A$3000,0))),"")</f>
        <v/>
      </c>
      <c r="J143" t="str">
        <f>IFERROR(IF(INDEX(營收表現!I$6:I$3000,MATCH($A143,營收表現!$A$6:$A$3000,0))="","",INDEX(營收表現!I$6:I$3000,MATCH($A143,營收表現!$A$6:$A$3000,0))),"")</f>
        <v/>
      </c>
      <c r="K143" t="str">
        <f>IFERROR(IF(INDEX(營收表現!J$6:J$3000,MATCH($A143,營收表現!$A$6:$A$3000,0))="","",INDEX(營收表現!J$6:J$3000,MATCH($A143,營收表現!$A$6:$A$3000,0))),"")</f>
        <v/>
      </c>
      <c r="L143" t="str">
        <f>IFERROR(IF(INDEX(營收表現!K$6:K$3000,MATCH($A143,營收表現!$A$6:$A$3000,0))="","",INDEX(營收表現!K$6:K$3000,MATCH($A143,營收表現!$A$6:$A$3000,0))),"")</f>
        <v/>
      </c>
      <c r="M143" t="str">
        <f>IFERROR(IF(INDEX(營收表現!L$6:L$3000,MATCH($A143,營收表現!$A$6:$A$3000,0))="","",INDEX(營收表現!L$6:L$3000,MATCH($A143,營收表現!$A$6:$A$3000,0))),"")</f>
        <v/>
      </c>
      <c r="N143" t="str">
        <f>IFERROR(IF(INDEX(營收表現!M$6:M$3000,MATCH($A143,營收表現!$A$6:$A$3000,0))="","",INDEX(營收表現!M$6:M$3000,MATCH($A143,營收表現!$A$6:$A$3000,0))),"")</f>
        <v/>
      </c>
      <c r="O143" t="str">
        <f>IFERROR(IF(INDEX(營收表現!N$6:N$3000,MATCH($A143,營收表現!$A$6:$A$3000,0))="","",INDEX(營收表現!N$6:N$3000,MATCH($A143,營收表現!$A$6:$A$3000,0))),"")</f>
        <v/>
      </c>
    </row>
    <row r="144" spans="1:15">
      <c r="A144" s="2"/>
      <c r="B144" t="str">
        <f>IFERROR(INDEX(營收表現!B$6:B$3000,MATCH($A144,營收表現!$A$6:$A$3000,0)),"")</f>
        <v/>
      </c>
      <c r="C144" t="str">
        <f>IFERROR(INDEX(類別!G$4:G$3000,MATCH($A144,類別!$C$4:$C$3000,0)),"")</f>
        <v/>
      </c>
      <c r="D144" t="str">
        <f>IFERROR(IF(INDEX(營收表現!C$6:C$3000,MATCH($A144,營收表現!$A$6:$A$3000,0))="","",INDEX(營收表現!C$6:C$3000,MATCH($A144,營收表現!$A$6:$A$3000,0))),"")</f>
        <v/>
      </c>
      <c r="E144" t="str">
        <f>IFERROR(IF(INDEX(營收表現!D$6:D$3000,MATCH($A144,營收表現!$A$6:$A$3000,0))="","",INDEX(營收表現!D$6:D$3000,MATCH($A144,營收表現!$A$6:$A$3000,0))),"")</f>
        <v/>
      </c>
      <c r="F144" t="str">
        <f>IFERROR(IF(INDEX(營收表現!E$6:E$3000,MATCH($A144,營收表現!$A$6:$A$3000,0))="","",INDEX(營收表現!E$6:E$3000,MATCH($A144,營收表現!$A$6:$A$3000,0))),"")</f>
        <v/>
      </c>
      <c r="G144" t="str">
        <f>IFERROR(IF(INDEX(營收表現!F$6:F$3000,MATCH($A144,營收表現!$A$6:$A$3000,0))="","",INDEX(營收表現!F$6:F$3000,MATCH($A144,營收表現!$A$6:$A$3000,0))),"")</f>
        <v/>
      </c>
      <c r="H144" t="str">
        <f>IFERROR(IF(INDEX(營收表現!G$6:G$3000,MATCH($A144,營收表現!$A$6:$A$3000,0))="","",INDEX(營收表現!G$6:G$3000,MATCH($A144,營收表現!$A$6:$A$3000,0))),"")</f>
        <v/>
      </c>
      <c r="I144" t="str">
        <f>IFERROR(IF(INDEX(營收表現!H$6:H$3000,MATCH($A144,營收表現!$A$6:$A$3000,0))="","",INDEX(營收表現!H$6:H$3000,MATCH($A144,營收表現!$A$6:$A$3000,0))),"")</f>
        <v/>
      </c>
      <c r="J144" t="str">
        <f>IFERROR(IF(INDEX(營收表現!I$6:I$3000,MATCH($A144,營收表現!$A$6:$A$3000,0))="","",INDEX(營收表現!I$6:I$3000,MATCH($A144,營收表現!$A$6:$A$3000,0))),"")</f>
        <v/>
      </c>
      <c r="K144" t="str">
        <f>IFERROR(IF(INDEX(營收表現!J$6:J$3000,MATCH($A144,營收表現!$A$6:$A$3000,0))="","",INDEX(營收表現!J$6:J$3000,MATCH($A144,營收表現!$A$6:$A$3000,0))),"")</f>
        <v/>
      </c>
      <c r="L144" t="str">
        <f>IFERROR(IF(INDEX(營收表現!K$6:K$3000,MATCH($A144,營收表現!$A$6:$A$3000,0))="","",INDEX(營收表現!K$6:K$3000,MATCH($A144,營收表現!$A$6:$A$3000,0))),"")</f>
        <v/>
      </c>
      <c r="M144" t="str">
        <f>IFERROR(IF(INDEX(營收表現!L$6:L$3000,MATCH($A144,營收表現!$A$6:$A$3000,0))="","",INDEX(營收表現!L$6:L$3000,MATCH($A144,營收表現!$A$6:$A$3000,0))),"")</f>
        <v/>
      </c>
      <c r="N144" t="str">
        <f>IFERROR(IF(INDEX(營收表現!M$6:M$3000,MATCH($A144,營收表現!$A$6:$A$3000,0))="","",INDEX(營收表現!M$6:M$3000,MATCH($A144,營收表現!$A$6:$A$3000,0))),"")</f>
        <v/>
      </c>
      <c r="O144" t="str">
        <f>IFERROR(IF(INDEX(營收表現!N$6:N$3000,MATCH($A144,營收表現!$A$6:$A$3000,0))="","",INDEX(營收表現!N$6:N$3000,MATCH($A144,營收表現!$A$6:$A$3000,0))),"")</f>
        <v/>
      </c>
    </row>
    <row r="145" spans="1:15">
      <c r="A145" s="2"/>
      <c r="B145" t="str">
        <f>IFERROR(INDEX(營收表現!B$6:B$3000,MATCH($A145,營收表現!$A$6:$A$3000,0)),"")</f>
        <v/>
      </c>
      <c r="C145" t="str">
        <f>IFERROR(INDEX(類別!G$4:G$3000,MATCH($A145,類別!$C$4:$C$3000,0)),"")</f>
        <v/>
      </c>
      <c r="D145" t="str">
        <f>IFERROR(IF(INDEX(營收表現!C$6:C$3000,MATCH($A145,營收表現!$A$6:$A$3000,0))="","",INDEX(營收表現!C$6:C$3000,MATCH($A145,營收表現!$A$6:$A$3000,0))),"")</f>
        <v/>
      </c>
      <c r="E145" t="str">
        <f>IFERROR(IF(INDEX(營收表現!D$6:D$3000,MATCH($A145,營收表現!$A$6:$A$3000,0))="","",INDEX(營收表現!D$6:D$3000,MATCH($A145,營收表現!$A$6:$A$3000,0))),"")</f>
        <v/>
      </c>
      <c r="F145" t="str">
        <f>IFERROR(IF(INDEX(營收表現!E$6:E$3000,MATCH($A145,營收表現!$A$6:$A$3000,0))="","",INDEX(營收表現!E$6:E$3000,MATCH($A145,營收表現!$A$6:$A$3000,0))),"")</f>
        <v/>
      </c>
      <c r="G145" t="str">
        <f>IFERROR(IF(INDEX(營收表現!F$6:F$3000,MATCH($A145,營收表現!$A$6:$A$3000,0))="","",INDEX(營收表現!F$6:F$3000,MATCH($A145,營收表現!$A$6:$A$3000,0))),"")</f>
        <v/>
      </c>
      <c r="H145" t="str">
        <f>IFERROR(IF(INDEX(營收表現!G$6:G$3000,MATCH($A145,營收表現!$A$6:$A$3000,0))="","",INDEX(營收表現!G$6:G$3000,MATCH($A145,營收表現!$A$6:$A$3000,0))),"")</f>
        <v/>
      </c>
      <c r="I145" t="str">
        <f>IFERROR(IF(INDEX(營收表現!H$6:H$3000,MATCH($A145,營收表現!$A$6:$A$3000,0))="","",INDEX(營收表現!H$6:H$3000,MATCH($A145,營收表現!$A$6:$A$3000,0))),"")</f>
        <v/>
      </c>
      <c r="J145" t="str">
        <f>IFERROR(IF(INDEX(營收表現!I$6:I$3000,MATCH($A145,營收表現!$A$6:$A$3000,0))="","",INDEX(營收表現!I$6:I$3000,MATCH($A145,營收表現!$A$6:$A$3000,0))),"")</f>
        <v/>
      </c>
      <c r="K145" t="str">
        <f>IFERROR(IF(INDEX(營收表現!J$6:J$3000,MATCH($A145,營收表現!$A$6:$A$3000,0))="","",INDEX(營收表現!J$6:J$3000,MATCH($A145,營收表現!$A$6:$A$3000,0))),"")</f>
        <v/>
      </c>
      <c r="L145" t="str">
        <f>IFERROR(IF(INDEX(營收表現!K$6:K$3000,MATCH($A145,營收表現!$A$6:$A$3000,0))="","",INDEX(營收表現!K$6:K$3000,MATCH($A145,營收表現!$A$6:$A$3000,0))),"")</f>
        <v/>
      </c>
      <c r="M145" t="str">
        <f>IFERROR(IF(INDEX(營收表現!L$6:L$3000,MATCH($A145,營收表現!$A$6:$A$3000,0))="","",INDEX(營收表現!L$6:L$3000,MATCH($A145,營收表現!$A$6:$A$3000,0))),"")</f>
        <v/>
      </c>
      <c r="N145" t="str">
        <f>IFERROR(IF(INDEX(營收表現!M$6:M$3000,MATCH($A145,營收表現!$A$6:$A$3000,0))="","",INDEX(營收表現!M$6:M$3000,MATCH($A145,營收表現!$A$6:$A$3000,0))),"")</f>
        <v/>
      </c>
      <c r="O145" t="str">
        <f>IFERROR(IF(INDEX(營收表現!N$6:N$3000,MATCH($A145,營收表現!$A$6:$A$3000,0))="","",INDEX(營收表現!N$6:N$3000,MATCH($A145,營收表現!$A$6:$A$3000,0))),"")</f>
        <v/>
      </c>
    </row>
    <row r="146" spans="1:15">
      <c r="A146" s="2"/>
      <c r="B146" t="str">
        <f>IFERROR(INDEX(營收表現!B$6:B$3000,MATCH($A146,營收表現!$A$6:$A$3000,0)),"")</f>
        <v/>
      </c>
      <c r="C146" t="str">
        <f>IFERROR(INDEX(類別!G$4:G$3000,MATCH($A146,類別!$C$4:$C$3000,0)),"")</f>
        <v/>
      </c>
      <c r="D146" t="str">
        <f>IFERROR(IF(INDEX(營收表現!C$6:C$3000,MATCH($A146,營收表現!$A$6:$A$3000,0))="","",INDEX(營收表現!C$6:C$3000,MATCH($A146,營收表現!$A$6:$A$3000,0))),"")</f>
        <v/>
      </c>
      <c r="E146" t="str">
        <f>IFERROR(IF(INDEX(營收表現!D$6:D$3000,MATCH($A146,營收表現!$A$6:$A$3000,0))="","",INDEX(營收表現!D$6:D$3000,MATCH($A146,營收表現!$A$6:$A$3000,0))),"")</f>
        <v/>
      </c>
      <c r="F146" t="str">
        <f>IFERROR(IF(INDEX(營收表現!E$6:E$3000,MATCH($A146,營收表現!$A$6:$A$3000,0))="","",INDEX(營收表現!E$6:E$3000,MATCH($A146,營收表現!$A$6:$A$3000,0))),"")</f>
        <v/>
      </c>
      <c r="G146" t="str">
        <f>IFERROR(IF(INDEX(營收表現!F$6:F$3000,MATCH($A146,營收表現!$A$6:$A$3000,0))="","",INDEX(營收表現!F$6:F$3000,MATCH($A146,營收表現!$A$6:$A$3000,0))),"")</f>
        <v/>
      </c>
      <c r="H146" t="str">
        <f>IFERROR(IF(INDEX(營收表現!G$6:G$3000,MATCH($A146,營收表現!$A$6:$A$3000,0))="","",INDEX(營收表現!G$6:G$3000,MATCH($A146,營收表現!$A$6:$A$3000,0))),"")</f>
        <v/>
      </c>
      <c r="I146" t="str">
        <f>IFERROR(IF(INDEX(營收表現!H$6:H$3000,MATCH($A146,營收表現!$A$6:$A$3000,0))="","",INDEX(營收表現!H$6:H$3000,MATCH($A146,營收表現!$A$6:$A$3000,0))),"")</f>
        <v/>
      </c>
      <c r="J146" t="str">
        <f>IFERROR(IF(INDEX(營收表現!I$6:I$3000,MATCH($A146,營收表現!$A$6:$A$3000,0))="","",INDEX(營收表現!I$6:I$3000,MATCH($A146,營收表現!$A$6:$A$3000,0))),"")</f>
        <v/>
      </c>
      <c r="K146" t="str">
        <f>IFERROR(IF(INDEX(營收表現!J$6:J$3000,MATCH($A146,營收表現!$A$6:$A$3000,0))="","",INDEX(營收表現!J$6:J$3000,MATCH($A146,營收表現!$A$6:$A$3000,0))),"")</f>
        <v/>
      </c>
      <c r="L146" t="str">
        <f>IFERROR(IF(INDEX(營收表現!K$6:K$3000,MATCH($A146,營收表現!$A$6:$A$3000,0))="","",INDEX(營收表現!K$6:K$3000,MATCH($A146,營收表現!$A$6:$A$3000,0))),"")</f>
        <v/>
      </c>
      <c r="M146" t="str">
        <f>IFERROR(IF(INDEX(營收表現!L$6:L$3000,MATCH($A146,營收表現!$A$6:$A$3000,0))="","",INDEX(營收表現!L$6:L$3000,MATCH($A146,營收表現!$A$6:$A$3000,0))),"")</f>
        <v/>
      </c>
      <c r="N146" t="str">
        <f>IFERROR(IF(INDEX(營收表現!M$6:M$3000,MATCH($A146,營收表現!$A$6:$A$3000,0))="","",INDEX(營收表現!M$6:M$3000,MATCH($A146,營收表現!$A$6:$A$3000,0))),"")</f>
        <v/>
      </c>
      <c r="O146" t="str">
        <f>IFERROR(IF(INDEX(營收表現!N$6:N$3000,MATCH($A146,營收表現!$A$6:$A$3000,0))="","",INDEX(營收表現!N$6:N$3000,MATCH($A146,營收表現!$A$6:$A$3000,0))),"")</f>
        <v/>
      </c>
    </row>
    <row r="147" spans="1:15">
      <c r="A147" s="2"/>
      <c r="B147" t="str">
        <f>IFERROR(INDEX(營收表現!B$6:B$3000,MATCH($A147,營收表現!$A$6:$A$3000,0)),"")</f>
        <v/>
      </c>
      <c r="C147" t="str">
        <f>IFERROR(INDEX(類別!G$4:G$3000,MATCH($A147,類別!$C$4:$C$3000,0)),"")</f>
        <v/>
      </c>
      <c r="D147" t="str">
        <f>IFERROR(IF(INDEX(營收表現!C$6:C$3000,MATCH($A147,營收表現!$A$6:$A$3000,0))="","",INDEX(營收表現!C$6:C$3000,MATCH($A147,營收表現!$A$6:$A$3000,0))),"")</f>
        <v/>
      </c>
      <c r="E147" t="str">
        <f>IFERROR(IF(INDEX(營收表現!D$6:D$3000,MATCH($A147,營收表現!$A$6:$A$3000,0))="","",INDEX(營收表現!D$6:D$3000,MATCH($A147,營收表現!$A$6:$A$3000,0))),"")</f>
        <v/>
      </c>
      <c r="F147" t="str">
        <f>IFERROR(IF(INDEX(營收表現!E$6:E$3000,MATCH($A147,營收表現!$A$6:$A$3000,0))="","",INDEX(營收表現!E$6:E$3000,MATCH($A147,營收表現!$A$6:$A$3000,0))),"")</f>
        <v/>
      </c>
      <c r="G147" t="str">
        <f>IFERROR(IF(INDEX(營收表現!F$6:F$3000,MATCH($A147,營收表現!$A$6:$A$3000,0))="","",INDEX(營收表現!F$6:F$3000,MATCH($A147,營收表現!$A$6:$A$3000,0))),"")</f>
        <v/>
      </c>
      <c r="H147" t="str">
        <f>IFERROR(IF(INDEX(營收表現!G$6:G$3000,MATCH($A147,營收表現!$A$6:$A$3000,0))="","",INDEX(營收表現!G$6:G$3000,MATCH($A147,營收表現!$A$6:$A$3000,0))),"")</f>
        <v/>
      </c>
      <c r="I147" t="str">
        <f>IFERROR(IF(INDEX(營收表現!H$6:H$3000,MATCH($A147,營收表現!$A$6:$A$3000,0))="","",INDEX(營收表現!H$6:H$3000,MATCH($A147,營收表現!$A$6:$A$3000,0))),"")</f>
        <v/>
      </c>
      <c r="J147" t="str">
        <f>IFERROR(IF(INDEX(營收表現!I$6:I$3000,MATCH($A147,營收表現!$A$6:$A$3000,0))="","",INDEX(營收表現!I$6:I$3000,MATCH($A147,營收表現!$A$6:$A$3000,0))),"")</f>
        <v/>
      </c>
      <c r="K147" t="str">
        <f>IFERROR(IF(INDEX(營收表現!J$6:J$3000,MATCH($A147,營收表現!$A$6:$A$3000,0))="","",INDEX(營收表現!J$6:J$3000,MATCH($A147,營收表現!$A$6:$A$3000,0))),"")</f>
        <v/>
      </c>
      <c r="L147" t="str">
        <f>IFERROR(IF(INDEX(營收表現!K$6:K$3000,MATCH($A147,營收表現!$A$6:$A$3000,0))="","",INDEX(營收表現!K$6:K$3000,MATCH($A147,營收表現!$A$6:$A$3000,0))),"")</f>
        <v/>
      </c>
      <c r="M147" t="str">
        <f>IFERROR(IF(INDEX(營收表現!L$6:L$3000,MATCH($A147,營收表現!$A$6:$A$3000,0))="","",INDEX(營收表現!L$6:L$3000,MATCH($A147,營收表現!$A$6:$A$3000,0))),"")</f>
        <v/>
      </c>
      <c r="N147" t="str">
        <f>IFERROR(IF(INDEX(營收表現!M$6:M$3000,MATCH($A147,營收表現!$A$6:$A$3000,0))="","",INDEX(營收表現!M$6:M$3000,MATCH($A147,營收表現!$A$6:$A$3000,0))),"")</f>
        <v/>
      </c>
      <c r="O147" t="str">
        <f>IFERROR(IF(INDEX(營收表現!N$6:N$3000,MATCH($A147,營收表現!$A$6:$A$3000,0))="","",INDEX(營收表現!N$6:N$3000,MATCH($A147,營收表現!$A$6:$A$3000,0))),"")</f>
        <v/>
      </c>
    </row>
    <row r="148" spans="1:15">
      <c r="A148" s="2"/>
      <c r="B148" t="str">
        <f>IFERROR(INDEX(營收表現!B$6:B$3000,MATCH($A148,營收表現!$A$6:$A$3000,0)),"")</f>
        <v/>
      </c>
      <c r="C148" t="str">
        <f>IFERROR(INDEX(類別!G$4:G$3000,MATCH($A148,類別!$C$4:$C$3000,0)),"")</f>
        <v/>
      </c>
      <c r="D148" t="str">
        <f>IFERROR(IF(INDEX(營收表現!C$6:C$3000,MATCH($A148,營收表現!$A$6:$A$3000,0))="","",INDEX(營收表現!C$6:C$3000,MATCH($A148,營收表現!$A$6:$A$3000,0))),"")</f>
        <v/>
      </c>
      <c r="E148" t="str">
        <f>IFERROR(IF(INDEX(營收表現!D$6:D$3000,MATCH($A148,營收表現!$A$6:$A$3000,0))="","",INDEX(營收表現!D$6:D$3000,MATCH($A148,營收表現!$A$6:$A$3000,0))),"")</f>
        <v/>
      </c>
      <c r="F148" t="str">
        <f>IFERROR(IF(INDEX(營收表現!E$6:E$3000,MATCH($A148,營收表現!$A$6:$A$3000,0))="","",INDEX(營收表現!E$6:E$3000,MATCH($A148,營收表現!$A$6:$A$3000,0))),"")</f>
        <v/>
      </c>
      <c r="G148" t="str">
        <f>IFERROR(IF(INDEX(營收表現!F$6:F$3000,MATCH($A148,營收表現!$A$6:$A$3000,0))="","",INDEX(營收表現!F$6:F$3000,MATCH($A148,營收表現!$A$6:$A$3000,0))),"")</f>
        <v/>
      </c>
      <c r="H148" t="str">
        <f>IFERROR(IF(INDEX(營收表現!G$6:G$3000,MATCH($A148,營收表現!$A$6:$A$3000,0))="","",INDEX(營收表現!G$6:G$3000,MATCH($A148,營收表現!$A$6:$A$3000,0))),"")</f>
        <v/>
      </c>
      <c r="I148" t="str">
        <f>IFERROR(IF(INDEX(營收表現!H$6:H$3000,MATCH($A148,營收表現!$A$6:$A$3000,0))="","",INDEX(營收表現!H$6:H$3000,MATCH($A148,營收表現!$A$6:$A$3000,0))),"")</f>
        <v/>
      </c>
      <c r="J148" t="str">
        <f>IFERROR(IF(INDEX(營收表現!I$6:I$3000,MATCH($A148,營收表現!$A$6:$A$3000,0))="","",INDEX(營收表現!I$6:I$3000,MATCH($A148,營收表現!$A$6:$A$3000,0))),"")</f>
        <v/>
      </c>
      <c r="K148" t="str">
        <f>IFERROR(IF(INDEX(營收表現!J$6:J$3000,MATCH($A148,營收表現!$A$6:$A$3000,0))="","",INDEX(營收表現!J$6:J$3000,MATCH($A148,營收表現!$A$6:$A$3000,0))),"")</f>
        <v/>
      </c>
      <c r="L148" t="str">
        <f>IFERROR(IF(INDEX(營收表現!K$6:K$3000,MATCH($A148,營收表現!$A$6:$A$3000,0))="","",INDEX(營收表現!K$6:K$3000,MATCH($A148,營收表現!$A$6:$A$3000,0))),"")</f>
        <v/>
      </c>
      <c r="M148" t="str">
        <f>IFERROR(IF(INDEX(營收表現!L$6:L$3000,MATCH($A148,營收表現!$A$6:$A$3000,0))="","",INDEX(營收表現!L$6:L$3000,MATCH($A148,營收表現!$A$6:$A$3000,0))),"")</f>
        <v/>
      </c>
      <c r="N148" t="str">
        <f>IFERROR(IF(INDEX(營收表現!M$6:M$3000,MATCH($A148,營收表現!$A$6:$A$3000,0))="","",INDEX(營收表現!M$6:M$3000,MATCH($A148,營收表現!$A$6:$A$3000,0))),"")</f>
        <v/>
      </c>
      <c r="O148" t="str">
        <f>IFERROR(IF(INDEX(營收表現!N$6:N$3000,MATCH($A148,營收表現!$A$6:$A$3000,0))="","",INDEX(營收表現!N$6:N$3000,MATCH($A148,營收表現!$A$6:$A$3000,0))),"")</f>
        <v/>
      </c>
    </row>
    <row r="149" spans="1:15">
      <c r="B149" t="str">
        <f>IFERROR(INDEX(營收表現!B$6:B$3000,MATCH($A149,營收表現!$A$6:$A$3000,0)),"")</f>
        <v/>
      </c>
      <c r="C149" t="str">
        <f>IFERROR(INDEX(類別!G$4:G$3000,MATCH($A149,類別!$C$4:$C$3000,0)),"")</f>
        <v/>
      </c>
      <c r="D149" t="str">
        <f>IFERROR(IF(INDEX(營收表現!C$6:C$3000,MATCH($A149,營收表現!$A$6:$A$3000,0))="","",INDEX(營收表現!C$6:C$3000,MATCH($A149,營收表現!$A$6:$A$3000,0))),"")</f>
        <v/>
      </c>
      <c r="E149" t="str">
        <f>IFERROR(IF(INDEX(營收表現!D$6:D$3000,MATCH($A149,營收表現!$A$6:$A$3000,0))="","",INDEX(營收表現!D$6:D$3000,MATCH($A149,營收表現!$A$6:$A$3000,0))),"")</f>
        <v/>
      </c>
      <c r="F149" t="str">
        <f>IFERROR(IF(INDEX(營收表現!E$6:E$3000,MATCH($A149,營收表現!$A$6:$A$3000,0))="","",INDEX(營收表現!E$6:E$3000,MATCH($A149,營收表現!$A$6:$A$3000,0))),"")</f>
        <v/>
      </c>
      <c r="G149" t="str">
        <f>IFERROR(IF(INDEX(營收表現!F$6:F$3000,MATCH($A149,營收表現!$A$6:$A$3000,0))="","",INDEX(營收表現!F$6:F$3000,MATCH($A149,營收表現!$A$6:$A$3000,0))),"")</f>
        <v/>
      </c>
      <c r="H149" t="str">
        <f>IFERROR(IF(INDEX(營收表現!G$6:G$3000,MATCH($A149,營收表現!$A$6:$A$3000,0))="","",INDEX(營收表現!G$6:G$3000,MATCH($A149,營收表現!$A$6:$A$3000,0))),"")</f>
        <v/>
      </c>
      <c r="I149" t="str">
        <f>IFERROR(IF(INDEX(營收表現!H$6:H$3000,MATCH($A149,營收表現!$A$6:$A$3000,0))="","",INDEX(營收表現!H$6:H$3000,MATCH($A149,營收表現!$A$6:$A$3000,0))),"")</f>
        <v/>
      </c>
      <c r="J149" t="str">
        <f>IFERROR(IF(INDEX(營收表現!I$6:I$3000,MATCH($A149,營收表現!$A$6:$A$3000,0))="","",INDEX(營收表現!I$6:I$3000,MATCH($A149,營收表現!$A$6:$A$3000,0))),"")</f>
        <v/>
      </c>
      <c r="K149" t="str">
        <f>IFERROR(IF(INDEX(營收表現!J$6:J$3000,MATCH($A149,營收表現!$A$6:$A$3000,0))="","",INDEX(營收表現!J$6:J$3000,MATCH($A149,營收表現!$A$6:$A$3000,0))),"")</f>
        <v/>
      </c>
      <c r="L149" t="str">
        <f>IFERROR(IF(INDEX(營收表現!K$6:K$3000,MATCH($A149,營收表現!$A$6:$A$3000,0))="","",INDEX(營收表現!K$6:K$3000,MATCH($A149,營收表現!$A$6:$A$3000,0))),"")</f>
        <v/>
      </c>
      <c r="M149" t="str">
        <f>IFERROR(IF(INDEX(營收表現!L$6:L$3000,MATCH($A149,營收表現!$A$6:$A$3000,0))="","",INDEX(營收表現!L$6:L$3000,MATCH($A149,營收表現!$A$6:$A$3000,0))),"")</f>
        <v/>
      </c>
      <c r="N149" t="str">
        <f>IFERROR(IF(INDEX(營收表現!M$6:M$3000,MATCH($A149,營收表現!$A$6:$A$3000,0))="","",INDEX(營收表現!M$6:M$3000,MATCH($A149,營收表現!$A$6:$A$3000,0))),"")</f>
        <v/>
      </c>
      <c r="O149" t="str">
        <f>IFERROR(IF(INDEX(營收表現!N$6:N$3000,MATCH($A149,營收表現!$A$6:$A$3000,0))="","",INDEX(營收表現!N$6:N$3000,MATCH($A149,營收表現!$A$6:$A$3000,0))),"")</f>
        <v/>
      </c>
    </row>
    <row r="150" spans="1:15">
      <c r="B150" t="str">
        <f>IFERROR(INDEX(營收表現!B$6:B$3000,MATCH($A150,營收表現!$A$6:$A$3000,0)),"")</f>
        <v/>
      </c>
      <c r="C150" t="str">
        <f>IFERROR(INDEX(類別!G$4:G$3000,MATCH($A150,類別!$C$4:$C$3000,0)),"")</f>
        <v/>
      </c>
      <c r="D150" t="str">
        <f>IFERROR(IF(INDEX(營收表現!C$6:C$3000,MATCH($A150,營收表現!$A$6:$A$3000,0))="","",INDEX(營收表現!C$6:C$3000,MATCH($A150,營收表現!$A$6:$A$3000,0))),"")</f>
        <v/>
      </c>
      <c r="E150" t="str">
        <f>IFERROR(IF(INDEX(營收表現!D$6:D$3000,MATCH($A150,營收表現!$A$6:$A$3000,0))="","",INDEX(營收表現!D$6:D$3000,MATCH($A150,營收表現!$A$6:$A$3000,0))),"")</f>
        <v/>
      </c>
      <c r="F150" t="str">
        <f>IFERROR(IF(INDEX(營收表現!E$6:E$3000,MATCH($A150,營收表現!$A$6:$A$3000,0))="","",INDEX(營收表現!E$6:E$3000,MATCH($A150,營收表現!$A$6:$A$3000,0))),"")</f>
        <v/>
      </c>
      <c r="G150" t="str">
        <f>IFERROR(IF(INDEX(營收表現!F$6:F$3000,MATCH($A150,營收表現!$A$6:$A$3000,0))="","",INDEX(營收表現!F$6:F$3000,MATCH($A150,營收表現!$A$6:$A$3000,0))),"")</f>
        <v/>
      </c>
      <c r="H150" t="str">
        <f>IFERROR(IF(INDEX(營收表現!G$6:G$3000,MATCH($A150,營收表現!$A$6:$A$3000,0))="","",INDEX(營收表現!G$6:G$3000,MATCH($A150,營收表現!$A$6:$A$3000,0))),"")</f>
        <v/>
      </c>
      <c r="I150" t="str">
        <f>IFERROR(IF(INDEX(營收表現!H$6:H$3000,MATCH($A150,營收表現!$A$6:$A$3000,0))="","",INDEX(營收表現!H$6:H$3000,MATCH($A150,營收表現!$A$6:$A$3000,0))),"")</f>
        <v/>
      </c>
      <c r="J150" t="str">
        <f>IFERROR(IF(INDEX(營收表現!I$6:I$3000,MATCH($A150,營收表現!$A$6:$A$3000,0))="","",INDEX(營收表現!I$6:I$3000,MATCH($A150,營收表現!$A$6:$A$3000,0))),"")</f>
        <v/>
      </c>
      <c r="K150" t="str">
        <f>IFERROR(IF(INDEX(營收表現!J$6:J$3000,MATCH($A150,營收表現!$A$6:$A$3000,0))="","",INDEX(營收表現!J$6:J$3000,MATCH($A150,營收表現!$A$6:$A$3000,0))),"")</f>
        <v/>
      </c>
      <c r="L150" t="str">
        <f>IFERROR(IF(INDEX(營收表現!K$6:K$3000,MATCH($A150,營收表現!$A$6:$A$3000,0))="","",INDEX(營收表現!K$6:K$3000,MATCH($A150,營收表現!$A$6:$A$3000,0))),"")</f>
        <v/>
      </c>
      <c r="M150" t="str">
        <f>IFERROR(IF(INDEX(營收表現!L$6:L$3000,MATCH($A150,營收表現!$A$6:$A$3000,0))="","",INDEX(營收表現!L$6:L$3000,MATCH($A150,營收表現!$A$6:$A$3000,0))),"")</f>
        <v/>
      </c>
      <c r="N150" t="str">
        <f>IFERROR(IF(INDEX(營收表現!M$6:M$3000,MATCH($A150,營收表現!$A$6:$A$3000,0))="","",INDEX(營收表現!M$6:M$3000,MATCH($A150,營收表現!$A$6:$A$3000,0))),"")</f>
        <v/>
      </c>
      <c r="O150" t="str">
        <f>IFERROR(IF(INDEX(營收表現!N$6:N$3000,MATCH($A150,營收表現!$A$6:$A$3000,0))="","",INDEX(營收表現!N$6:N$3000,MATCH($A150,營收表現!$A$6:$A$3000,0))),"")</f>
        <v/>
      </c>
    </row>
    <row r="151" spans="1:15">
      <c r="B151" t="str">
        <f>IFERROR(INDEX(營收表現!B$6:B$3000,MATCH($A151,營收表現!$A$6:$A$3000,0)),"")</f>
        <v/>
      </c>
      <c r="C151" t="str">
        <f>IFERROR(INDEX(類別!G$4:G$3000,MATCH($A151,類別!$C$4:$C$3000,0)),"")</f>
        <v/>
      </c>
      <c r="D151" t="str">
        <f>IFERROR(IF(INDEX(營收表現!C$6:C$3000,MATCH($A151,營收表現!$A$6:$A$3000,0))="","",INDEX(營收表現!C$6:C$3000,MATCH($A151,營收表現!$A$6:$A$3000,0))),"")</f>
        <v/>
      </c>
      <c r="E151" t="str">
        <f>IFERROR(IF(INDEX(營收表現!D$6:D$3000,MATCH($A151,營收表現!$A$6:$A$3000,0))="","",INDEX(營收表現!D$6:D$3000,MATCH($A151,營收表現!$A$6:$A$3000,0))),"")</f>
        <v/>
      </c>
      <c r="F151" t="str">
        <f>IFERROR(IF(INDEX(營收表現!E$6:E$3000,MATCH($A151,營收表現!$A$6:$A$3000,0))="","",INDEX(營收表現!E$6:E$3000,MATCH($A151,營收表現!$A$6:$A$3000,0))),"")</f>
        <v/>
      </c>
      <c r="G151" t="str">
        <f>IFERROR(IF(INDEX(營收表現!F$6:F$3000,MATCH($A151,營收表現!$A$6:$A$3000,0))="","",INDEX(營收表現!F$6:F$3000,MATCH($A151,營收表現!$A$6:$A$3000,0))),"")</f>
        <v/>
      </c>
      <c r="H151" t="str">
        <f>IFERROR(IF(INDEX(營收表現!G$6:G$3000,MATCH($A151,營收表現!$A$6:$A$3000,0))="","",INDEX(營收表現!G$6:G$3000,MATCH($A151,營收表現!$A$6:$A$3000,0))),"")</f>
        <v/>
      </c>
      <c r="I151" t="str">
        <f>IFERROR(IF(INDEX(營收表現!H$6:H$3000,MATCH($A151,營收表現!$A$6:$A$3000,0))="","",INDEX(營收表現!H$6:H$3000,MATCH($A151,營收表現!$A$6:$A$3000,0))),"")</f>
        <v/>
      </c>
      <c r="J151" t="str">
        <f>IFERROR(IF(INDEX(營收表現!I$6:I$3000,MATCH($A151,營收表現!$A$6:$A$3000,0))="","",INDEX(營收表現!I$6:I$3000,MATCH($A151,營收表現!$A$6:$A$3000,0))),"")</f>
        <v/>
      </c>
      <c r="K151" t="str">
        <f>IFERROR(IF(INDEX(營收表現!J$6:J$3000,MATCH($A151,營收表現!$A$6:$A$3000,0))="","",INDEX(營收表現!J$6:J$3000,MATCH($A151,營收表現!$A$6:$A$3000,0))),"")</f>
        <v/>
      </c>
      <c r="L151" t="str">
        <f>IFERROR(IF(INDEX(營收表現!K$6:K$3000,MATCH($A151,營收表現!$A$6:$A$3000,0))="","",INDEX(營收表現!K$6:K$3000,MATCH($A151,營收表現!$A$6:$A$3000,0))),"")</f>
        <v/>
      </c>
      <c r="M151" t="str">
        <f>IFERROR(IF(INDEX(營收表現!L$6:L$3000,MATCH($A151,營收表現!$A$6:$A$3000,0))="","",INDEX(營收表現!L$6:L$3000,MATCH($A151,營收表現!$A$6:$A$3000,0))),"")</f>
        <v/>
      </c>
      <c r="N151" t="str">
        <f>IFERROR(IF(INDEX(營收表現!M$6:M$3000,MATCH($A151,營收表現!$A$6:$A$3000,0))="","",INDEX(營收表現!M$6:M$3000,MATCH($A151,營收表現!$A$6:$A$3000,0))),"")</f>
        <v/>
      </c>
      <c r="O151" t="str">
        <f>IFERROR(IF(INDEX(營收表現!N$6:N$3000,MATCH($A151,營收表現!$A$6:$A$3000,0))="","",INDEX(營收表現!N$6:N$3000,MATCH($A151,營收表現!$A$6:$A$3000,0))),"")</f>
        <v/>
      </c>
    </row>
    <row r="152" spans="1:15">
      <c r="B152" t="str">
        <f>IFERROR(INDEX(營收表現!B$6:B$3000,MATCH($A152,營收表現!$A$6:$A$3000,0)),"")</f>
        <v/>
      </c>
      <c r="C152" t="str">
        <f>IFERROR(INDEX(類別!G$4:G$3000,MATCH($A152,類別!$C$4:$C$3000,0)),"")</f>
        <v/>
      </c>
      <c r="D152" t="str">
        <f>IFERROR(IF(INDEX(營收表現!C$6:C$3000,MATCH($A152,營收表現!$A$6:$A$3000,0))="","",INDEX(營收表現!C$6:C$3000,MATCH($A152,營收表現!$A$6:$A$3000,0))),"")</f>
        <v/>
      </c>
      <c r="E152" t="str">
        <f>IFERROR(IF(INDEX(營收表現!D$6:D$3000,MATCH($A152,營收表現!$A$6:$A$3000,0))="","",INDEX(營收表現!D$6:D$3000,MATCH($A152,營收表現!$A$6:$A$3000,0))),"")</f>
        <v/>
      </c>
      <c r="F152" t="str">
        <f>IFERROR(IF(INDEX(營收表現!E$6:E$3000,MATCH($A152,營收表現!$A$6:$A$3000,0))="","",INDEX(營收表現!E$6:E$3000,MATCH($A152,營收表現!$A$6:$A$3000,0))),"")</f>
        <v/>
      </c>
      <c r="G152" t="str">
        <f>IFERROR(IF(INDEX(營收表現!F$6:F$3000,MATCH($A152,營收表現!$A$6:$A$3000,0))="","",INDEX(營收表現!F$6:F$3000,MATCH($A152,營收表現!$A$6:$A$3000,0))),"")</f>
        <v/>
      </c>
      <c r="H152" t="str">
        <f>IFERROR(IF(INDEX(營收表現!G$6:G$3000,MATCH($A152,營收表現!$A$6:$A$3000,0))="","",INDEX(營收表現!G$6:G$3000,MATCH($A152,營收表現!$A$6:$A$3000,0))),"")</f>
        <v/>
      </c>
      <c r="I152" t="str">
        <f>IFERROR(IF(INDEX(營收表現!H$6:H$3000,MATCH($A152,營收表現!$A$6:$A$3000,0))="","",INDEX(營收表現!H$6:H$3000,MATCH($A152,營收表現!$A$6:$A$3000,0))),"")</f>
        <v/>
      </c>
      <c r="J152" t="str">
        <f>IFERROR(IF(INDEX(營收表現!I$6:I$3000,MATCH($A152,營收表現!$A$6:$A$3000,0))="","",INDEX(營收表現!I$6:I$3000,MATCH($A152,營收表現!$A$6:$A$3000,0))),"")</f>
        <v/>
      </c>
      <c r="K152" t="str">
        <f>IFERROR(IF(INDEX(營收表現!J$6:J$3000,MATCH($A152,營收表現!$A$6:$A$3000,0))="","",INDEX(營收表現!J$6:J$3000,MATCH($A152,營收表現!$A$6:$A$3000,0))),"")</f>
        <v/>
      </c>
      <c r="L152" t="str">
        <f>IFERROR(IF(INDEX(營收表現!K$6:K$3000,MATCH($A152,營收表現!$A$6:$A$3000,0))="","",INDEX(營收表現!K$6:K$3000,MATCH($A152,營收表現!$A$6:$A$3000,0))),"")</f>
        <v/>
      </c>
      <c r="M152" t="str">
        <f>IFERROR(IF(INDEX(營收表現!L$6:L$3000,MATCH($A152,營收表現!$A$6:$A$3000,0))="","",INDEX(營收表現!L$6:L$3000,MATCH($A152,營收表現!$A$6:$A$3000,0))),"")</f>
        <v/>
      </c>
      <c r="N152" t="str">
        <f>IFERROR(IF(INDEX(營收表現!M$6:M$3000,MATCH($A152,營收表現!$A$6:$A$3000,0))="","",INDEX(營收表現!M$6:M$3000,MATCH($A152,營收表現!$A$6:$A$3000,0))),"")</f>
        <v/>
      </c>
      <c r="O152" t="str">
        <f>IFERROR(IF(INDEX(營收表現!N$6:N$3000,MATCH($A152,營收表現!$A$6:$A$3000,0))="","",INDEX(營收表現!N$6:N$3000,MATCH($A152,營收表現!$A$6:$A$3000,0))),"")</f>
        <v/>
      </c>
    </row>
    <row r="153" spans="1:15">
      <c r="B153" t="str">
        <f>IFERROR(INDEX(營收表現!B$6:B$3000,MATCH($A153,營收表現!$A$6:$A$3000,0)),"")</f>
        <v/>
      </c>
      <c r="C153" t="str">
        <f>IFERROR(INDEX(類別!G$4:G$3000,MATCH($A153,類別!$C$4:$C$3000,0)),"")</f>
        <v/>
      </c>
      <c r="D153" t="str">
        <f>IFERROR(IF(INDEX(營收表現!C$6:C$3000,MATCH($A153,營收表現!$A$6:$A$3000,0))="","",INDEX(營收表現!C$6:C$3000,MATCH($A153,營收表現!$A$6:$A$3000,0))),"")</f>
        <v/>
      </c>
      <c r="E153" t="str">
        <f>IFERROR(IF(INDEX(營收表現!D$6:D$3000,MATCH($A153,營收表現!$A$6:$A$3000,0))="","",INDEX(營收表現!D$6:D$3000,MATCH($A153,營收表現!$A$6:$A$3000,0))),"")</f>
        <v/>
      </c>
      <c r="F153" t="str">
        <f>IFERROR(IF(INDEX(營收表現!E$6:E$3000,MATCH($A153,營收表現!$A$6:$A$3000,0))="","",INDEX(營收表現!E$6:E$3000,MATCH($A153,營收表現!$A$6:$A$3000,0))),"")</f>
        <v/>
      </c>
      <c r="G153" t="str">
        <f>IFERROR(IF(INDEX(營收表現!F$6:F$3000,MATCH($A153,營收表現!$A$6:$A$3000,0))="","",INDEX(營收表現!F$6:F$3000,MATCH($A153,營收表現!$A$6:$A$3000,0))),"")</f>
        <v/>
      </c>
      <c r="H153" t="str">
        <f>IFERROR(IF(INDEX(營收表現!G$6:G$3000,MATCH($A153,營收表現!$A$6:$A$3000,0))="","",INDEX(營收表現!G$6:G$3000,MATCH($A153,營收表現!$A$6:$A$3000,0))),"")</f>
        <v/>
      </c>
      <c r="I153" t="str">
        <f>IFERROR(IF(INDEX(營收表現!H$6:H$3000,MATCH($A153,營收表現!$A$6:$A$3000,0))="","",INDEX(營收表現!H$6:H$3000,MATCH($A153,營收表現!$A$6:$A$3000,0))),"")</f>
        <v/>
      </c>
      <c r="J153" t="str">
        <f>IFERROR(IF(INDEX(營收表現!I$6:I$3000,MATCH($A153,營收表現!$A$6:$A$3000,0))="","",INDEX(營收表現!I$6:I$3000,MATCH($A153,營收表現!$A$6:$A$3000,0))),"")</f>
        <v/>
      </c>
      <c r="K153" t="str">
        <f>IFERROR(IF(INDEX(營收表現!J$6:J$3000,MATCH($A153,營收表現!$A$6:$A$3000,0))="","",INDEX(營收表現!J$6:J$3000,MATCH($A153,營收表現!$A$6:$A$3000,0))),"")</f>
        <v/>
      </c>
      <c r="L153" t="str">
        <f>IFERROR(IF(INDEX(營收表現!K$6:K$3000,MATCH($A153,營收表現!$A$6:$A$3000,0))="","",INDEX(營收表現!K$6:K$3000,MATCH($A153,營收表現!$A$6:$A$3000,0))),"")</f>
        <v/>
      </c>
      <c r="M153" t="str">
        <f>IFERROR(IF(INDEX(營收表現!L$6:L$3000,MATCH($A153,營收表現!$A$6:$A$3000,0))="","",INDEX(營收表現!L$6:L$3000,MATCH($A153,營收表現!$A$6:$A$3000,0))),"")</f>
        <v/>
      </c>
      <c r="N153" t="str">
        <f>IFERROR(IF(INDEX(營收表現!M$6:M$3000,MATCH($A153,營收表現!$A$6:$A$3000,0))="","",INDEX(營收表現!M$6:M$3000,MATCH($A153,營收表現!$A$6:$A$3000,0))),"")</f>
        <v/>
      </c>
      <c r="O153" t="str">
        <f>IFERROR(IF(INDEX(營收表現!N$6:N$3000,MATCH($A153,營收表現!$A$6:$A$3000,0))="","",INDEX(營收表現!N$6:N$3000,MATCH($A153,營收表現!$A$6:$A$3000,0))),"")</f>
        <v/>
      </c>
    </row>
    <row r="154" spans="1:15">
      <c r="B154" t="str">
        <f>IFERROR(INDEX(營收表現!B$6:B$3000,MATCH($A154,營收表現!$A$6:$A$3000,0)),"")</f>
        <v/>
      </c>
      <c r="C154" t="str">
        <f>IFERROR(INDEX(類別!G$4:G$3000,MATCH($A154,類別!$C$4:$C$3000,0)),"")</f>
        <v/>
      </c>
      <c r="D154" t="str">
        <f>IFERROR(IF(INDEX(營收表現!C$6:C$3000,MATCH($A154,營收表現!$A$6:$A$3000,0))="","",INDEX(營收表現!C$6:C$3000,MATCH($A154,營收表現!$A$6:$A$3000,0))),"")</f>
        <v/>
      </c>
      <c r="E154" t="str">
        <f>IFERROR(IF(INDEX(營收表現!D$6:D$3000,MATCH($A154,營收表現!$A$6:$A$3000,0))="","",INDEX(營收表現!D$6:D$3000,MATCH($A154,營收表現!$A$6:$A$3000,0))),"")</f>
        <v/>
      </c>
      <c r="F154" t="str">
        <f>IFERROR(IF(INDEX(營收表現!E$6:E$3000,MATCH($A154,營收表現!$A$6:$A$3000,0))="","",INDEX(營收表現!E$6:E$3000,MATCH($A154,營收表現!$A$6:$A$3000,0))),"")</f>
        <v/>
      </c>
      <c r="G154" t="str">
        <f>IFERROR(IF(INDEX(營收表現!F$6:F$3000,MATCH($A154,營收表現!$A$6:$A$3000,0))="","",INDEX(營收表現!F$6:F$3000,MATCH($A154,營收表現!$A$6:$A$3000,0))),"")</f>
        <v/>
      </c>
      <c r="H154" t="str">
        <f>IFERROR(IF(INDEX(營收表現!G$6:G$3000,MATCH($A154,營收表現!$A$6:$A$3000,0))="","",INDEX(營收表現!G$6:G$3000,MATCH($A154,營收表現!$A$6:$A$3000,0))),"")</f>
        <v/>
      </c>
      <c r="I154" t="str">
        <f>IFERROR(IF(INDEX(營收表現!H$6:H$3000,MATCH($A154,營收表現!$A$6:$A$3000,0))="","",INDEX(營收表現!H$6:H$3000,MATCH($A154,營收表現!$A$6:$A$3000,0))),"")</f>
        <v/>
      </c>
      <c r="J154" t="str">
        <f>IFERROR(IF(INDEX(營收表現!I$6:I$3000,MATCH($A154,營收表現!$A$6:$A$3000,0))="","",INDEX(營收表現!I$6:I$3000,MATCH($A154,營收表現!$A$6:$A$3000,0))),"")</f>
        <v/>
      </c>
      <c r="K154" t="str">
        <f>IFERROR(IF(INDEX(營收表現!J$6:J$3000,MATCH($A154,營收表現!$A$6:$A$3000,0))="","",INDEX(營收表現!J$6:J$3000,MATCH($A154,營收表現!$A$6:$A$3000,0))),"")</f>
        <v/>
      </c>
      <c r="L154" t="str">
        <f>IFERROR(IF(INDEX(營收表現!K$6:K$3000,MATCH($A154,營收表現!$A$6:$A$3000,0))="","",INDEX(營收表現!K$6:K$3000,MATCH($A154,營收表現!$A$6:$A$3000,0))),"")</f>
        <v/>
      </c>
      <c r="M154" t="str">
        <f>IFERROR(IF(INDEX(營收表現!L$6:L$3000,MATCH($A154,營收表現!$A$6:$A$3000,0))="","",INDEX(營收表現!L$6:L$3000,MATCH($A154,營收表現!$A$6:$A$3000,0))),"")</f>
        <v/>
      </c>
      <c r="N154" t="str">
        <f>IFERROR(IF(INDEX(營收表現!M$6:M$3000,MATCH($A154,營收表現!$A$6:$A$3000,0))="","",INDEX(營收表現!M$6:M$3000,MATCH($A154,營收表現!$A$6:$A$3000,0))),"")</f>
        <v/>
      </c>
      <c r="O154" t="str">
        <f>IFERROR(IF(INDEX(營收表現!N$6:N$3000,MATCH($A154,營收表現!$A$6:$A$3000,0))="","",INDEX(營收表現!N$6:N$3000,MATCH($A154,營收表現!$A$6:$A$3000,0))),"")</f>
        <v/>
      </c>
    </row>
    <row r="155" spans="1:15">
      <c r="B155" t="str">
        <f>IFERROR(INDEX(營收表現!B$6:B$3000,MATCH($A155,營收表現!$A$6:$A$3000,0)),"")</f>
        <v/>
      </c>
      <c r="C155" t="str">
        <f>IFERROR(INDEX(類別!G$4:G$3000,MATCH($A155,類別!$C$4:$C$3000,0)),"")</f>
        <v/>
      </c>
      <c r="D155" t="str">
        <f>IFERROR(IF(INDEX(營收表現!C$6:C$3000,MATCH($A155,營收表現!$A$6:$A$3000,0))="","",INDEX(營收表現!C$6:C$3000,MATCH($A155,營收表現!$A$6:$A$3000,0))),"")</f>
        <v/>
      </c>
      <c r="E155" t="str">
        <f>IFERROR(IF(INDEX(營收表現!D$6:D$3000,MATCH($A155,營收表現!$A$6:$A$3000,0))="","",INDEX(營收表現!D$6:D$3000,MATCH($A155,營收表現!$A$6:$A$3000,0))),"")</f>
        <v/>
      </c>
      <c r="F155" t="str">
        <f>IFERROR(IF(INDEX(營收表現!E$6:E$3000,MATCH($A155,營收表現!$A$6:$A$3000,0))="","",INDEX(營收表現!E$6:E$3000,MATCH($A155,營收表現!$A$6:$A$3000,0))),"")</f>
        <v/>
      </c>
      <c r="G155" t="str">
        <f>IFERROR(IF(INDEX(營收表現!F$6:F$3000,MATCH($A155,營收表現!$A$6:$A$3000,0))="","",INDEX(營收表現!F$6:F$3000,MATCH($A155,營收表現!$A$6:$A$3000,0))),"")</f>
        <v/>
      </c>
      <c r="H155" t="str">
        <f>IFERROR(IF(INDEX(營收表現!G$6:G$3000,MATCH($A155,營收表現!$A$6:$A$3000,0))="","",INDEX(營收表現!G$6:G$3000,MATCH($A155,營收表現!$A$6:$A$3000,0))),"")</f>
        <v/>
      </c>
      <c r="I155" t="str">
        <f>IFERROR(IF(INDEX(營收表現!H$6:H$3000,MATCH($A155,營收表現!$A$6:$A$3000,0))="","",INDEX(營收表現!H$6:H$3000,MATCH($A155,營收表現!$A$6:$A$3000,0))),"")</f>
        <v/>
      </c>
      <c r="J155" t="str">
        <f>IFERROR(IF(INDEX(營收表現!I$6:I$3000,MATCH($A155,營收表現!$A$6:$A$3000,0))="","",INDEX(營收表現!I$6:I$3000,MATCH($A155,營收表現!$A$6:$A$3000,0))),"")</f>
        <v/>
      </c>
      <c r="K155" t="str">
        <f>IFERROR(IF(INDEX(營收表現!J$6:J$3000,MATCH($A155,營收表現!$A$6:$A$3000,0))="","",INDEX(營收表現!J$6:J$3000,MATCH($A155,營收表現!$A$6:$A$3000,0))),"")</f>
        <v/>
      </c>
      <c r="L155" t="str">
        <f>IFERROR(IF(INDEX(營收表現!K$6:K$3000,MATCH($A155,營收表現!$A$6:$A$3000,0))="","",INDEX(營收表現!K$6:K$3000,MATCH($A155,營收表現!$A$6:$A$3000,0))),"")</f>
        <v/>
      </c>
      <c r="M155" t="str">
        <f>IFERROR(IF(INDEX(營收表現!L$6:L$3000,MATCH($A155,營收表現!$A$6:$A$3000,0))="","",INDEX(營收表現!L$6:L$3000,MATCH($A155,營收表現!$A$6:$A$3000,0))),"")</f>
        <v/>
      </c>
      <c r="N155" t="str">
        <f>IFERROR(IF(INDEX(營收表現!M$6:M$3000,MATCH($A155,營收表現!$A$6:$A$3000,0))="","",INDEX(營收表現!M$6:M$3000,MATCH($A155,營收表現!$A$6:$A$3000,0))),"")</f>
        <v/>
      </c>
      <c r="O155" t="str">
        <f>IFERROR(IF(INDEX(營收表現!N$6:N$3000,MATCH($A155,營收表現!$A$6:$A$3000,0))="","",INDEX(營收表現!N$6:N$3000,MATCH($A155,營收表現!$A$6:$A$3000,0))),"")</f>
        <v/>
      </c>
    </row>
    <row r="156" spans="1:15">
      <c r="B156" t="str">
        <f>IFERROR(INDEX(營收表現!B$6:B$3000,MATCH($A156,營收表現!$A$6:$A$3000,0)),"")</f>
        <v/>
      </c>
      <c r="C156" t="str">
        <f>IFERROR(INDEX(類別!G$4:G$3000,MATCH($A156,類別!$C$4:$C$3000,0)),"")</f>
        <v/>
      </c>
      <c r="D156" t="str">
        <f>IFERROR(IF(INDEX(營收表現!C$6:C$3000,MATCH($A156,營收表現!$A$6:$A$3000,0))="","",INDEX(營收表現!C$6:C$3000,MATCH($A156,營收表現!$A$6:$A$3000,0))),"")</f>
        <v/>
      </c>
      <c r="E156" t="str">
        <f>IFERROR(IF(INDEX(營收表現!D$6:D$3000,MATCH($A156,營收表現!$A$6:$A$3000,0))="","",INDEX(營收表現!D$6:D$3000,MATCH($A156,營收表現!$A$6:$A$3000,0))),"")</f>
        <v/>
      </c>
      <c r="F156" t="str">
        <f>IFERROR(IF(INDEX(營收表現!E$6:E$3000,MATCH($A156,營收表現!$A$6:$A$3000,0))="","",INDEX(營收表現!E$6:E$3000,MATCH($A156,營收表現!$A$6:$A$3000,0))),"")</f>
        <v/>
      </c>
      <c r="G156" t="str">
        <f>IFERROR(IF(INDEX(營收表現!F$6:F$3000,MATCH($A156,營收表現!$A$6:$A$3000,0))="","",INDEX(營收表現!F$6:F$3000,MATCH($A156,營收表現!$A$6:$A$3000,0))),"")</f>
        <v/>
      </c>
      <c r="H156" t="str">
        <f>IFERROR(IF(INDEX(營收表現!G$6:G$3000,MATCH($A156,營收表現!$A$6:$A$3000,0))="","",INDEX(營收表現!G$6:G$3000,MATCH($A156,營收表現!$A$6:$A$3000,0))),"")</f>
        <v/>
      </c>
      <c r="I156" t="str">
        <f>IFERROR(IF(INDEX(營收表現!H$6:H$3000,MATCH($A156,營收表現!$A$6:$A$3000,0))="","",INDEX(營收表現!H$6:H$3000,MATCH($A156,營收表現!$A$6:$A$3000,0))),"")</f>
        <v/>
      </c>
      <c r="J156" t="str">
        <f>IFERROR(IF(INDEX(營收表現!I$6:I$3000,MATCH($A156,營收表現!$A$6:$A$3000,0))="","",INDEX(營收表現!I$6:I$3000,MATCH($A156,營收表現!$A$6:$A$3000,0))),"")</f>
        <v/>
      </c>
      <c r="K156" t="str">
        <f>IFERROR(IF(INDEX(營收表現!J$6:J$3000,MATCH($A156,營收表現!$A$6:$A$3000,0))="","",INDEX(營收表現!J$6:J$3000,MATCH($A156,營收表現!$A$6:$A$3000,0))),"")</f>
        <v/>
      </c>
      <c r="L156" t="str">
        <f>IFERROR(IF(INDEX(營收表現!K$6:K$3000,MATCH($A156,營收表現!$A$6:$A$3000,0))="","",INDEX(營收表現!K$6:K$3000,MATCH($A156,營收表現!$A$6:$A$3000,0))),"")</f>
        <v/>
      </c>
      <c r="M156" t="str">
        <f>IFERROR(IF(INDEX(營收表現!L$6:L$3000,MATCH($A156,營收表現!$A$6:$A$3000,0))="","",INDEX(營收表現!L$6:L$3000,MATCH($A156,營收表現!$A$6:$A$3000,0))),"")</f>
        <v/>
      </c>
      <c r="N156" t="str">
        <f>IFERROR(IF(INDEX(營收表現!M$6:M$3000,MATCH($A156,營收表現!$A$6:$A$3000,0))="","",INDEX(營收表現!M$6:M$3000,MATCH($A156,營收表現!$A$6:$A$3000,0))),"")</f>
        <v/>
      </c>
      <c r="O156" t="str">
        <f>IFERROR(IF(INDEX(營收表現!N$6:N$3000,MATCH($A156,營收表現!$A$6:$A$3000,0))="","",INDEX(營收表現!N$6:N$3000,MATCH($A156,營收表現!$A$6:$A$3000,0))),"")</f>
        <v/>
      </c>
    </row>
    <row r="157" spans="1:15">
      <c r="B157" t="str">
        <f>IFERROR(INDEX(營收表現!B$6:B$3000,MATCH($A157,營收表現!$A$6:$A$3000,0)),"")</f>
        <v/>
      </c>
      <c r="C157" t="str">
        <f>IFERROR(INDEX(類別!G$4:G$3000,MATCH($A157,類別!$C$4:$C$3000,0)),"")</f>
        <v/>
      </c>
      <c r="D157" t="str">
        <f>IFERROR(IF(INDEX(營收表現!C$6:C$3000,MATCH($A157,營收表現!$A$6:$A$3000,0))="","",INDEX(營收表現!C$6:C$3000,MATCH($A157,營收表現!$A$6:$A$3000,0))),"")</f>
        <v/>
      </c>
      <c r="E157" t="str">
        <f>IFERROR(IF(INDEX(營收表現!D$6:D$3000,MATCH($A157,營收表現!$A$6:$A$3000,0))="","",INDEX(營收表現!D$6:D$3000,MATCH($A157,營收表現!$A$6:$A$3000,0))),"")</f>
        <v/>
      </c>
      <c r="F157" t="str">
        <f>IFERROR(IF(INDEX(營收表現!E$6:E$3000,MATCH($A157,營收表現!$A$6:$A$3000,0))="","",INDEX(營收表現!E$6:E$3000,MATCH($A157,營收表現!$A$6:$A$3000,0))),"")</f>
        <v/>
      </c>
      <c r="G157" t="str">
        <f>IFERROR(IF(INDEX(營收表現!F$6:F$3000,MATCH($A157,營收表現!$A$6:$A$3000,0))="","",INDEX(營收表現!F$6:F$3000,MATCH($A157,營收表現!$A$6:$A$3000,0))),"")</f>
        <v/>
      </c>
      <c r="H157" t="str">
        <f>IFERROR(IF(INDEX(營收表現!G$6:G$3000,MATCH($A157,營收表現!$A$6:$A$3000,0))="","",INDEX(營收表現!G$6:G$3000,MATCH($A157,營收表現!$A$6:$A$3000,0))),"")</f>
        <v/>
      </c>
      <c r="I157" t="str">
        <f>IFERROR(IF(INDEX(營收表現!H$6:H$3000,MATCH($A157,營收表現!$A$6:$A$3000,0))="","",INDEX(營收表現!H$6:H$3000,MATCH($A157,營收表現!$A$6:$A$3000,0))),"")</f>
        <v/>
      </c>
      <c r="J157" t="str">
        <f>IFERROR(IF(INDEX(營收表現!I$6:I$3000,MATCH($A157,營收表現!$A$6:$A$3000,0))="","",INDEX(營收表現!I$6:I$3000,MATCH($A157,營收表現!$A$6:$A$3000,0))),"")</f>
        <v/>
      </c>
      <c r="K157" t="str">
        <f>IFERROR(IF(INDEX(營收表現!J$6:J$3000,MATCH($A157,營收表現!$A$6:$A$3000,0))="","",INDEX(營收表現!J$6:J$3000,MATCH($A157,營收表現!$A$6:$A$3000,0))),"")</f>
        <v/>
      </c>
      <c r="L157" t="str">
        <f>IFERROR(IF(INDEX(營收表現!K$6:K$3000,MATCH($A157,營收表現!$A$6:$A$3000,0))="","",INDEX(營收表現!K$6:K$3000,MATCH($A157,營收表現!$A$6:$A$3000,0))),"")</f>
        <v/>
      </c>
      <c r="M157" t="str">
        <f>IFERROR(IF(INDEX(營收表現!L$6:L$3000,MATCH($A157,營收表現!$A$6:$A$3000,0))="","",INDEX(營收表現!L$6:L$3000,MATCH($A157,營收表現!$A$6:$A$3000,0))),"")</f>
        <v/>
      </c>
      <c r="N157" t="str">
        <f>IFERROR(IF(INDEX(營收表現!M$6:M$3000,MATCH($A157,營收表現!$A$6:$A$3000,0))="","",INDEX(營收表現!M$6:M$3000,MATCH($A157,營收表現!$A$6:$A$3000,0))),"")</f>
        <v/>
      </c>
      <c r="O157" t="str">
        <f>IFERROR(IF(INDEX(營收表現!N$6:N$3000,MATCH($A157,營收表現!$A$6:$A$3000,0))="","",INDEX(營收表現!N$6:N$3000,MATCH($A157,營收表現!$A$6:$A$3000,0))),"")</f>
        <v/>
      </c>
    </row>
    <row r="158" spans="1:15">
      <c r="B158" t="str">
        <f>IFERROR(INDEX(營收表現!B$6:B$3000,MATCH($A158,營收表現!$A$6:$A$3000,0)),"")</f>
        <v/>
      </c>
      <c r="C158" t="str">
        <f>IFERROR(INDEX(類別!G$4:G$3000,MATCH($A158,類別!$C$4:$C$3000,0)),"")</f>
        <v/>
      </c>
      <c r="D158" t="str">
        <f>IFERROR(IF(INDEX(營收表現!C$6:C$3000,MATCH($A158,營收表現!$A$6:$A$3000,0))="","",INDEX(營收表現!C$6:C$3000,MATCH($A158,營收表現!$A$6:$A$3000,0))),"")</f>
        <v/>
      </c>
      <c r="E158" t="str">
        <f>IFERROR(IF(INDEX(營收表現!D$6:D$3000,MATCH($A158,營收表現!$A$6:$A$3000,0))="","",INDEX(營收表現!D$6:D$3000,MATCH($A158,營收表現!$A$6:$A$3000,0))),"")</f>
        <v/>
      </c>
      <c r="F158" t="str">
        <f>IFERROR(IF(INDEX(營收表現!E$6:E$3000,MATCH($A158,營收表現!$A$6:$A$3000,0))="","",INDEX(營收表現!E$6:E$3000,MATCH($A158,營收表現!$A$6:$A$3000,0))),"")</f>
        <v/>
      </c>
      <c r="G158" t="str">
        <f>IFERROR(IF(INDEX(營收表現!F$6:F$3000,MATCH($A158,營收表現!$A$6:$A$3000,0))="","",INDEX(營收表現!F$6:F$3000,MATCH($A158,營收表現!$A$6:$A$3000,0))),"")</f>
        <v/>
      </c>
      <c r="H158" t="str">
        <f>IFERROR(IF(INDEX(營收表現!G$6:G$3000,MATCH($A158,營收表現!$A$6:$A$3000,0))="","",INDEX(營收表現!G$6:G$3000,MATCH($A158,營收表現!$A$6:$A$3000,0))),"")</f>
        <v/>
      </c>
      <c r="I158" t="str">
        <f>IFERROR(IF(INDEX(營收表現!H$6:H$3000,MATCH($A158,營收表現!$A$6:$A$3000,0))="","",INDEX(營收表現!H$6:H$3000,MATCH($A158,營收表現!$A$6:$A$3000,0))),"")</f>
        <v/>
      </c>
      <c r="J158" t="str">
        <f>IFERROR(IF(INDEX(營收表現!I$6:I$3000,MATCH($A158,營收表現!$A$6:$A$3000,0))="","",INDEX(營收表現!I$6:I$3000,MATCH($A158,營收表現!$A$6:$A$3000,0))),"")</f>
        <v/>
      </c>
      <c r="K158" t="str">
        <f>IFERROR(IF(INDEX(營收表現!J$6:J$3000,MATCH($A158,營收表現!$A$6:$A$3000,0))="","",INDEX(營收表現!J$6:J$3000,MATCH($A158,營收表現!$A$6:$A$3000,0))),"")</f>
        <v/>
      </c>
      <c r="L158" t="str">
        <f>IFERROR(IF(INDEX(營收表現!K$6:K$3000,MATCH($A158,營收表現!$A$6:$A$3000,0))="","",INDEX(營收表現!K$6:K$3000,MATCH($A158,營收表現!$A$6:$A$3000,0))),"")</f>
        <v/>
      </c>
      <c r="M158" t="str">
        <f>IFERROR(IF(INDEX(營收表現!L$6:L$3000,MATCH($A158,營收表現!$A$6:$A$3000,0))="","",INDEX(營收表現!L$6:L$3000,MATCH($A158,營收表現!$A$6:$A$3000,0))),"")</f>
        <v/>
      </c>
      <c r="N158" t="str">
        <f>IFERROR(IF(INDEX(營收表現!M$6:M$3000,MATCH($A158,營收表現!$A$6:$A$3000,0))="","",INDEX(營收表現!M$6:M$3000,MATCH($A158,營收表現!$A$6:$A$3000,0))),"")</f>
        <v/>
      </c>
      <c r="O158" t="str">
        <f>IFERROR(IF(INDEX(營收表現!N$6:N$3000,MATCH($A158,營收表現!$A$6:$A$3000,0))="","",INDEX(營收表現!N$6:N$3000,MATCH($A158,營收表現!$A$6:$A$3000,0))),"")</f>
        <v/>
      </c>
    </row>
  </sheetData>
  <phoneticPr fontId="2" type="noConversion"/>
  <pageMargins left="0.75" right="0.75" top="1" bottom="1" header="0.5" footer="0.5"/>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5"/>
  <sheetViews>
    <sheetView topLeftCell="A43" workbookViewId="0">
      <selection activeCell="A43" sqref="A1:XFD1048576"/>
    </sheetView>
  </sheetViews>
  <sheetFormatPr defaultRowHeight="14.5"/>
  <cols>
    <col min="3" max="3" width="18.296875" customWidth="1"/>
  </cols>
  <sheetData>
    <row r="1" spans="1:4">
      <c r="A1" s="1" t="s">
        <v>18</v>
      </c>
      <c r="B1" s="1" t="s">
        <v>19</v>
      </c>
      <c r="C1" s="1" t="s">
        <v>20</v>
      </c>
      <c r="D1" s="1" t="s">
        <v>21</v>
      </c>
    </row>
    <row r="2" spans="1:4">
      <c r="A2" s="2">
        <v>2338</v>
      </c>
      <c r="B2">
        <v>2330</v>
      </c>
      <c r="C2" t="s">
        <v>7861</v>
      </c>
      <c r="D2" t="s">
        <v>22</v>
      </c>
    </row>
    <row r="3" spans="1:4">
      <c r="A3" s="2">
        <v>2449</v>
      </c>
      <c r="B3">
        <v>2330</v>
      </c>
      <c r="C3" t="s">
        <v>14</v>
      </c>
      <c r="D3" t="s">
        <v>22</v>
      </c>
    </row>
    <row r="4" spans="1:4">
      <c r="A4" s="2">
        <v>3680</v>
      </c>
      <c r="B4">
        <v>2330</v>
      </c>
      <c r="C4" t="s">
        <v>23</v>
      </c>
      <c r="D4" t="s">
        <v>22</v>
      </c>
    </row>
    <row r="5" spans="1:4">
      <c r="A5" s="2">
        <v>2330</v>
      </c>
      <c r="B5">
        <v>2454</v>
      </c>
      <c r="C5" t="s">
        <v>7901</v>
      </c>
      <c r="D5" t="s">
        <v>22</v>
      </c>
    </row>
    <row r="6" spans="1:4">
      <c r="A6" s="2">
        <v>2308</v>
      </c>
      <c r="B6">
        <v>2454</v>
      </c>
      <c r="C6" t="s">
        <v>25</v>
      </c>
      <c r="D6" t="s">
        <v>22</v>
      </c>
    </row>
    <row r="7" spans="1:4">
      <c r="A7" s="2">
        <v>3711</v>
      </c>
      <c r="B7">
        <v>2330</v>
      </c>
      <c r="C7" t="s">
        <v>14</v>
      </c>
    </row>
    <row r="8" spans="1:4">
      <c r="A8" s="2">
        <v>1711</v>
      </c>
      <c r="B8">
        <v>2330</v>
      </c>
      <c r="C8" t="s">
        <v>7894</v>
      </c>
    </row>
    <row r="9" spans="1:4">
      <c r="A9" s="2">
        <v>1727</v>
      </c>
      <c r="B9">
        <v>2330</v>
      </c>
      <c r="C9" t="s">
        <v>7894</v>
      </c>
    </row>
    <row r="10" spans="1:4">
      <c r="A10" s="2">
        <v>1717</v>
      </c>
      <c r="B10">
        <v>2330</v>
      </c>
      <c r="C10" t="s">
        <v>7894</v>
      </c>
    </row>
    <row r="11" spans="1:4">
      <c r="A11" s="2" t="s">
        <v>7836</v>
      </c>
      <c r="B11">
        <v>2330</v>
      </c>
      <c r="C11" t="s">
        <v>14</v>
      </c>
    </row>
    <row r="12" spans="1:4">
      <c r="A12" s="2" t="s">
        <v>7837</v>
      </c>
      <c r="B12">
        <v>2330</v>
      </c>
      <c r="C12" t="s">
        <v>7840</v>
      </c>
    </row>
    <row r="13" spans="1:4">
      <c r="A13" s="2" t="s">
        <v>7838</v>
      </c>
      <c r="B13">
        <v>2330</v>
      </c>
      <c r="C13" t="s">
        <v>7841</v>
      </c>
    </row>
    <row r="14" spans="1:4">
      <c r="A14" s="2" t="s">
        <v>7829</v>
      </c>
      <c r="B14">
        <v>2330</v>
      </c>
      <c r="C14" t="s">
        <v>7842</v>
      </c>
    </row>
    <row r="15" spans="1:4">
      <c r="A15" s="2" t="s">
        <v>7839</v>
      </c>
      <c r="B15">
        <v>2330</v>
      </c>
      <c r="C15" t="s">
        <v>7842</v>
      </c>
    </row>
    <row r="16" spans="1:4">
      <c r="A16" s="2" t="s">
        <v>7843</v>
      </c>
      <c r="B16">
        <v>2330</v>
      </c>
      <c r="C16" t="s">
        <v>7844</v>
      </c>
    </row>
    <row r="17" spans="1:3">
      <c r="A17" s="2" t="s">
        <v>7845</v>
      </c>
      <c r="B17">
        <v>2330</v>
      </c>
      <c r="C17" t="s">
        <v>7860</v>
      </c>
    </row>
    <row r="18" spans="1:3">
      <c r="A18" s="2" t="s">
        <v>7846</v>
      </c>
      <c r="B18">
        <v>2330</v>
      </c>
      <c r="C18" t="s">
        <v>7860</v>
      </c>
    </row>
    <row r="19" spans="1:3">
      <c r="A19" s="2" t="s">
        <v>7847</v>
      </c>
      <c r="B19">
        <v>2330</v>
      </c>
      <c r="C19" t="s">
        <v>7860</v>
      </c>
    </row>
    <row r="20" spans="1:3">
      <c r="A20" s="2" t="s">
        <v>7848</v>
      </c>
      <c r="B20">
        <v>2330</v>
      </c>
      <c r="C20" t="s">
        <v>7860</v>
      </c>
    </row>
    <row r="21" spans="1:3">
      <c r="A21" s="2" t="s">
        <v>7834</v>
      </c>
      <c r="B21">
        <v>2330</v>
      </c>
      <c r="C21" t="s">
        <v>7860</v>
      </c>
    </row>
    <row r="22" spans="1:3">
      <c r="A22" s="2" t="s">
        <v>7849</v>
      </c>
      <c r="B22">
        <v>2330</v>
      </c>
      <c r="C22" t="s">
        <v>7860</v>
      </c>
    </row>
    <row r="23" spans="1:3">
      <c r="A23" s="2" t="s">
        <v>7850</v>
      </c>
      <c r="B23">
        <v>2330</v>
      </c>
      <c r="C23" t="s">
        <v>7860</v>
      </c>
    </row>
    <row r="24" spans="1:3">
      <c r="A24" s="2" t="s">
        <v>7851</v>
      </c>
      <c r="B24">
        <v>2330</v>
      </c>
      <c r="C24" t="s">
        <v>7860</v>
      </c>
    </row>
    <row r="25" spans="1:3">
      <c r="A25" s="2" t="s">
        <v>7852</v>
      </c>
      <c r="B25">
        <v>2330</v>
      </c>
      <c r="C25" t="s">
        <v>7860</v>
      </c>
    </row>
    <row r="26" spans="1:3">
      <c r="A26" s="2" t="s">
        <v>7853</v>
      </c>
      <c r="B26">
        <v>2330</v>
      </c>
      <c r="C26" t="s">
        <v>7860</v>
      </c>
    </row>
    <row r="27" spans="1:3">
      <c r="A27" s="2" t="s">
        <v>5787</v>
      </c>
      <c r="B27">
        <v>2330</v>
      </c>
      <c r="C27" t="s">
        <v>7860</v>
      </c>
    </row>
    <row r="28" spans="1:3">
      <c r="A28" s="2" t="s">
        <v>7854</v>
      </c>
      <c r="B28">
        <v>2330</v>
      </c>
      <c r="C28" t="s">
        <v>7860</v>
      </c>
    </row>
    <row r="29" spans="1:3">
      <c r="A29" s="2" t="s">
        <v>7855</v>
      </c>
      <c r="B29">
        <v>2330</v>
      </c>
      <c r="C29" t="s">
        <v>7860</v>
      </c>
    </row>
    <row r="30" spans="1:3">
      <c r="A30" s="2" t="s">
        <v>7856</v>
      </c>
      <c r="B30">
        <v>2330</v>
      </c>
      <c r="C30" t="s">
        <v>7860</v>
      </c>
    </row>
    <row r="31" spans="1:3">
      <c r="A31" s="2" t="s">
        <v>7843</v>
      </c>
      <c r="B31">
        <v>2330</v>
      </c>
      <c r="C31" t="s">
        <v>7860</v>
      </c>
    </row>
    <row r="32" spans="1:3">
      <c r="A32" s="2" t="s">
        <v>7833</v>
      </c>
      <c r="B32">
        <v>2330</v>
      </c>
      <c r="C32" t="s">
        <v>7860</v>
      </c>
    </row>
    <row r="33" spans="1:3">
      <c r="A33" s="2" t="s">
        <v>7857</v>
      </c>
      <c r="B33">
        <v>2330</v>
      </c>
      <c r="C33" t="s">
        <v>7860</v>
      </c>
    </row>
    <row r="34" spans="1:3">
      <c r="A34" s="2" t="s">
        <v>7858</v>
      </c>
      <c r="B34">
        <v>2330</v>
      </c>
      <c r="C34" t="s">
        <v>7860</v>
      </c>
    </row>
    <row r="35" spans="1:3">
      <c r="A35" s="2" t="s">
        <v>7859</v>
      </c>
      <c r="B35">
        <v>2330</v>
      </c>
      <c r="C35" t="s">
        <v>7860</v>
      </c>
    </row>
    <row r="36" spans="1:3">
      <c r="A36" s="2" t="s">
        <v>7862</v>
      </c>
      <c r="B36">
        <v>2330</v>
      </c>
      <c r="C36" t="s">
        <v>7866</v>
      </c>
    </row>
    <row r="37" spans="1:3">
      <c r="A37" s="2" t="s">
        <v>7863</v>
      </c>
      <c r="B37">
        <v>2330</v>
      </c>
      <c r="C37" t="s">
        <v>7867</v>
      </c>
    </row>
    <row r="38" spans="1:3">
      <c r="A38" s="2" t="s">
        <v>7864</v>
      </c>
      <c r="B38">
        <v>2330</v>
      </c>
      <c r="C38" t="s">
        <v>7868</v>
      </c>
    </row>
    <row r="39" spans="1:3">
      <c r="A39" s="2" t="s">
        <v>7865</v>
      </c>
      <c r="B39">
        <v>2330</v>
      </c>
      <c r="C39" t="s">
        <v>7869</v>
      </c>
    </row>
    <row r="40" spans="1:3">
      <c r="A40" s="2" t="s">
        <v>7870</v>
      </c>
      <c r="B40">
        <v>2330</v>
      </c>
      <c r="C40" t="s">
        <v>7874</v>
      </c>
    </row>
    <row r="41" spans="1:3">
      <c r="A41" s="2" t="s">
        <v>7871</v>
      </c>
      <c r="B41">
        <v>2330</v>
      </c>
      <c r="C41" t="s">
        <v>7874</v>
      </c>
    </row>
    <row r="42" spans="1:3">
      <c r="A42" s="2" t="s">
        <v>7872</v>
      </c>
      <c r="B42">
        <v>2330</v>
      </c>
      <c r="C42" t="s">
        <v>7874</v>
      </c>
    </row>
    <row r="43" spans="1:3">
      <c r="A43" s="2" t="s">
        <v>7873</v>
      </c>
      <c r="B43">
        <v>2330</v>
      </c>
      <c r="C43" t="s">
        <v>7874</v>
      </c>
    </row>
    <row r="44" spans="1:3">
      <c r="A44" s="2" t="s">
        <v>7875</v>
      </c>
      <c r="B44">
        <v>2330</v>
      </c>
      <c r="C44" t="s">
        <v>7877</v>
      </c>
    </row>
    <row r="45" spans="1:3">
      <c r="A45" s="2" t="s">
        <v>7876</v>
      </c>
      <c r="B45">
        <v>2330</v>
      </c>
      <c r="C45" t="s">
        <v>7877</v>
      </c>
    </row>
    <row r="46" spans="1:3">
      <c r="A46" s="2" t="s">
        <v>7878</v>
      </c>
      <c r="B46">
        <v>2330</v>
      </c>
      <c r="C46" t="s">
        <v>14</v>
      </c>
    </row>
    <row r="47" spans="1:3">
      <c r="A47" s="2" t="s">
        <v>7879</v>
      </c>
      <c r="B47">
        <v>2330</v>
      </c>
      <c r="C47" t="s">
        <v>7882</v>
      </c>
    </row>
    <row r="48" spans="1:3">
      <c r="A48" s="2" t="s">
        <v>7880</v>
      </c>
      <c r="B48">
        <v>2330</v>
      </c>
      <c r="C48" t="s">
        <v>7883</v>
      </c>
    </row>
    <row r="49" spans="1:3">
      <c r="A49" s="2" t="s">
        <v>7881</v>
      </c>
      <c r="B49">
        <v>2330</v>
      </c>
      <c r="C49" t="s">
        <v>7883</v>
      </c>
    </row>
    <row r="50" spans="1:3">
      <c r="A50" s="2" t="s">
        <v>7884</v>
      </c>
      <c r="B50">
        <v>2330</v>
      </c>
      <c r="C50" t="s">
        <v>7890</v>
      </c>
    </row>
    <row r="51" spans="1:3">
      <c r="A51" s="2" t="s">
        <v>7885</v>
      </c>
      <c r="B51">
        <v>2330</v>
      </c>
      <c r="C51" t="s">
        <v>7890</v>
      </c>
    </row>
    <row r="52" spans="1:3">
      <c r="A52" s="2" t="s">
        <v>7886</v>
      </c>
      <c r="B52">
        <v>2330</v>
      </c>
      <c r="C52" t="s">
        <v>7890</v>
      </c>
    </row>
    <row r="53" spans="1:3">
      <c r="A53" s="2" t="s">
        <v>7887</v>
      </c>
      <c r="B53">
        <v>2330</v>
      </c>
      <c r="C53" t="s">
        <v>7890</v>
      </c>
    </row>
    <row r="54" spans="1:3">
      <c r="A54" s="2" t="s">
        <v>7888</v>
      </c>
      <c r="B54">
        <v>2330</v>
      </c>
      <c r="C54" t="s">
        <v>7890</v>
      </c>
    </row>
    <row r="55" spans="1:3">
      <c r="A55" s="2" t="s">
        <v>7835</v>
      </c>
      <c r="B55">
        <v>2330</v>
      </c>
      <c r="C55" t="s">
        <v>7890</v>
      </c>
    </row>
    <row r="56" spans="1:3">
      <c r="A56" s="2" t="s">
        <v>7889</v>
      </c>
      <c r="B56">
        <v>2330</v>
      </c>
      <c r="C56" t="s">
        <v>7890</v>
      </c>
    </row>
    <row r="57" spans="1:3">
      <c r="A57" s="2" t="s">
        <v>7832</v>
      </c>
      <c r="B57">
        <v>2330</v>
      </c>
      <c r="C57" t="s">
        <v>7890</v>
      </c>
    </row>
    <row r="58" spans="1:3">
      <c r="A58" s="2" t="s">
        <v>7891</v>
      </c>
      <c r="B58">
        <v>2330</v>
      </c>
      <c r="C58" t="s">
        <v>7894</v>
      </c>
    </row>
    <row r="59" spans="1:3">
      <c r="A59" s="2" t="s">
        <v>7892</v>
      </c>
      <c r="B59">
        <v>2330</v>
      </c>
      <c r="C59" t="s">
        <v>7894</v>
      </c>
    </row>
    <row r="60" spans="1:3">
      <c r="A60" s="2" t="s">
        <v>7831</v>
      </c>
      <c r="B60">
        <v>2330</v>
      </c>
      <c r="C60" t="s">
        <v>7894</v>
      </c>
    </row>
    <row r="61" spans="1:3">
      <c r="A61" s="2" t="s">
        <v>7830</v>
      </c>
      <c r="B61">
        <v>2330</v>
      </c>
      <c r="C61" t="s">
        <v>7894</v>
      </c>
    </row>
    <row r="62" spans="1:3">
      <c r="A62" s="2" t="s">
        <v>7893</v>
      </c>
      <c r="B62">
        <v>2330</v>
      </c>
      <c r="C62" t="s">
        <v>7894</v>
      </c>
    </row>
    <row r="63" spans="1:3">
      <c r="A63" s="2" t="s">
        <v>7897</v>
      </c>
      <c r="B63">
        <v>2330</v>
      </c>
      <c r="C63" t="s">
        <v>7900</v>
      </c>
    </row>
    <row r="64" spans="1:3">
      <c r="A64" s="2" t="s">
        <v>7898</v>
      </c>
      <c r="B64">
        <v>2330</v>
      </c>
      <c r="C64" t="s">
        <v>7900</v>
      </c>
    </row>
    <row r="65" spans="1:3">
      <c r="A65" s="2" t="s">
        <v>7899</v>
      </c>
      <c r="B65">
        <v>2330</v>
      </c>
      <c r="C65" t="s">
        <v>7900</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G21" sqref="G21"/>
    </sheetView>
  </sheetViews>
  <sheetFormatPr defaultRowHeight="14.5"/>
  <sheetData>
    <row r="1" spans="1:3">
      <c r="A1" s="1" t="s">
        <v>7902</v>
      </c>
      <c r="B1" s="1" t="s">
        <v>1</v>
      </c>
      <c r="C1" s="1" t="s">
        <v>7903</v>
      </c>
    </row>
    <row r="2" spans="1:3">
      <c r="A2">
        <v>1</v>
      </c>
      <c r="B2" t="s">
        <v>7904</v>
      </c>
      <c r="C2">
        <v>1</v>
      </c>
    </row>
    <row r="3" spans="1:3">
      <c r="A3">
        <v>2</v>
      </c>
      <c r="B3" t="s">
        <v>10</v>
      </c>
      <c r="C3">
        <v>2</v>
      </c>
    </row>
    <row r="4" spans="1:3">
      <c r="A4">
        <v>3</v>
      </c>
      <c r="B4" t="s">
        <v>7905</v>
      </c>
      <c r="C4">
        <v>3</v>
      </c>
    </row>
    <row r="5" spans="1:3">
      <c r="A5">
        <v>4</v>
      </c>
      <c r="B5" t="s">
        <v>7906</v>
      </c>
      <c r="C5">
        <v>4</v>
      </c>
    </row>
    <row r="6" spans="1:3">
      <c r="A6">
        <v>5</v>
      </c>
      <c r="B6" t="s">
        <v>11</v>
      </c>
      <c r="C6">
        <v>5</v>
      </c>
    </row>
    <row r="7" spans="1:3">
      <c r="A7">
        <v>6</v>
      </c>
      <c r="B7" t="s">
        <v>24</v>
      </c>
      <c r="C7">
        <v>6</v>
      </c>
    </row>
    <row r="8" spans="1:3">
      <c r="A8">
        <v>7</v>
      </c>
      <c r="B8" t="s">
        <v>7907</v>
      </c>
      <c r="C8">
        <v>7</v>
      </c>
    </row>
    <row r="9" spans="1:3">
      <c r="A9">
        <v>8</v>
      </c>
      <c r="B9" t="s">
        <v>7908</v>
      </c>
      <c r="C9">
        <v>8</v>
      </c>
    </row>
    <row r="10" spans="1:3">
      <c r="A10">
        <v>9</v>
      </c>
      <c r="B10" t="s">
        <v>7909</v>
      </c>
      <c r="C10">
        <v>9</v>
      </c>
    </row>
    <row r="11" spans="1:3">
      <c r="A11">
        <v>10</v>
      </c>
      <c r="B11" t="s">
        <v>6333</v>
      </c>
      <c r="C11">
        <v>10</v>
      </c>
    </row>
    <row r="12" spans="1:3">
      <c r="A12">
        <v>11</v>
      </c>
      <c r="B12" t="s">
        <v>7910</v>
      </c>
      <c r="C12">
        <v>9</v>
      </c>
    </row>
    <row r="13" spans="1:3">
      <c r="A13">
        <v>12</v>
      </c>
      <c r="B13" t="s">
        <v>6296</v>
      </c>
      <c r="C13">
        <v>11</v>
      </c>
    </row>
    <row r="14" spans="1:3">
      <c r="A14">
        <v>13</v>
      </c>
      <c r="B14" t="s">
        <v>7911</v>
      </c>
      <c r="C14">
        <v>12</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tabSelected="1" workbookViewId="0">
      <selection sqref="A1:B1048576"/>
    </sheetView>
  </sheetViews>
  <sheetFormatPr defaultRowHeight="14.5"/>
  <sheetData>
    <row r="1" spans="1:2">
      <c r="A1" s="1" t="s">
        <v>7915</v>
      </c>
      <c r="B1" s="1" t="s">
        <v>7916</v>
      </c>
    </row>
    <row r="2" spans="1:2">
      <c r="A2">
        <v>1</v>
      </c>
      <c r="B2">
        <v>2</v>
      </c>
    </row>
    <row r="3" spans="1:2">
      <c r="A3">
        <v>2</v>
      </c>
      <c r="B3">
        <v>3</v>
      </c>
    </row>
    <row r="4" spans="1:2">
      <c r="A4">
        <v>3</v>
      </c>
      <c r="B4">
        <v>6</v>
      </c>
    </row>
    <row r="5" spans="1:2">
      <c r="A5">
        <v>4</v>
      </c>
      <c r="B5">
        <v>6</v>
      </c>
    </row>
    <row r="6" spans="1:2">
      <c r="A6">
        <v>5</v>
      </c>
      <c r="B6">
        <v>6</v>
      </c>
    </row>
    <row r="7" spans="1:2">
      <c r="A7">
        <v>6</v>
      </c>
      <c r="B7">
        <v>7</v>
      </c>
    </row>
    <row r="8" spans="1:2">
      <c r="A8">
        <v>7</v>
      </c>
      <c r="B8">
        <v>8</v>
      </c>
    </row>
    <row r="9" spans="1:2">
      <c r="A9">
        <v>7</v>
      </c>
      <c r="B9">
        <v>9</v>
      </c>
    </row>
    <row r="10" spans="1:2">
      <c r="A10">
        <v>9</v>
      </c>
      <c r="B10">
        <v>10</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activeCell="C8" sqref="C8"/>
    </sheetView>
  </sheetViews>
  <sheetFormatPr defaultRowHeight="14.5"/>
  <sheetData>
    <row r="1" spans="1:3">
      <c r="A1" s="1" t="s">
        <v>7902</v>
      </c>
      <c r="B1" s="1" t="s">
        <v>0</v>
      </c>
      <c r="C1" s="1" t="s">
        <v>1</v>
      </c>
    </row>
    <row r="2" spans="1:3">
      <c r="A2">
        <v>6</v>
      </c>
      <c r="B2" t="s">
        <v>351</v>
      </c>
      <c r="C2" t="s">
        <v>7</v>
      </c>
    </row>
    <row r="3" spans="1:3">
      <c r="A3">
        <v>6</v>
      </c>
      <c r="B3" t="s">
        <v>337</v>
      </c>
      <c r="C3" t="s">
        <v>2287</v>
      </c>
    </row>
    <row r="4" spans="1:3">
      <c r="A4">
        <v>6</v>
      </c>
      <c r="B4" t="s">
        <v>1191</v>
      </c>
      <c r="C4" t="s">
        <v>7912</v>
      </c>
    </row>
    <row r="5" spans="1:3">
      <c r="A5">
        <v>7</v>
      </c>
      <c r="B5" t="s">
        <v>912</v>
      </c>
      <c r="C5" t="s">
        <v>2842</v>
      </c>
    </row>
    <row r="6" spans="1:3">
      <c r="A6">
        <v>7</v>
      </c>
      <c r="B6" t="s">
        <v>7913</v>
      </c>
      <c r="C6" t="s">
        <v>7914</v>
      </c>
    </row>
    <row r="7" spans="1:3">
      <c r="A7">
        <v>5</v>
      </c>
      <c r="B7" s="30" t="s">
        <v>5785</v>
      </c>
      <c r="C7" t="s">
        <v>4149</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heetViews>
  <sheetFormatPr defaultRowHeight="14.5"/>
  <sheetData>
    <row r="1" spans="1:1">
      <c r="A1" s="1" t="s">
        <v>26</v>
      </c>
    </row>
    <row r="2" spans="1:1">
      <c r="A2" t="s">
        <v>27</v>
      </c>
    </row>
    <row r="3" spans="1:1">
      <c r="A3" t="s">
        <v>28</v>
      </c>
    </row>
    <row r="4" spans="1:1">
      <c r="A4" t="s">
        <v>29</v>
      </c>
    </row>
  </sheetData>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961"/>
  <sheetViews>
    <sheetView workbookViewId="0">
      <selection activeCell="V12" sqref="V12"/>
    </sheetView>
  </sheetViews>
  <sheetFormatPr defaultRowHeight="14.5"/>
  <cols>
    <col min="15" max="15" width="9.09765625" style="4"/>
  </cols>
  <sheetData>
    <row r="1" spans="1:14">
      <c r="A1" s="3" t="s">
        <v>5793</v>
      </c>
      <c r="B1" s="3" t="s">
        <v>5796</v>
      </c>
      <c r="C1" s="3" t="s">
        <v>5801</v>
      </c>
      <c r="D1" s="3" t="s">
        <v>5803</v>
      </c>
      <c r="E1" s="3" t="s">
        <v>5803</v>
      </c>
      <c r="F1" s="3" t="s">
        <v>5803</v>
      </c>
      <c r="G1" s="3" t="s">
        <v>5803</v>
      </c>
      <c r="H1" s="3" t="s">
        <v>5803</v>
      </c>
      <c r="I1" s="3" t="s">
        <v>5807</v>
      </c>
      <c r="J1" s="3" t="s">
        <v>5809</v>
      </c>
      <c r="K1" s="3" t="s">
        <v>5809</v>
      </c>
      <c r="L1" s="3" t="s">
        <v>5809</v>
      </c>
      <c r="M1" s="3" t="s">
        <v>5809</v>
      </c>
      <c r="N1" s="3" t="s">
        <v>5809</v>
      </c>
    </row>
    <row r="2" spans="1:14">
      <c r="A2" s="3" t="s">
        <v>5794</v>
      </c>
      <c r="B2" s="3" t="s">
        <v>5797</v>
      </c>
      <c r="C2" s="3"/>
      <c r="D2" s="3"/>
      <c r="E2" s="3"/>
      <c r="F2" s="3"/>
      <c r="G2" s="3"/>
      <c r="H2" s="3"/>
      <c r="I2" s="3"/>
      <c r="J2" s="3"/>
      <c r="K2" s="3"/>
      <c r="L2" s="3"/>
      <c r="M2" s="3"/>
      <c r="N2" s="3"/>
    </row>
    <row r="3" spans="1:14">
      <c r="A3" s="3" t="s">
        <v>5795</v>
      </c>
      <c r="B3" s="3" t="s">
        <v>5798</v>
      </c>
      <c r="C3" s="3" t="s">
        <v>5802</v>
      </c>
      <c r="D3" s="3" t="s">
        <v>5804</v>
      </c>
      <c r="E3" s="3" t="s">
        <v>5805</v>
      </c>
      <c r="F3" s="3" t="s">
        <v>4</v>
      </c>
      <c r="G3" s="3" t="s">
        <v>6</v>
      </c>
      <c r="H3" s="3" t="s">
        <v>5806</v>
      </c>
      <c r="I3" s="3" t="s">
        <v>5808</v>
      </c>
      <c r="J3" s="3" t="s">
        <v>5810</v>
      </c>
      <c r="K3" s="3" t="s">
        <v>5811</v>
      </c>
      <c r="L3" s="3" t="s">
        <v>3</v>
      </c>
      <c r="M3" s="3" t="s">
        <v>5</v>
      </c>
      <c r="N3" s="3" t="s">
        <v>5812</v>
      </c>
    </row>
    <row r="5" spans="1:14">
      <c r="A5" t="s">
        <v>5799</v>
      </c>
      <c r="B5" t="s">
        <v>5800</v>
      </c>
    </row>
    <row r="6" spans="1:14">
      <c r="A6" s="2" t="s">
        <v>34</v>
      </c>
      <c r="B6" t="s">
        <v>3831</v>
      </c>
      <c r="C6">
        <v>-9.76</v>
      </c>
      <c r="D6">
        <v>8.94</v>
      </c>
      <c r="E6">
        <v>4.33</v>
      </c>
      <c r="F6">
        <v>-5.48</v>
      </c>
      <c r="G6">
        <v>8.3699999999999992</v>
      </c>
      <c r="H6">
        <v>-13.83</v>
      </c>
      <c r="I6">
        <v>-6.07</v>
      </c>
      <c r="J6">
        <v>-0.14000000000000001</v>
      </c>
      <c r="K6">
        <v>-14.69</v>
      </c>
      <c r="L6">
        <v>-20.49</v>
      </c>
      <c r="M6">
        <v>-14.04</v>
      </c>
      <c r="N6">
        <v>0.32</v>
      </c>
    </row>
    <row r="7" spans="1:14">
      <c r="A7" s="2" t="s">
        <v>35</v>
      </c>
      <c r="B7" t="s">
        <v>3832</v>
      </c>
      <c r="C7">
        <v>-2.96</v>
      </c>
      <c r="D7">
        <v>12.79</v>
      </c>
      <c r="E7">
        <v>-8.69</v>
      </c>
      <c r="F7">
        <v>0.89</v>
      </c>
      <c r="G7">
        <v>4.88</v>
      </c>
      <c r="H7">
        <v>-3.01</v>
      </c>
      <c r="I7">
        <v>-15.89</v>
      </c>
      <c r="J7">
        <v>-1.67</v>
      </c>
      <c r="K7">
        <v>-11.25</v>
      </c>
      <c r="L7">
        <v>-18.190000000000001</v>
      </c>
      <c r="M7">
        <v>-12.88</v>
      </c>
      <c r="N7">
        <v>1.86</v>
      </c>
    </row>
    <row r="8" spans="1:14">
      <c r="A8" s="2" t="s">
        <v>36</v>
      </c>
      <c r="B8" t="s">
        <v>3833</v>
      </c>
      <c r="C8">
        <v>-5.95</v>
      </c>
      <c r="D8">
        <v>-0.83</v>
      </c>
      <c r="E8">
        <v>5.0199999999999996</v>
      </c>
      <c r="F8">
        <v>0.97</v>
      </c>
      <c r="G8">
        <v>10.34</v>
      </c>
      <c r="I8">
        <v>-11.41</v>
      </c>
      <c r="J8">
        <v>-6.02</v>
      </c>
      <c r="K8">
        <v>8.01</v>
      </c>
      <c r="L8">
        <v>-3.89</v>
      </c>
      <c r="M8">
        <v>-3.28</v>
      </c>
    </row>
    <row r="9" spans="1:14">
      <c r="A9" s="2" t="s">
        <v>37</v>
      </c>
      <c r="B9" t="s">
        <v>3834</v>
      </c>
      <c r="C9">
        <v>4.8600000000000003</v>
      </c>
      <c r="D9">
        <v>17.3</v>
      </c>
      <c r="E9">
        <v>2.21</v>
      </c>
      <c r="F9">
        <v>-11.93</v>
      </c>
      <c r="G9">
        <v>22.35</v>
      </c>
      <c r="I9">
        <v>-7.58</v>
      </c>
      <c r="J9">
        <v>18.05</v>
      </c>
      <c r="K9">
        <v>12.64</v>
      </c>
      <c r="L9">
        <v>-6.76</v>
      </c>
      <c r="M9">
        <v>3.15</v>
      </c>
    </row>
    <row r="10" spans="1:14">
      <c r="A10" s="2" t="s">
        <v>38</v>
      </c>
      <c r="B10" t="s">
        <v>3835</v>
      </c>
      <c r="C10">
        <v>-3.71</v>
      </c>
      <c r="D10">
        <v>1.86</v>
      </c>
      <c r="E10">
        <v>-7</v>
      </c>
      <c r="F10">
        <v>0.1</v>
      </c>
      <c r="G10">
        <v>14.31</v>
      </c>
      <c r="H10">
        <v>0.43</v>
      </c>
      <c r="I10">
        <v>-9.9700000000000006</v>
      </c>
      <c r="J10">
        <v>-16.07</v>
      </c>
      <c r="K10">
        <v>-18.03</v>
      </c>
      <c r="L10">
        <v>-20.55</v>
      </c>
      <c r="M10">
        <v>-25.92</v>
      </c>
      <c r="N10">
        <v>-16.41</v>
      </c>
    </row>
    <row r="11" spans="1:14">
      <c r="A11" s="2" t="s">
        <v>39</v>
      </c>
      <c r="B11" t="s">
        <v>3836</v>
      </c>
      <c r="C11">
        <v>-0.72</v>
      </c>
      <c r="D11">
        <v>3.93</v>
      </c>
      <c r="E11">
        <v>-14.15</v>
      </c>
      <c r="F11">
        <v>8.84</v>
      </c>
      <c r="G11">
        <v>17.149999999999999</v>
      </c>
      <c r="H11">
        <v>-10.07</v>
      </c>
      <c r="I11">
        <v>1.69</v>
      </c>
      <c r="J11">
        <v>19.489999999999998</v>
      </c>
      <c r="K11">
        <v>-6.48</v>
      </c>
      <c r="L11">
        <v>-6.21</v>
      </c>
      <c r="M11">
        <v>4.63</v>
      </c>
      <c r="N11">
        <v>22.73</v>
      </c>
    </row>
    <row r="12" spans="1:14">
      <c r="A12" s="2" t="s">
        <v>40</v>
      </c>
      <c r="B12" t="s">
        <v>3837</v>
      </c>
      <c r="C12">
        <v>23.96</v>
      </c>
      <c r="D12">
        <v>-4.12</v>
      </c>
      <c r="E12">
        <v>16.14</v>
      </c>
      <c r="F12">
        <v>-20.16</v>
      </c>
      <c r="G12">
        <v>12.46</v>
      </c>
      <c r="H12">
        <v>-15.88</v>
      </c>
      <c r="I12">
        <v>-27.81</v>
      </c>
      <c r="J12">
        <v>-21.69</v>
      </c>
      <c r="K12">
        <v>5.25</v>
      </c>
      <c r="L12">
        <v>-27.68</v>
      </c>
      <c r="M12">
        <v>-9.32</v>
      </c>
      <c r="N12">
        <v>-16.09</v>
      </c>
    </row>
    <row r="13" spans="1:14">
      <c r="A13" s="2" t="s">
        <v>41</v>
      </c>
      <c r="B13" t="s">
        <v>3838</v>
      </c>
      <c r="C13">
        <v>6.72</v>
      </c>
      <c r="D13">
        <v>9.41</v>
      </c>
      <c r="E13">
        <v>-16.61</v>
      </c>
      <c r="F13">
        <v>-8.34</v>
      </c>
      <c r="G13">
        <v>1.17</v>
      </c>
      <c r="H13">
        <v>0.32</v>
      </c>
      <c r="I13">
        <v>-10.93</v>
      </c>
      <c r="J13">
        <v>1.21</v>
      </c>
      <c r="K13">
        <v>-11.93</v>
      </c>
      <c r="L13">
        <v>-9.82</v>
      </c>
      <c r="M13">
        <v>-9.69</v>
      </c>
      <c r="N13">
        <v>-12.38</v>
      </c>
    </row>
    <row r="14" spans="1:14">
      <c r="A14" s="2" t="s">
        <v>42</v>
      </c>
      <c r="B14" t="s">
        <v>3839</v>
      </c>
      <c r="C14">
        <v>7.16</v>
      </c>
      <c r="D14">
        <v>-4.5599999999999996</v>
      </c>
      <c r="E14">
        <v>-0.09</v>
      </c>
      <c r="F14">
        <v>-3.22</v>
      </c>
      <c r="G14">
        <v>0.2</v>
      </c>
      <c r="H14">
        <v>6.16</v>
      </c>
      <c r="I14">
        <v>-5.28</v>
      </c>
      <c r="J14">
        <v>-4.0199999999999996</v>
      </c>
      <c r="K14">
        <v>-16.54</v>
      </c>
      <c r="L14">
        <v>-24.31</v>
      </c>
      <c r="M14">
        <v>-27.8</v>
      </c>
      <c r="N14">
        <v>-14.52</v>
      </c>
    </row>
    <row r="15" spans="1:14">
      <c r="A15" s="2" t="s">
        <v>43</v>
      </c>
      <c r="B15" t="s">
        <v>3840</v>
      </c>
      <c r="C15">
        <v>7.84</v>
      </c>
      <c r="D15">
        <v>2.0499999999999998</v>
      </c>
      <c r="E15">
        <v>-3.41</v>
      </c>
      <c r="F15">
        <v>5.03</v>
      </c>
      <c r="G15">
        <v>8.2899999999999991</v>
      </c>
      <c r="H15">
        <v>1.41</v>
      </c>
      <c r="I15">
        <v>-5.22</v>
      </c>
      <c r="J15">
        <v>1.35</v>
      </c>
      <c r="K15">
        <v>-1.98</v>
      </c>
      <c r="L15">
        <v>-1.23</v>
      </c>
      <c r="M15">
        <v>4.6500000000000004</v>
      </c>
      <c r="N15">
        <v>12</v>
      </c>
    </row>
    <row r="16" spans="1:14">
      <c r="A16" s="2" t="s">
        <v>44</v>
      </c>
      <c r="B16" t="s">
        <v>3841</v>
      </c>
      <c r="C16">
        <v>46.76</v>
      </c>
      <c r="D16">
        <v>-0.14000000000000001</v>
      </c>
      <c r="E16">
        <v>-24.18</v>
      </c>
      <c r="F16">
        <v>-8.19</v>
      </c>
      <c r="G16">
        <v>-11.82</v>
      </c>
      <c r="H16">
        <v>18.149999999999999</v>
      </c>
      <c r="I16">
        <v>31.97</v>
      </c>
      <c r="J16">
        <v>85.2</v>
      </c>
      <c r="K16">
        <v>37.93</v>
      </c>
      <c r="L16">
        <v>43.82</v>
      </c>
      <c r="M16">
        <v>24.48</v>
      </c>
      <c r="N16">
        <v>10.6</v>
      </c>
    </row>
    <row r="17" spans="1:14">
      <c r="A17" s="2" t="s">
        <v>45</v>
      </c>
      <c r="B17" t="s">
        <v>3842</v>
      </c>
      <c r="C17">
        <v>-1.63</v>
      </c>
      <c r="D17">
        <v>2.4</v>
      </c>
      <c r="E17">
        <v>-1.75</v>
      </c>
      <c r="F17">
        <v>5.75</v>
      </c>
      <c r="G17">
        <v>10.78</v>
      </c>
      <c r="H17">
        <v>-4.18</v>
      </c>
      <c r="I17">
        <v>-3.49</v>
      </c>
      <c r="J17">
        <v>5.08</v>
      </c>
      <c r="K17">
        <v>-4.49</v>
      </c>
      <c r="L17">
        <v>1.93</v>
      </c>
      <c r="M17">
        <v>13.02</v>
      </c>
      <c r="N17">
        <v>13.03</v>
      </c>
    </row>
    <row r="18" spans="1:14">
      <c r="A18" s="2" t="s">
        <v>46</v>
      </c>
      <c r="B18" t="s">
        <v>3843</v>
      </c>
      <c r="C18">
        <v>6.45</v>
      </c>
      <c r="D18">
        <v>-3.92</v>
      </c>
      <c r="E18">
        <v>-7.17</v>
      </c>
      <c r="F18">
        <v>-5.65</v>
      </c>
      <c r="G18">
        <v>2.25</v>
      </c>
      <c r="H18">
        <v>26.37</v>
      </c>
      <c r="I18">
        <v>-1.34</v>
      </c>
      <c r="J18">
        <v>0.97</v>
      </c>
      <c r="K18">
        <v>-0.77</v>
      </c>
      <c r="L18">
        <v>-1.1200000000000001</v>
      </c>
      <c r="M18">
        <v>1.69</v>
      </c>
      <c r="N18">
        <v>0.53</v>
      </c>
    </row>
    <row r="19" spans="1:14">
      <c r="A19" s="2" t="s">
        <v>47</v>
      </c>
      <c r="B19" t="s">
        <v>3844</v>
      </c>
      <c r="C19">
        <v>21.57</v>
      </c>
      <c r="D19">
        <v>-11.21</v>
      </c>
      <c r="E19">
        <v>-30.62</v>
      </c>
      <c r="F19">
        <v>-11.12</v>
      </c>
      <c r="G19">
        <v>-2.82</v>
      </c>
      <c r="H19">
        <v>46.69</v>
      </c>
      <c r="I19">
        <v>-14.86</v>
      </c>
      <c r="J19">
        <v>7.86</v>
      </c>
      <c r="K19">
        <v>1.24</v>
      </c>
      <c r="L19">
        <v>-10.5</v>
      </c>
      <c r="M19">
        <v>-5.28</v>
      </c>
      <c r="N19">
        <v>-1.52</v>
      </c>
    </row>
    <row r="20" spans="1:14">
      <c r="A20" s="2" t="s">
        <v>48</v>
      </c>
      <c r="B20" t="s">
        <v>3845</v>
      </c>
      <c r="C20">
        <v>14.28</v>
      </c>
      <c r="D20">
        <v>-13.3</v>
      </c>
      <c r="E20">
        <v>-10.62</v>
      </c>
      <c r="F20">
        <v>-4.5</v>
      </c>
      <c r="G20">
        <v>10.17</v>
      </c>
      <c r="H20">
        <v>13.3</v>
      </c>
      <c r="I20">
        <v>-0.39</v>
      </c>
      <c r="J20">
        <v>-10.130000000000001</v>
      </c>
      <c r="K20">
        <v>-5.0199999999999996</v>
      </c>
      <c r="L20">
        <v>-10.130000000000001</v>
      </c>
      <c r="M20">
        <v>14.31</v>
      </c>
      <c r="N20">
        <v>6.3</v>
      </c>
    </row>
    <row r="21" spans="1:14">
      <c r="A21" s="2" t="s">
        <v>49</v>
      </c>
      <c r="B21" t="s">
        <v>3846</v>
      </c>
      <c r="C21">
        <v>4.08</v>
      </c>
      <c r="D21">
        <v>5.31</v>
      </c>
      <c r="E21">
        <v>4.57</v>
      </c>
      <c r="F21">
        <v>-5.05</v>
      </c>
      <c r="G21">
        <v>10.79</v>
      </c>
      <c r="H21">
        <v>-4.55</v>
      </c>
      <c r="I21">
        <v>-1.1000000000000001</v>
      </c>
      <c r="J21">
        <v>3.36</v>
      </c>
      <c r="K21">
        <v>2.73</v>
      </c>
      <c r="L21">
        <v>-5.36</v>
      </c>
      <c r="M21">
        <v>5.09</v>
      </c>
      <c r="N21">
        <v>7.89</v>
      </c>
    </row>
    <row r="22" spans="1:14">
      <c r="A22" s="2" t="s">
        <v>50</v>
      </c>
      <c r="B22" t="s">
        <v>3847</v>
      </c>
      <c r="C22">
        <v>1.74</v>
      </c>
      <c r="D22">
        <v>3.62</v>
      </c>
      <c r="E22">
        <v>19.03</v>
      </c>
      <c r="F22">
        <v>4.3600000000000003</v>
      </c>
      <c r="G22">
        <v>-14.37</v>
      </c>
      <c r="H22">
        <v>-6.63</v>
      </c>
      <c r="I22">
        <v>-4.71</v>
      </c>
      <c r="J22">
        <v>6.33</v>
      </c>
      <c r="K22">
        <v>-3</v>
      </c>
      <c r="L22">
        <v>-9.14</v>
      </c>
      <c r="M22">
        <v>-3.6</v>
      </c>
      <c r="N22">
        <v>31.79</v>
      </c>
    </row>
    <row r="23" spans="1:14">
      <c r="A23" s="2" t="s">
        <v>51</v>
      </c>
      <c r="B23" t="s">
        <v>3848</v>
      </c>
      <c r="C23">
        <v>-6.67</v>
      </c>
      <c r="D23">
        <v>-1.44</v>
      </c>
      <c r="E23">
        <v>4.53</v>
      </c>
      <c r="F23">
        <v>2.54</v>
      </c>
      <c r="G23">
        <v>13.87</v>
      </c>
      <c r="H23">
        <v>16.21</v>
      </c>
      <c r="I23">
        <v>-12.83</v>
      </c>
      <c r="J23">
        <v>-10.130000000000001</v>
      </c>
      <c r="K23">
        <v>-10.35</v>
      </c>
      <c r="L23">
        <v>-13.88</v>
      </c>
      <c r="M23">
        <v>-4.87</v>
      </c>
      <c r="N23">
        <v>20.47</v>
      </c>
    </row>
    <row r="24" spans="1:14">
      <c r="A24" s="2" t="s">
        <v>52</v>
      </c>
      <c r="B24" t="s">
        <v>3849</v>
      </c>
      <c r="C24">
        <v>22.92</v>
      </c>
      <c r="D24">
        <v>25.79</v>
      </c>
      <c r="E24">
        <v>-27.75</v>
      </c>
      <c r="F24">
        <v>21.2</v>
      </c>
      <c r="G24">
        <v>6.24</v>
      </c>
      <c r="H24">
        <v>36.85</v>
      </c>
      <c r="I24">
        <v>-8.81</v>
      </c>
      <c r="J24">
        <v>3</v>
      </c>
      <c r="K24">
        <v>3.58</v>
      </c>
      <c r="L24">
        <v>-5.4</v>
      </c>
      <c r="M24">
        <v>-17.09</v>
      </c>
      <c r="N24">
        <v>16.14</v>
      </c>
    </row>
    <row r="25" spans="1:14">
      <c r="A25" s="2" t="s">
        <v>53</v>
      </c>
      <c r="B25" t="s">
        <v>3850</v>
      </c>
      <c r="C25">
        <v>3.93</v>
      </c>
      <c r="D25">
        <v>21.43</v>
      </c>
      <c r="E25">
        <v>-17.809999999999999</v>
      </c>
      <c r="F25">
        <v>25.4</v>
      </c>
      <c r="G25">
        <v>7.42</v>
      </c>
      <c r="I25">
        <v>10.78</v>
      </c>
      <c r="J25">
        <v>34.75</v>
      </c>
      <c r="K25">
        <v>21.91</v>
      </c>
      <c r="L25">
        <v>14.69</v>
      </c>
      <c r="M25">
        <v>11.25</v>
      </c>
    </row>
    <row r="26" spans="1:14">
      <c r="A26" s="2" t="s">
        <v>54</v>
      </c>
      <c r="B26" t="s">
        <v>3851</v>
      </c>
      <c r="C26">
        <v>2.08</v>
      </c>
      <c r="D26">
        <v>-8.5500000000000007</v>
      </c>
      <c r="E26">
        <v>-0.94</v>
      </c>
      <c r="F26">
        <v>-3.71</v>
      </c>
      <c r="G26">
        <v>27.88</v>
      </c>
      <c r="H26">
        <v>-2.46</v>
      </c>
      <c r="I26">
        <v>1.74</v>
      </c>
      <c r="J26">
        <v>16.02</v>
      </c>
      <c r="K26">
        <v>0.95</v>
      </c>
      <c r="L26">
        <v>0.24</v>
      </c>
      <c r="M26">
        <v>-6.7</v>
      </c>
      <c r="N26">
        <v>-1.42</v>
      </c>
    </row>
    <row r="27" spans="1:14">
      <c r="A27" s="2" t="s">
        <v>55</v>
      </c>
      <c r="B27" t="s">
        <v>3852</v>
      </c>
      <c r="C27">
        <v>1.23</v>
      </c>
      <c r="D27">
        <v>0.91</v>
      </c>
      <c r="E27">
        <v>3.59</v>
      </c>
      <c r="F27">
        <v>-2.08</v>
      </c>
      <c r="G27">
        <v>9.4</v>
      </c>
      <c r="H27">
        <v>11.02</v>
      </c>
      <c r="I27">
        <v>-1.65</v>
      </c>
      <c r="J27">
        <v>3.1</v>
      </c>
      <c r="K27">
        <v>0.13</v>
      </c>
      <c r="L27">
        <v>-3.15</v>
      </c>
      <c r="M27">
        <v>2.2200000000000002</v>
      </c>
      <c r="N27">
        <v>21.05</v>
      </c>
    </row>
    <row r="28" spans="1:14">
      <c r="A28" s="2" t="s">
        <v>56</v>
      </c>
      <c r="B28" t="s">
        <v>3853</v>
      </c>
      <c r="C28">
        <v>11.25</v>
      </c>
      <c r="D28">
        <v>4.78</v>
      </c>
      <c r="E28">
        <v>-3.23</v>
      </c>
      <c r="F28">
        <v>-2.75</v>
      </c>
      <c r="G28">
        <v>15.24</v>
      </c>
      <c r="H28">
        <v>-2.34</v>
      </c>
      <c r="I28">
        <v>-3.74</v>
      </c>
      <c r="J28">
        <v>1.81</v>
      </c>
      <c r="K28">
        <v>12.21</v>
      </c>
      <c r="L28">
        <v>-8.9600000000000009</v>
      </c>
      <c r="M28">
        <v>-4.25</v>
      </c>
      <c r="N28">
        <v>-10.050000000000001</v>
      </c>
    </row>
    <row r="29" spans="1:14">
      <c r="A29" s="2" t="s">
        <v>57</v>
      </c>
      <c r="B29" t="s">
        <v>3854</v>
      </c>
      <c r="C29">
        <v>4.93</v>
      </c>
      <c r="D29">
        <v>-1.17</v>
      </c>
      <c r="E29">
        <v>0.05</v>
      </c>
      <c r="F29">
        <v>-22.06</v>
      </c>
      <c r="G29">
        <v>-6.39</v>
      </c>
      <c r="H29">
        <v>24.02</v>
      </c>
      <c r="I29">
        <v>-20.66</v>
      </c>
      <c r="J29">
        <v>-7.04</v>
      </c>
      <c r="K29">
        <v>17.059999999999999</v>
      </c>
      <c r="L29">
        <v>-16.45</v>
      </c>
      <c r="M29">
        <v>-9.57</v>
      </c>
      <c r="N29">
        <v>-5.71</v>
      </c>
    </row>
    <row r="30" spans="1:14">
      <c r="A30" s="2" t="s">
        <v>58</v>
      </c>
      <c r="B30" t="s">
        <v>3855</v>
      </c>
      <c r="C30">
        <v>46.42</v>
      </c>
      <c r="D30">
        <v>3.69</v>
      </c>
      <c r="E30">
        <v>2.58</v>
      </c>
      <c r="F30">
        <v>22.97</v>
      </c>
      <c r="G30">
        <v>-54.11</v>
      </c>
      <c r="H30">
        <v>110.02</v>
      </c>
      <c r="I30">
        <v>41.92</v>
      </c>
      <c r="J30">
        <v>46.35</v>
      </c>
      <c r="K30">
        <v>40.5</v>
      </c>
      <c r="L30">
        <v>88.03</v>
      </c>
      <c r="M30">
        <v>-1.99</v>
      </c>
      <c r="N30">
        <v>177.24</v>
      </c>
    </row>
    <row r="31" spans="1:14">
      <c r="A31" s="2" t="s">
        <v>59</v>
      </c>
      <c r="B31" t="s">
        <v>3856</v>
      </c>
      <c r="C31">
        <v>20.12</v>
      </c>
      <c r="D31">
        <v>40.700000000000003</v>
      </c>
      <c r="E31">
        <v>-49.44</v>
      </c>
      <c r="F31">
        <v>3.98</v>
      </c>
      <c r="G31">
        <v>62.83</v>
      </c>
      <c r="H31">
        <v>54.25</v>
      </c>
      <c r="I31">
        <v>2.88</v>
      </c>
      <c r="J31">
        <v>26.05</v>
      </c>
      <c r="K31">
        <v>-12.91</v>
      </c>
      <c r="L31">
        <v>-23.51</v>
      </c>
      <c r="M31">
        <v>-25.79</v>
      </c>
      <c r="N31">
        <v>2.91</v>
      </c>
    </row>
    <row r="32" spans="1:14">
      <c r="A32" s="2" t="s">
        <v>60</v>
      </c>
      <c r="B32" t="s">
        <v>3857</v>
      </c>
      <c r="C32">
        <v>7.66</v>
      </c>
      <c r="D32">
        <v>8.56</v>
      </c>
      <c r="E32">
        <v>-6.09</v>
      </c>
      <c r="F32">
        <v>-5.29</v>
      </c>
      <c r="G32">
        <v>8.26</v>
      </c>
      <c r="H32">
        <v>-10.33</v>
      </c>
      <c r="I32">
        <v>-4.05</v>
      </c>
      <c r="J32">
        <v>14.81</v>
      </c>
      <c r="K32">
        <v>-3.34</v>
      </c>
      <c r="L32">
        <v>-6.19</v>
      </c>
      <c r="M32">
        <v>-7.43</v>
      </c>
      <c r="N32">
        <v>-6.64</v>
      </c>
    </row>
    <row r="33" spans="1:14">
      <c r="A33" s="2" t="s">
        <v>61</v>
      </c>
      <c r="B33" t="s">
        <v>3858</v>
      </c>
      <c r="C33">
        <v>1.81</v>
      </c>
      <c r="D33">
        <v>-18.79</v>
      </c>
      <c r="E33">
        <v>-44.68</v>
      </c>
      <c r="F33">
        <v>3.55</v>
      </c>
      <c r="G33">
        <v>70.02</v>
      </c>
      <c r="H33">
        <v>9.6300000000000008</v>
      </c>
      <c r="I33">
        <v>23.33</v>
      </c>
      <c r="J33">
        <v>-2.95</v>
      </c>
      <c r="K33">
        <v>12.73</v>
      </c>
      <c r="L33">
        <v>24.45</v>
      </c>
      <c r="M33">
        <v>74.52</v>
      </c>
      <c r="N33">
        <v>36.270000000000003</v>
      </c>
    </row>
    <row r="34" spans="1:14">
      <c r="A34" s="2" t="s">
        <v>62</v>
      </c>
      <c r="B34" t="s">
        <v>3859</v>
      </c>
      <c r="C34">
        <v>1.5</v>
      </c>
      <c r="D34">
        <v>-2.63</v>
      </c>
      <c r="E34">
        <v>2.61</v>
      </c>
      <c r="F34">
        <v>-2.84</v>
      </c>
      <c r="G34">
        <v>0.87</v>
      </c>
      <c r="H34">
        <v>0.56000000000000005</v>
      </c>
      <c r="I34">
        <v>-3.17</v>
      </c>
      <c r="J34">
        <v>0.51</v>
      </c>
      <c r="K34">
        <v>4.4400000000000004</v>
      </c>
      <c r="L34">
        <v>1.73</v>
      </c>
      <c r="M34">
        <v>3.67</v>
      </c>
      <c r="N34">
        <v>-4.1399999999999997</v>
      </c>
    </row>
    <row r="35" spans="1:14">
      <c r="A35" s="2" t="s">
        <v>63</v>
      </c>
      <c r="B35" t="s">
        <v>3860</v>
      </c>
      <c r="C35">
        <v>-3.57</v>
      </c>
      <c r="D35">
        <v>19.04</v>
      </c>
      <c r="E35">
        <v>-18.239999999999998</v>
      </c>
      <c r="F35">
        <v>7.58</v>
      </c>
      <c r="G35">
        <v>24.55</v>
      </c>
      <c r="H35">
        <v>5.08</v>
      </c>
      <c r="I35">
        <v>-13.27</v>
      </c>
      <c r="J35">
        <v>4.91</v>
      </c>
      <c r="K35">
        <v>-1.38</v>
      </c>
      <c r="L35">
        <v>-7.88</v>
      </c>
      <c r="M35">
        <v>-8.59</v>
      </c>
      <c r="N35">
        <v>5.78</v>
      </c>
    </row>
    <row r="36" spans="1:14">
      <c r="A36" s="2" t="s">
        <v>64</v>
      </c>
      <c r="B36" t="s">
        <v>3861</v>
      </c>
      <c r="C36">
        <v>7.57</v>
      </c>
      <c r="D36">
        <v>3.59</v>
      </c>
      <c r="E36">
        <v>0.61</v>
      </c>
      <c r="F36">
        <v>4.83</v>
      </c>
      <c r="G36">
        <v>2.56</v>
      </c>
      <c r="H36">
        <v>17.38</v>
      </c>
      <c r="I36">
        <v>5.0199999999999996</v>
      </c>
      <c r="J36">
        <v>-1.46</v>
      </c>
      <c r="K36">
        <v>16.57</v>
      </c>
      <c r="L36">
        <v>10.77</v>
      </c>
      <c r="M36">
        <v>-3.41</v>
      </c>
      <c r="N36">
        <v>-16.809999999999999</v>
      </c>
    </row>
    <row r="37" spans="1:14">
      <c r="A37" s="2" t="s">
        <v>65</v>
      </c>
      <c r="B37" t="s">
        <v>3862</v>
      </c>
      <c r="C37">
        <v>19.670000000000002</v>
      </c>
      <c r="D37">
        <v>2.34</v>
      </c>
      <c r="E37">
        <v>-14.3</v>
      </c>
      <c r="F37">
        <v>16.72</v>
      </c>
      <c r="G37">
        <v>19.38</v>
      </c>
      <c r="H37">
        <v>8.11</v>
      </c>
      <c r="I37">
        <v>-3.92</v>
      </c>
      <c r="J37">
        <v>39.799999999999997</v>
      </c>
      <c r="K37">
        <v>43.72</v>
      </c>
      <c r="L37">
        <v>30.35</v>
      </c>
      <c r="M37">
        <v>45.41</v>
      </c>
      <c r="N37">
        <v>117.94</v>
      </c>
    </row>
    <row r="38" spans="1:14">
      <c r="A38" s="2" t="s">
        <v>66</v>
      </c>
      <c r="B38" t="s">
        <v>3863</v>
      </c>
      <c r="C38">
        <v>17.989999999999998</v>
      </c>
      <c r="D38">
        <v>-4.7</v>
      </c>
      <c r="E38">
        <v>34.28</v>
      </c>
      <c r="F38">
        <v>-16.059999999999999</v>
      </c>
      <c r="G38">
        <v>31.68</v>
      </c>
      <c r="H38">
        <v>-24.06</v>
      </c>
      <c r="I38">
        <v>-35.65</v>
      </c>
      <c r="J38">
        <v>-4.9400000000000004</v>
      </c>
      <c r="K38">
        <v>40.33</v>
      </c>
      <c r="L38">
        <v>2.2400000000000002</v>
      </c>
      <c r="M38">
        <v>8.2899999999999991</v>
      </c>
      <c r="N38">
        <v>14.38</v>
      </c>
    </row>
    <row r="39" spans="1:14">
      <c r="A39" s="2" t="s">
        <v>67</v>
      </c>
      <c r="B39" t="s">
        <v>3864</v>
      </c>
      <c r="C39">
        <v>-10.23</v>
      </c>
      <c r="D39">
        <v>6.98</v>
      </c>
      <c r="E39">
        <v>-4.34</v>
      </c>
      <c r="F39">
        <v>-0.15</v>
      </c>
      <c r="G39">
        <v>6.84</v>
      </c>
      <c r="H39">
        <v>-2.89</v>
      </c>
      <c r="I39">
        <v>-18.82</v>
      </c>
      <c r="J39">
        <v>-15.77</v>
      </c>
      <c r="K39">
        <v>-14.8</v>
      </c>
      <c r="L39">
        <v>-26.22</v>
      </c>
      <c r="M39">
        <v>-13.02</v>
      </c>
      <c r="N39">
        <v>-0.64</v>
      </c>
    </row>
    <row r="40" spans="1:14">
      <c r="A40" s="2" t="s">
        <v>68</v>
      </c>
      <c r="B40" t="s">
        <v>3865</v>
      </c>
      <c r="C40">
        <v>-1.42</v>
      </c>
      <c r="D40">
        <v>6.32</v>
      </c>
      <c r="E40">
        <v>-4.25</v>
      </c>
      <c r="F40">
        <v>-0.46</v>
      </c>
      <c r="G40">
        <v>4.58</v>
      </c>
      <c r="H40">
        <v>3.51</v>
      </c>
      <c r="I40">
        <v>-7.17</v>
      </c>
      <c r="J40">
        <v>3.47</v>
      </c>
      <c r="K40">
        <v>-6.72</v>
      </c>
      <c r="L40">
        <v>-3.8</v>
      </c>
      <c r="M40">
        <v>-5.67</v>
      </c>
      <c r="N40">
        <v>11.8</v>
      </c>
    </row>
    <row r="41" spans="1:14">
      <c r="A41" s="2" t="s">
        <v>69</v>
      </c>
      <c r="B41" t="s">
        <v>3866</v>
      </c>
      <c r="C41">
        <v>-3.93</v>
      </c>
      <c r="D41">
        <v>7.02</v>
      </c>
      <c r="E41">
        <v>-9.66</v>
      </c>
      <c r="F41">
        <v>-0.19</v>
      </c>
      <c r="G41">
        <v>4.8499999999999996</v>
      </c>
      <c r="H41">
        <v>4.8899999999999997</v>
      </c>
      <c r="I41">
        <v>-20.239999999999998</v>
      </c>
      <c r="J41">
        <v>-12.68</v>
      </c>
      <c r="K41">
        <v>-17.510000000000002</v>
      </c>
      <c r="L41">
        <v>-27.53</v>
      </c>
      <c r="M41">
        <v>-18.12</v>
      </c>
      <c r="N41">
        <v>-2.78</v>
      </c>
    </row>
    <row r="42" spans="1:14">
      <c r="A42" s="2" t="s">
        <v>70</v>
      </c>
      <c r="B42" t="s">
        <v>3867</v>
      </c>
      <c r="C42">
        <v>2.13</v>
      </c>
      <c r="D42">
        <v>-3.21</v>
      </c>
      <c r="E42">
        <v>-25.01</v>
      </c>
      <c r="F42">
        <v>11.34</v>
      </c>
      <c r="G42">
        <v>5.62</v>
      </c>
      <c r="H42">
        <v>22.87</v>
      </c>
      <c r="I42">
        <v>19.43</v>
      </c>
      <c r="J42">
        <v>-19.239999999999998</v>
      </c>
      <c r="K42">
        <v>-32.56</v>
      </c>
      <c r="L42">
        <v>-35.93</v>
      </c>
      <c r="M42">
        <v>-12.12</v>
      </c>
      <c r="N42">
        <v>3.98</v>
      </c>
    </row>
    <row r="43" spans="1:14">
      <c r="A43" s="2" t="s">
        <v>71</v>
      </c>
      <c r="B43" t="s">
        <v>3868</v>
      </c>
      <c r="C43">
        <v>-1.04</v>
      </c>
      <c r="D43">
        <v>-1.59</v>
      </c>
      <c r="E43">
        <v>-2.27</v>
      </c>
      <c r="F43">
        <v>-6.97</v>
      </c>
      <c r="G43">
        <v>-6.01</v>
      </c>
      <c r="I43">
        <v>-13.82</v>
      </c>
      <c r="J43">
        <v>1.32</v>
      </c>
      <c r="K43">
        <v>6.79</v>
      </c>
      <c r="L43">
        <v>-5.85</v>
      </c>
      <c r="M43">
        <v>-1.1100000000000001</v>
      </c>
    </row>
    <row r="44" spans="1:14">
      <c r="A44" s="2" t="s">
        <v>72</v>
      </c>
      <c r="B44" t="s">
        <v>3869</v>
      </c>
      <c r="C44">
        <v>-1.24</v>
      </c>
      <c r="D44">
        <v>17.57</v>
      </c>
      <c r="E44">
        <v>-18.55</v>
      </c>
      <c r="F44">
        <v>6.27</v>
      </c>
      <c r="G44">
        <v>5.6</v>
      </c>
      <c r="H44">
        <v>-9.34</v>
      </c>
      <c r="I44">
        <v>-1.99</v>
      </c>
      <c r="J44">
        <v>41.17</v>
      </c>
      <c r="K44">
        <v>-5.45</v>
      </c>
      <c r="L44">
        <v>-12.14</v>
      </c>
      <c r="M44">
        <v>-10.85</v>
      </c>
      <c r="N44">
        <v>2.4300000000000002</v>
      </c>
    </row>
    <row r="45" spans="1:14">
      <c r="A45" s="2" t="s">
        <v>73</v>
      </c>
      <c r="B45" t="s">
        <v>3870</v>
      </c>
      <c r="C45">
        <v>-6.54</v>
      </c>
      <c r="D45">
        <v>7.35</v>
      </c>
      <c r="E45">
        <v>-8.57</v>
      </c>
      <c r="F45">
        <v>-14.16</v>
      </c>
      <c r="G45">
        <v>14.64</v>
      </c>
      <c r="H45">
        <v>8.93</v>
      </c>
      <c r="I45">
        <v>-42.78</v>
      </c>
      <c r="J45">
        <v>-30.99</v>
      </c>
      <c r="K45">
        <v>-28.6</v>
      </c>
      <c r="L45">
        <v>-45.35</v>
      </c>
      <c r="M45">
        <v>-33.03</v>
      </c>
      <c r="N45">
        <v>-11.65</v>
      </c>
    </row>
    <row r="46" spans="1:14">
      <c r="A46" s="2" t="s">
        <v>74</v>
      </c>
      <c r="B46" t="s">
        <v>3871</v>
      </c>
      <c r="C46">
        <v>-8.3699999999999992</v>
      </c>
      <c r="D46">
        <v>0.85</v>
      </c>
      <c r="E46">
        <v>-17.61</v>
      </c>
      <c r="F46">
        <v>-2.63</v>
      </c>
      <c r="G46">
        <v>-7.7</v>
      </c>
      <c r="H46">
        <v>31.84</v>
      </c>
      <c r="I46">
        <v>-30.93</v>
      </c>
      <c r="J46">
        <v>-24.81</v>
      </c>
      <c r="K46">
        <v>-22.65</v>
      </c>
      <c r="L46">
        <v>-39.799999999999997</v>
      </c>
      <c r="M46">
        <v>-46.33</v>
      </c>
      <c r="N46">
        <v>-19.579999999999998</v>
      </c>
    </row>
    <row r="47" spans="1:14">
      <c r="A47" s="2" t="s">
        <v>75</v>
      </c>
      <c r="B47" t="s">
        <v>3872</v>
      </c>
      <c r="C47">
        <v>-15.95</v>
      </c>
      <c r="D47">
        <v>67.78</v>
      </c>
      <c r="E47">
        <v>7.87</v>
      </c>
      <c r="F47">
        <v>-8.26</v>
      </c>
      <c r="G47">
        <v>12.8</v>
      </c>
      <c r="H47">
        <v>-1.48</v>
      </c>
      <c r="I47">
        <v>-16.45</v>
      </c>
      <c r="J47">
        <v>75.95</v>
      </c>
      <c r="K47">
        <v>117.8</v>
      </c>
      <c r="L47">
        <v>58.54</v>
      </c>
      <c r="M47">
        <v>64.75</v>
      </c>
      <c r="N47">
        <v>84.42</v>
      </c>
    </row>
    <row r="48" spans="1:14">
      <c r="A48" s="2" t="s">
        <v>76</v>
      </c>
      <c r="B48" t="s">
        <v>3873</v>
      </c>
      <c r="C48">
        <v>-3.62</v>
      </c>
      <c r="D48">
        <v>5.81</v>
      </c>
      <c r="E48">
        <v>-11.96</v>
      </c>
      <c r="F48">
        <v>6.56</v>
      </c>
      <c r="G48">
        <v>3.57</v>
      </c>
      <c r="H48">
        <v>4.26</v>
      </c>
      <c r="I48">
        <v>-12.3</v>
      </c>
      <c r="J48">
        <v>2.73</v>
      </c>
      <c r="K48">
        <v>-13.59</v>
      </c>
      <c r="L48">
        <v>-21.32</v>
      </c>
      <c r="M48">
        <v>-21.03</v>
      </c>
      <c r="N48">
        <v>20.89</v>
      </c>
    </row>
    <row r="49" spans="1:14">
      <c r="A49" s="2" t="s">
        <v>77</v>
      </c>
      <c r="B49" t="s">
        <v>3874</v>
      </c>
      <c r="C49">
        <v>-25.43</v>
      </c>
      <c r="D49">
        <v>28.21</v>
      </c>
      <c r="E49">
        <v>-41.75</v>
      </c>
      <c r="F49">
        <v>20.22</v>
      </c>
      <c r="G49">
        <v>22.3</v>
      </c>
      <c r="H49">
        <v>17.98</v>
      </c>
      <c r="I49">
        <v>-56.58</v>
      </c>
      <c r="J49">
        <v>-23.94</v>
      </c>
      <c r="K49">
        <v>-57.14</v>
      </c>
      <c r="L49">
        <v>-37.880000000000003</v>
      </c>
      <c r="M49">
        <v>-38.979999999999997</v>
      </c>
      <c r="N49">
        <v>-32.700000000000003</v>
      </c>
    </row>
    <row r="50" spans="1:14">
      <c r="A50" s="2" t="s">
        <v>78</v>
      </c>
      <c r="B50" t="s">
        <v>3875</v>
      </c>
      <c r="C50">
        <v>-12.41</v>
      </c>
      <c r="D50">
        <v>-18.54</v>
      </c>
      <c r="E50">
        <v>-9.18</v>
      </c>
      <c r="F50">
        <v>46.1</v>
      </c>
      <c r="G50">
        <v>-19.38</v>
      </c>
      <c r="I50">
        <v>13.06</v>
      </c>
      <c r="J50">
        <v>-7.35</v>
      </c>
      <c r="K50">
        <v>-15.45</v>
      </c>
      <c r="L50">
        <v>-13.71</v>
      </c>
      <c r="M50">
        <v>-11.67</v>
      </c>
    </row>
    <row r="51" spans="1:14">
      <c r="A51" s="2" t="s">
        <v>79</v>
      </c>
      <c r="B51" t="s">
        <v>3876</v>
      </c>
      <c r="C51">
        <v>3.87</v>
      </c>
      <c r="D51">
        <v>17.57</v>
      </c>
      <c r="E51">
        <v>-1.97</v>
      </c>
      <c r="F51">
        <v>46.91</v>
      </c>
      <c r="G51">
        <v>4.13</v>
      </c>
      <c r="H51">
        <v>13.99</v>
      </c>
      <c r="I51">
        <v>324.52999999999997</v>
      </c>
      <c r="J51">
        <v>171.85</v>
      </c>
      <c r="K51">
        <v>151.94</v>
      </c>
      <c r="L51">
        <v>266.02999999999997</v>
      </c>
      <c r="M51">
        <v>207.91</v>
      </c>
      <c r="N51">
        <v>233.49</v>
      </c>
    </row>
    <row r="52" spans="1:14">
      <c r="A52" s="2" t="s">
        <v>80</v>
      </c>
      <c r="B52" t="s">
        <v>3877</v>
      </c>
      <c r="C52">
        <v>9.1999999999999993</v>
      </c>
      <c r="D52">
        <v>6.48</v>
      </c>
      <c r="E52">
        <v>13.78</v>
      </c>
      <c r="F52">
        <v>1</v>
      </c>
      <c r="G52">
        <v>-5.6</v>
      </c>
      <c r="H52">
        <v>2.74</v>
      </c>
      <c r="I52">
        <v>-14.8</v>
      </c>
      <c r="J52">
        <v>-11.12</v>
      </c>
      <c r="K52">
        <v>-2.87</v>
      </c>
      <c r="L52">
        <v>-8.06</v>
      </c>
      <c r="M52">
        <v>-6.88</v>
      </c>
      <c r="N52">
        <v>-3.56</v>
      </c>
    </row>
    <row r="53" spans="1:14">
      <c r="A53" s="2" t="s">
        <v>81</v>
      </c>
      <c r="B53" t="s">
        <v>3878</v>
      </c>
      <c r="C53">
        <v>-12.44</v>
      </c>
      <c r="D53">
        <v>-3.55</v>
      </c>
      <c r="E53">
        <v>8.9600000000000009</v>
      </c>
      <c r="F53">
        <v>-5.25</v>
      </c>
      <c r="G53">
        <v>11.15</v>
      </c>
      <c r="H53">
        <v>16.149999999999999</v>
      </c>
      <c r="I53">
        <v>-24.29</v>
      </c>
      <c r="J53">
        <v>-28.07</v>
      </c>
      <c r="K53">
        <v>-37.35</v>
      </c>
      <c r="L53">
        <v>-37.82</v>
      </c>
      <c r="M53">
        <v>-23.91</v>
      </c>
      <c r="N53">
        <v>1.19</v>
      </c>
    </row>
    <row r="54" spans="1:14">
      <c r="A54" s="2" t="s">
        <v>82</v>
      </c>
      <c r="B54" t="s">
        <v>3879</v>
      </c>
      <c r="C54">
        <v>8.58</v>
      </c>
      <c r="D54">
        <v>12.33</v>
      </c>
      <c r="E54">
        <v>-11.88</v>
      </c>
      <c r="F54">
        <v>6.62</v>
      </c>
      <c r="G54">
        <v>-3.28</v>
      </c>
      <c r="H54">
        <v>10.07</v>
      </c>
      <c r="I54">
        <v>-17.7</v>
      </c>
      <c r="J54">
        <v>-5.43</v>
      </c>
      <c r="K54">
        <v>-16.7</v>
      </c>
      <c r="L54">
        <v>6.51</v>
      </c>
      <c r="M54">
        <v>-7.56</v>
      </c>
      <c r="N54">
        <v>-5.22</v>
      </c>
    </row>
    <row r="55" spans="1:14">
      <c r="A55" s="2" t="s">
        <v>83</v>
      </c>
      <c r="B55" t="s">
        <v>3880</v>
      </c>
      <c r="C55">
        <v>18.3</v>
      </c>
      <c r="D55">
        <v>-4.18</v>
      </c>
      <c r="E55">
        <v>4.7</v>
      </c>
      <c r="F55">
        <v>-15.83</v>
      </c>
      <c r="G55">
        <v>25.04</v>
      </c>
      <c r="H55">
        <v>-9.2799999999999994</v>
      </c>
      <c r="I55">
        <v>1.86</v>
      </c>
      <c r="J55">
        <v>1.55</v>
      </c>
      <c r="K55">
        <v>-10.28</v>
      </c>
      <c r="L55">
        <v>-21.52</v>
      </c>
      <c r="M55">
        <v>-6.41</v>
      </c>
      <c r="N55">
        <v>9.32</v>
      </c>
    </row>
    <row r="56" spans="1:14">
      <c r="A56" s="2" t="s">
        <v>84</v>
      </c>
      <c r="B56" t="s">
        <v>3881</v>
      </c>
      <c r="C56">
        <v>2.16</v>
      </c>
      <c r="D56">
        <v>4.7699999999999996</v>
      </c>
      <c r="E56">
        <v>-3.13</v>
      </c>
      <c r="F56">
        <v>11.67</v>
      </c>
      <c r="G56">
        <v>-17.670000000000002</v>
      </c>
      <c r="H56">
        <v>27.6</v>
      </c>
      <c r="I56">
        <v>-12.65</v>
      </c>
      <c r="J56">
        <v>-7.51</v>
      </c>
      <c r="K56">
        <v>-17.3</v>
      </c>
      <c r="L56">
        <v>-8.67</v>
      </c>
      <c r="M56">
        <v>-13.84</v>
      </c>
      <c r="N56">
        <v>-16.77</v>
      </c>
    </row>
    <row r="57" spans="1:14">
      <c r="A57" s="2" t="s">
        <v>85</v>
      </c>
      <c r="B57" t="s">
        <v>3882</v>
      </c>
      <c r="C57">
        <v>-0.43</v>
      </c>
      <c r="D57">
        <v>-0.57999999999999996</v>
      </c>
      <c r="E57">
        <v>-4</v>
      </c>
      <c r="F57">
        <v>-5.71</v>
      </c>
      <c r="G57">
        <v>5.23</v>
      </c>
      <c r="H57">
        <v>13.96</v>
      </c>
      <c r="I57">
        <v>-21</v>
      </c>
      <c r="J57">
        <v>-16.14</v>
      </c>
      <c r="K57">
        <v>-17.149999999999999</v>
      </c>
      <c r="L57">
        <v>-23.38</v>
      </c>
      <c r="M57">
        <v>-19.53</v>
      </c>
      <c r="N57">
        <v>4.25</v>
      </c>
    </row>
    <row r="58" spans="1:14">
      <c r="A58" s="2" t="s">
        <v>86</v>
      </c>
      <c r="B58" t="s">
        <v>3883</v>
      </c>
      <c r="C58">
        <v>10.96</v>
      </c>
      <c r="D58">
        <v>-2.81</v>
      </c>
      <c r="E58">
        <v>-0.42</v>
      </c>
      <c r="F58">
        <v>5.14</v>
      </c>
      <c r="G58">
        <v>-17.63</v>
      </c>
      <c r="H58">
        <v>9.08</v>
      </c>
      <c r="I58">
        <v>-8.5</v>
      </c>
      <c r="J58">
        <v>-0.52</v>
      </c>
      <c r="K58">
        <v>-17.5</v>
      </c>
      <c r="L58">
        <v>-7.22</v>
      </c>
      <c r="M58">
        <v>-14.54</v>
      </c>
      <c r="N58">
        <v>-1.66</v>
      </c>
    </row>
    <row r="59" spans="1:14">
      <c r="A59" s="2" t="s">
        <v>87</v>
      </c>
      <c r="B59" t="s">
        <v>3884</v>
      </c>
      <c r="C59">
        <v>-21.21</v>
      </c>
      <c r="D59">
        <v>46.34</v>
      </c>
      <c r="E59">
        <v>-10.1</v>
      </c>
      <c r="F59">
        <v>-13.36</v>
      </c>
      <c r="G59">
        <v>31.5</v>
      </c>
      <c r="H59">
        <v>-11.22</v>
      </c>
      <c r="I59">
        <v>-28.78</v>
      </c>
      <c r="J59">
        <v>9.7200000000000006</v>
      </c>
      <c r="K59">
        <v>-2.5099999999999998</v>
      </c>
      <c r="L59">
        <v>-27.81</v>
      </c>
      <c r="M59">
        <v>-23.47</v>
      </c>
      <c r="N59">
        <v>-28.11</v>
      </c>
    </row>
    <row r="60" spans="1:14">
      <c r="A60" s="2" t="s">
        <v>88</v>
      </c>
      <c r="B60" t="s">
        <v>3885</v>
      </c>
      <c r="C60">
        <v>2.66</v>
      </c>
      <c r="D60">
        <v>7.9</v>
      </c>
      <c r="E60">
        <v>-12.81</v>
      </c>
      <c r="F60">
        <v>9.4499999999999993</v>
      </c>
      <c r="G60">
        <v>-8.6199999999999992</v>
      </c>
      <c r="H60">
        <v>-3.01</v>
      </c>
      <c r="I60">
        <v>28.26</v>
      </c>
      <c r="J60">
        <v>9.02</v>
      </c>
      <c r="K60">
        <v>-2.4700000000000002</v>
      </c>
      <c r="L60">
        <v>3.6</v>
      </c>
      <c r="M60">
        <v>-14.62</v>
      </c>
      <c r="N60">
        <v>-7.64</v>
      </c>
    </row>
    <row r="61" spans="1:14">
      <c r="A61" s="2" t="s">
        <v>89</v>
      </c>
      <c r="B61" t="s">
        <v>3886</v>
      </c>
      <c r="C61">
        <v>-12.61</v>
      </c>
      <c r="D61">
        <v>0.1</v>
      </c>
      <c r="E61">
        <v>-2.86</v>
      </c>
      <c r="F61">
        <v>2.42</v>
      </c>
      <c r="G61">
        <v>9.15</v>
      </c>
      <c r="H61">
        <v>9.14</v>
      </c>
      <c r="I61">
        <v>-25.72</v>
      </c>
      <c r="J61">
        <v>-23.7</v>
      </c>
      <c r="K61">
        <v>-17.36</v>
      </c>
      <c r="L61">
        <v>-32</v>
      </c>
      <c r="M61">
        <v>-26.98</v>
      </c>
      <c r="N61">
        <v>-7.7</v>
      </c>
    </row>
    <row r="62" spans="1:14">
      <c r="A62" s="2" t="s">
        <v>90</v>
      </c>
      <c r="B62" t="s">
        <v>3887</v>
      </c>
      <c r="C62">
        <v>27.81</v>
      </c>
      <c r="D62">
        <v>-45.94</v>
      </c>
      <c r="E62">
        <v>30.13</v>
      </c>
      <c r="F62">
        <v>-6.18</v>
      </c>
      <c r="G62">
        <v>-5.88</v>
      </c>
      <c r="H62">
        <v>-7.28</v>
      </c>
      <c r="I62">
        <v>-79.55</v>
      </c>
      <c r="J62">
        <v>-90.99</v>
      </c>
      <c r="K62">
        <v>-87.57</v>
      </c>
      <c r="L62">
        <v>-88.74</v>
      </c>
      <c r="M62">
        <v>-88.85</v>
      </c>
      <c r="N62">
        <v>-82.03</v>
      </c>
    </row>
    <row r="63" spans="1:14">
      <c r="A63" s="2" t="s">
        <v>91</v>
      </c>
      <c r="B63" t="s">
        <v>3888</v>
      </c>
      <c r="C63">
        <v>-19.8</v>
      </c>
      <c r="D63">
        <v>23.97</v>
      </c>
      <c r="E63">
        <v>14.74</v>
      </c>
      <c r="F63">
        <v>-19.87</v>
      </c>
      <c r="G63">
        <v>22.39</v>
      </c>
      <c r="H63">
        <v>2.2999999999999998</v>
      </c>
      <c r="I63">
        <v>-22.29</v>
      </c>
      <c r="J63">
        <v>4.79</v>
      </c>
      <c r="K63">
        <v>-9.08</v>
      </c>
      <c r="L63">
        <v>-21.61</v>
      </c>
      <c r="M63">
        <v>-8.84</v>
      </c>
      <c r="N63">
        <v>5.9</v>
      </c>
    </row>
    <row r="64" spans="1:14">
      <c r="A64" s="2" t="s">
        <v>92</v>
      </c>
      <c r="B64" t="s">
        <v>3889</v>
      </c>
      <c r="C64">
        <v>-1.1399999999999999</v>
      </c>
      <c r="D64">
        <v>23.85</v>
      </c>
      <c r="E64">
        <v>-19.850000000000001</v>
      </c>
      <c r="F64">
        <v>17.43</v>
      </c>
      <c r="G64">
        <v>61.59</v>
      </c>
      <c r="H64">
        <v>-15.16</v>
      </c>
      <c r="I64">
        <v>-10.39</v>
      </c>
      <c r="J64">
        <v>10.16</v>
      </c>
      <c r="K64">
        <v>6.52</v>
      </c>
      <c r="L64">
        <v>4.91</v>
      </c>
      <c r="M64">
        <v>27.63</v>
      </c>
      <c r="N64">
        <v>18.22</v>
      </c>
    </row>
    <row r="65" spans="1:14">
      <c r="A65" s="2" t="s">
        <v>93</v>
      </c>
      <c r="B65" t="s">
        <v>3890</v>
      </c>
      <c r="C65">
        <v>2.2799999999999998</v>
      </c>
      <c r="D65">
        <v>12.06</v>
      </c>
      <c r="E65">
        <v>4.2699999999999996</v>
      </c>
      <c r="F65">
        <v>-7.08</v>
      </c>
      <c r="G65">
        <v>10.54</v>
      </c>
      <c r="I65">
        <v>-13.15</v>
      </c>
      <c r="J65">
        <v>-1.73</v>
      </c>
      <c r="K65">
        <v>-0.4</v>
      </c>
      <c r="L65">
        <v>-5.88</v>
      </c>
      <c r="M65">
        <v>-4.93</v>
      </c>
    </row>
    <row r="66" spans="1:14">
      <c r="A66" s="2" t="s">
        <v>94</v>
      </c>
      <c r="B66" t="s">
        <v>3891</v>
      </c>
      <c r="C66">
        <v>26.12</v>
      </c>
      <c r="D66">
        <v>-17.670000000000002</v>
      </c>
      <c r="E66">
        <v>4.2</v>
      </c>
      <c r="F66">
        <v>-4.93</v>
      </c>
      <c r="G66">
        <v>0.97</v>
      </c>
      <c r="I66">
        <v>-3.17</v>
      </c>
      <c r="J66">
        <v>-17.760000000000002</v>
      </c>
      <c r="K66">
        <v>-8.61</v>
      </c>
      <c r="L66">
        <v>-21.17</v>
      </c>
      <c r="M66">
        <v>-34.01</v>
      </c>
    </row>
    <row r="67" spans="1:14">
      <c r="A67" s="2" t="s">
        <v>95</v>
      </c>
      <c r="B67" t="s">
        <v>3892</v>
      </c>
      <c r="C67">
        <v>-0.5</v>
      </c>
      <c r="D67">
        <v>-29.61</v>
      </c>
      <c r="E67">
        <v>90.57</v>
      </c>
      <c r="F67">
        <v>-17.82</v>
      </c>
      <c r="G67">
        <v>-6.1</v>
      </c>
      <c r="H67">
        <v>-0.27</v>
      </c>
      <c r="I67">
        <v>-40.5</v>
      </c>
      <c r="J67">
        <v>-52.73</v>
      </c>
      <c r="K67">
        <v>1.01</v>
      </c>
      <c r="L67">
        <v>-28.55</v>
      </c>
      <c r="M67">
        <v>-29.92</v>
      </c>
      <c r="N67">
        <v>18.55</v>
      </c>
    </row>
    <row r="68" spans="1:14">
      <c r="A68" s="2" t="s">
        <v>96</v>
      </c>
      <c r="B68" t="s">
        <v>3893</v>
      </c>
      <c r="C68">
        <v>-15.28</v>
      </c>
      <c r="D68">
        <v>-4.05</v>
      </c>
      <c r="E68">
        <v>7.62</v>
      </c>
      <c r="F68">
        <v>3.13</v>
      </c>
      <c r="G68">
        <v>0.42</v>
      </c>
      <c r="H68">
        <v>-6.06</v>
      </c>
      <c r="I68">
        <v>-35.43</v>
      </c>
      <c r="J68">
        <v>-32.6</v>
      </c>
      <c r="K68">
        <v>-17.64</v>
      </c>
      <c r="L68">
        <v>-16.22</v>
      </c>
      <c r="M68">
        <v>-20.69</v>
      </c>
      <c r="N68">
        <v>-26.21</v>
      </c>
    </row>
    <row r="69" spans="1:14">
      <c r="A69" s="2" t="s">
        <v>97</v>
      </c>
      <c r="B69" t="s">
        <v>3894</v>
      </c>
      <c r="C69">
        <v>-4.8600000000000003</v>
      </c>
      <c r="D69">
        <v>-9.61</v>
      </c>
      <c r="E69">
        <v>9.9700000000000006</v>
      </c>
      <c r="F69">
        <v>5.56</v>
      </c>
      <c r="G69">
        <v>15.58</v>
      </c>
      <c r="H69">
        <v>0.95</v>
      </c>
      <c r="I69">
        <v>-15.04</v>
      </c>
      <c r="J69">
        <v>-19.649999999999999</v>
      </c>
      <c r="K69">
        <v>-14.98</v>
      </c>
      <c r="L69">
        <v>-8.0399999999999991</v>
      </c>
      <c r="M69">
        <v>-1.27</v>
      </c>
      <c r="N69">
        <v>3.16</v>
      </c>
    </row>
    <row r="70" spans="1:14">
      <c r="A70" s="2" t="s">
        <v>98</v>
      </c>
      <c r="B70" t="s">
        <v>3895</v>
      </c>
      <c r="C70">
        <v>20.190000000000001</v>
      </c>
      <c r="D70">
        <v>-2.59</v>
      </c>
      <c r="E70">
        <v>18.79</v>
      </c>
      <c r="F70">
        <v>3.78</v>
      </c>
      <c r="G70">
        <v>4.33</v>
      </c>
      <c r="H70">
        <v>-2.12</v>
      </c>
      <c r="I70">
        <v>21.72</v>
      </c>
      <c r="J70">
        <v>5.04</v>
      </c>
      <c r="K70">
        <v>32.61</v>
      </c>
      <c r="L70">
        <v>16.34</v>
      </c>
      <c r="M70">
        <v>7.22</v>
      </c>
      <c r="N70">
        <v>37.53</v>
      </c>
    </row>
    <row r="71" spans="1:14">
      <c r="A71" s="2" t="s">
        <v>99</v>
      </c>
      <c r="B71" t="s">
        <v>3896</v>
      </c>
      <c r="C71">
        <v>6.96</v>
      </c>
      <c r="D71">
        <v>46.14</v>
      </c>
      <c r="E71">
        <v>65.97</v>
      </c>
      <c r="F71">
        <v>-7.36</v>
      </c>
      <c r="G71">
        <v>-50.48</v>
      </c>
      <c r="H71">
        <v>-5.5</v>
      </c>
      <c r="I71">
        <v>-42.73</v>
      </c>
      <c r="J71">
        <v>30.92</v>
      </c>
      <c r="K71">
        <v>133.33000000000001</v>
      </c>
      <c r="L71">
        <v>100.44</v>
      </c>
      <c r="M71">
        <v>-39.54</v>
      </c>
      <c r="N71">
        <v>51.48</v>
      </c>
    </row>
    <row r="72" spans="1:14">
      <c r="A72" s="2" t="s">
        <v>100</v>
      </c>
      <c r="B72" t="s">
        <v>3897</v>
      </c>
      <c r="C72">
        <v>-5.56</v>
      </c>
      <c r="D72">
        <v>5.88</v>
      </c>
      <c r="E72">
        <v>3333.33</v>
      </c>
      <c r="F72">
        <v>77.02</v>
      </c>
      <c r="G72">
        <v>-98.45</v>
      </c>
      <c r="H72">
        <v>3505.88</v>
      </c>
      <c r="I72">
        <v>-97.61</v>
      </c>
      <c r="J72">
        <v>-79.78</v>
      </c>
      <c r="K72">
        <v>-57.64</v>
      </c>
      <c r="L72">
        <v>105.25</v>
      </c>
      <c r="M72">
        <v>-98.39</v>
      </c>
      <c r="N72">
        <v>-9.7200000000000006</v>
      </c>
    </row>
    <row r="73" spans="1:14">
      <c r="A73" s="2" t="s">
        <v>101</v>
      </c>
      <c r="B73" t="s">
        <v>3898</v>
      </c>
      <c r="C73">
        <v>46.68</v>
      </c>
      <c r="D73">
        <v>-7.96</v>
      </c>
      <c r="E73">
        <v>-3.95</v>
      </c>
      <c r="F73">
        <v>9.85</v>
      </c>
      <c r="G73">
        <v>25.23</v>
      </c>
      <c r="H73">
        <v>-12.96</v>
      </c>
      <c r="I73">
        <v>1</v>
      </c>
      <c r="J73">
        <v>12.08</v>
      </c>
      <c r="K73">
        <v>13.66</v>
      </c>
      <c r="L73">
        <v>20.83</v>
      </c>
      <c r="M73">
        <v>3.27</v>
      </c>
      <c r="N73">
        <v>51.24</v>
      </c>
    </row>
    <row r="74" spans="1:14">
      <c r="A74" s="2" t="s">
        <v>102</v>
      </c>
      <c r="B74" t="s">
        <v>3899</v>
      </c>
      <c r="C74">
        <v>-16.62</v>
      </c>
      <c r="D74">
        <v>220.13</v>
      </c>
      <c r="E74">
        <v>-59.62</v>
      </c>
      <c r="F74">
        <v>-22.27</v>
      </c>
      <c r="G74">
        <v>72.290000000000006</v>
      </c>
      <c r="H74">
        <v>-24.96</v>
      </c>
      <c r="I74">
        <v>-56.83</v>
      </c>
      <c r="J74">
        <v>170.99</v>
      </c>
      <c r="K74">
        <v>18.260000000000002</v>
      </c>
      <c r="L74">
        <v>-23.09</v>
      </c>
      <c r="M74">
        <v>52.22</v>
      </c>
      <c r="N74">
        <v>-12.81</v>
      </c>
    </row>
    <row r="75" spans="1:14">
      <c r="A75" s="2" t="s">
        <v>103</v>
      </c>
      <c r="B75" t="s">
        <v>3900</v>
      </c>
      <c r="C75">
        <v>8.25</v>
      </c>
      <c r="D75">
        <v>-21.02</v>
      </c>
      <c r="E75">
        <v>1.78</v>
      </c>
      <c r="F75">
        <v>-3.84</v>
      </c>
      <c r="G75">
        <v>12.93</v>
      </c>
      <c r="I75">
        <v>8.5299999999999994</v>
      </c>
      <c r="J75">
        <v>2.89</v>
      </c>
      <c r="K75">
        <v>8.52</v>
      </c>
      <c r="L75">
        <v>5.22</v>
      </c>
      <c r="M75">
        <v>-2.5299999999999998</v>
      </c>
    </row>
    <row r="76" spans="1:14">
      <c r="A76" s="2" t="s">
        <v>104</v>
      </c>
      <c r="B76" t="s">
        <v>3901</v>
      </c>
      <c r="C76">
        <v>-0.13</v>
      </c>
      <c r="D76">
        <v>-1.21</v>
      </c>
      <c r="E76">
        <v>-11.59</v>
      </c>
      <c r="F76">
        <v>1.2</v>
      </c>
      <c r="G76">
        <v>17.91</v>
      </c>
      <c r="H76">
        <v>6.64</v>
      </c>
      <c r="I76">
        <v>-10.54</v>
      </c>
      <c r="J76">
        <v>-8.86</v>
      </c>
      <c r="K76">
        <v>-15.64</v>
      </c>
      <c r="L76">
        <v>-10.18</v>
      </c>
      <c r="M76">
        <v>-6.08</v>
      </c>
      <c r="N76">
        <v>5.09</v>
      </c>
    </row>
    <row r="77" spans="1:14">
      <c r="A77" s="2" t="s">
        <v>105</v>
      </c>
      <c r="B77" t="s">
        <v>3902</v>
      </c>
      <c r="C77">
        <v>0.2</v>
      </c>
      <c r="D77">
        <v>-0.2</v>
      </c>
      <c r="E77">
        <v>0.2</v>
      </c>
      <c r="F77">
        <v>-0.2</v>
      </c>
      <c r="G77">
        <v>0.2</v>
      </c>
      <c r="H77">
        <v>-0.2</v>
      </c>
      <c r="I77">
        <v>-49.65</v>
      </c>
      <c r="J77">
        <v>-49.7</v>
      </c>
      <c r="K77">
        <v>-50.3</v>
      </c>
      <c r="L77">
        <v>0</v>
      </c>
      <c r="M77">
        <v>0.2</v>
      </c>
      <c r="N77">
        <v>0</v>
      </c>
    </row>
    <row r="78" spans="1:14">
      <c r="A78" s="2" t="s">
        <v>106</v>
      </c>
      <c r="B78" t="s">
        <v>3903</v>
      </c>
      <c r="C78">
        <v>-69.489999999999995</v>
      </c>
      <c r="D78">
        <v>-73.95</v>
      </c>
      <c r="E78">
        <v>-69.37</v>
      </c>
      <c r="F78">
        <v>-20.25</v>
      </c>
      <c r="G78">
        <v>369.92</v>
      </c>
      <c r="H78">
        <v>-82.59</v>
      </c>
      <c r="I78">
        <v>-66.45</v>
      </c>
      <c r="J78">
        <v>-92.32</v>
      </c>
      <c r="K78">
        <v>-93.41</v>
      </c>
      <c r="L78">
        <v>-82.86</v>
      </c>
      <c r="M78">
        <v>12.74</v>
      </c>
      <c r="N78">
        <v>-83.95</v>
      </c>
    </row>
    <row r="79" spans="1:14">
      <c r="A79" s="2" t="s">
        <v>107</v>
      </c>
      <c r="B79" t="s">
        <v>3904</v>
      </c>
      <c r="C79">
        <v>-57.5</v>
      </c>
      <c r="D79">
        <v>3.02</v>
      </c>
      <c r="E79">
        <v>13.25</v>
      </c>
      <c r="F79">
        <v>3.36</v>
      </c>
      <c r="G79">
        <v>-17.46</v>
      </c>
      <c r="H79">
        <v>-3.81</v>
      </c>
      <c r="I79">
        <v>2.2999999999999998</v>
      </c>
      <c r="J79">
        <v>7.78</v>
      </c>
      <c r="K79">
        <v>26.32</v>
      </c>
      <c r="L79">
        <v>32.08</v>
      </c>
      <c r="M79">
        <v>-13.64</v>
      </c>
      <c r="N79">
        <v>19.920000000000002</v>
      </c>
    </row>
    <row r="80" spans="1:14">
      <c r="A80" s="2" t="s">
        <v>108</v>
      </c>
      <c r="B80" t="s">
        <v>3905</v>
      </c>
      <c r="D80">
        <v>1883.44</v>
      </c>
      <c r="E80">
        <v>2528.3200000000002</v>
      </c>
      <c r="F80">
        <v>-10.14</v>
      </c>
      <c r="G80">
        <v>-40.94</v>
      </c>
      <c r="H80">
        <v>-33.92</v>
      </c>
      <c r="J80">
        <v>-98.33</v>
      </c>
    </row>
    <row r="81" spans="1:14">
      <c r="A81" s="2" t="s">
        <v>109</v>
      </c>
      <c r="B81" t="s">
        <v>3906</v>
      </c>
      <c r="C81">
        <v>-18.73</v>
      </c>
      <c r="D81">
        <v>-93.43</v>
      </c>
      <c r="E81">
        <v>-42.92</v>
      </c>
      <c r="F81">
        <v>293.42</v>
      </c>
      <c r="G81">
        <v>1410.39</v>
      </c>
      <c r="I81">
        <v>2455.19</v>
      </c>
      <c r="J81">
        <v>67</v>
      </c>
      <c r="K81">
        <v>-12.94</v>
      </c>
      <c r="L81">
        <v>274.67</v>
      </c>
      <c r="M81">
        <v>2681.3</v>
      </c>
    </row>
    <row r="82" spans="1:14">
      <c r="A82" s="2" t="s">
        <v>110</v>
      </c>
      <c r="B82" t="s">
        <v>3907</v>
      </c>
      <c r="C82">
        <v>-1.91</v>
      </c>
      <c r="D82">
        <v>-5.51</v>
      </c>
      <c r="E82">
        <v>8.93</v>
      </c>
      <c r="F82">
        <v>-12.18</v>
      </c>
      <c r="G82">
        <v>16.690000000000001</v>
      </c>
      <c r="H82">
        <v>-4.63</v>
      </c>
      <c r="I82">
        <v>-33.14</v>
      </c>
      <c r="J82">
        <v>-22.39</v>
      </c>
      <c r="K82">
        <v>-27.24</v>
      </c>
      <c r="L82">
        <v>-19.27</v>
      </c>
      <c r="M82">
        <v>-5.19</v>
      </c>
      <c r="N82">
        <v>-16.059999999999999</v>
      </c>
    </row>
    <row r="83" spans="1:14">
      <c r="A83" s="2" t="s">
        <v>111</v>
      </c>
      <c r="B83" t="s">
        <v>3908</v>
      </c>
      <c r="C83">
        <v>1.06</v>
      </c>
      <c r="D83">
        <v>-8.85</v>
      </c>
      <c r="E83">
        <v>11.45</v>
      </c>
      <c r="F83">
        <v>-1.94</v>
      </c>
      <c r="G83">
        <v>1.99</v>
      </c>
      <c r="H83">
        <v>-7.13</v>
      </c>
      <c r="I83">
        <v>-36.700000000000003</v>
      </c>
      <c r="J83">
        <v>-6.62</v>
      </c>
      <c r="K83">
        <v>-28.3</v>
      </c>
      <c r="L83">
        <v>-11.35</v>
      </c>
      <c r="M83">
        <v>-0.65</v>
      </c>
      <c r="N83">
        <v>-12.82</v>
      </c>
    </row>
    <row r="84" spans="1:14">
      <c r="A84" s="2" t="s">
        <v>112</v>
      </c>
      <c r="B84" t="s">
        <v>3909</v>
      </c>
      <c r="C84">
        <v>-33.75</v>
      </c>
      <c r="D84">
        <v>-5.59</v>
      </c>
      <c r="E84">
        <v>16.690000000000001</v>
      </c>
      <c r="F84">
        <v>12.95</v>
      </c>
      <c r="G84">
        <v>27.79</v>
      </c>
      <c r="H84">
        <v>-43.71</v>
      </c>
      <c r="I84">
        <v>-79.400000000000006</v>
      </c>
      <c r="J84">
        <v>-79.540000000000006</v>
      </c>
      <c r="K84">
        <v>-79.25</v>
      </c>
      <c r="L84">
        <v>-37.33</v>
      </c>
      <c r="M84">
        <v>50.3</v>
      </c>
      <c r="N84">
        <v>-57.4</v>
      </c>
    </row>
    <row r="85" spans="1:14">
      <c r="A85" s="2" t="s">
        <v>113</v>
      </c>
      <c r="B85" t="s">
        <v>3910</v>
      </c>
      <c r="C85">
        <v>-5.6</v>
      </c>
      <c r="D85">
        <v>4.3099999999999996</v>
      </c>
      <c r="E85">
        <v>-6.77</v>
      </c>
      <c r="F85">
        <v>-0.44</v>
      </c>
      <c r="G85">
        <v>0.85</v>
      </c>
      <c r="H85">
        <v>-0.41</v>
      </c>
      <c r="I85">
        <v>1.23</v>
      </c>
      <c r="J85">
        <v>-2.7</v>
      </c>
      <c r="K85">
        <v>-11.84</v>
      </c>
      <c r="L85">
        <v>-7.49</v>
      </c>
      <c r="M85">
        <v>-7.57</v>
      </c>
      <c r="N85">
        <v>-9.83</v>
      </c>
    </row>
    <row r="86" spans="1:14">
      <c r="A86" s="2" t="s">
        <v>114</v>
      </c>
      <c r="B86" t="s">
        <v>3911</v>
      </c>
      <c r="C86">
        <v>-7.87</v>
      </c>
      <c r="D86">
        <v>21.57</v>
      </c>
      <c r="E86">
        <v>5.28</v>
      </c>
      <c r="F86">
        <v>-14.8</v>
      </c>
      <c r="G86">
        <v>-3.86</v>
      </c>
      <c r="H86">
        <v>-3.24</v>
      </c>
      <c r="I86">
        <v>-25.03</v>
      </c>
      <c r="J86">
        <v>-11.11</v>
      </c>
      <c r="K86">
        <v>-12.58</v>
      </c>
      <c r="L86">
        <v>-15.1</v>
      </c>
      <c r="M86">
        <v>-25.19</v>
      </c>
      <c r="N86">
        <v>-16.53</v>
      </c>
    </row>
    <row r="87" spans="1:14">
      <c r="A87" s="2" t="s">
        <v>115</v>
      </c>
      <c r="B87" t="s">
        <v>3912</v>
      </c>
      <c r="C87">
        <v>5.27</v>
      </c>
      <c r="D87">
        <v>-19.82</v>
      </c>
      <c r="E87">
        <v>52.61</v>
      </c>
      <c r="F87">
        <v>-39.92</v>
      </c>
      <c r="G87">
        <v>38.83</v>
      </c>
      <c r="H87">
        <v>12.67</v>
      </c>
      <c r="I87">
        <v>-33.86</v>
      </c>
      <c r="J87">
        <v>-32.57</v>
      </c>
      <c r="K87">
        <v>12.08</v>
      </c>
      <c r="L87">
        <v>-44.44</v>
      </c>
      <c r="M87">
        <v>19.5</v>
      </c>
      <c r="N87">
        <v>-7.73</v>
      </c>
    </row>
    <row r="88" spans="1:14">
      <c r="A88" s="2" t="s">
        <v>116</v>
      </c>
      <c r="B88" t="s">
        <v>3913</v>
      </c>
      <c r="C88">
        <v>37.200000000000003</v>
      </c>
      <c r="D88">
        <v>-90.69</v>
      </c>
      <c r="E88">
        <v>-18.79</v>
      </c>
      <c r="F88">
        <v>52.56</v>
      </c>
      <c r="G88">
        <v>-37.65</v>
      </c>
      <c r="I88">
        <v>-80.55</v>
      </c>
      <c r="J88">
        <v>-97.07</v>
      </c>
      <c r="K88">
        <v>-98.06</v>
      </c>
      <c r="L88">
        <v>24.32</v>
      </c>
      <c r="M88">
        <v>-93.61</v>
      </c>
    </row>
    <row r="89" spans="1:14">
      <c r="A89" s="2" t="s">
        <v>117</v>
      </c>
      <c r="B89" t="s">
        <v>3914</v>
      </c>
      <c r="C89">
        <v>213.1</v>
      </c>
      <c r="D89">
        <v>-16.690000000000001</v>
      </c>
      <c r="E89">
        <v>-31.05</v>
      </c>
      <c r="F89">
        <v>69.94</v>
      </c>
      <c r="G89">
        <v>-37.29</v>
      </c>
      <c r="H89">
        <v>30.65</v>
      </c>
      <c r="I89">
        <v>3.88</v>
      </c>
      <c r="J89">
        <v>36.33</v>
      </c>
      <c r="K89">
        <v>-56.24</v>
      </c>
      <c r="L89">
        <v>29.28</v>
      </c>
      <c r="M89">
        <v>-34.340000000000003</v>
      </c>
      <c r="N89">
        <v>4.57</v>
      </c>
    </row>
    <row r="90" spans="1:14">
      <c r="A90" s="2" t="s">
        <v>118</v>
      </c>
      <c r="B90" t="s">
        <v>3915</v>
      </c>
      <c r="C90">
        <v>-0.41</v>
      </c>
      <c r="D90">
        <v>-14.08</v>
      </c>
      <c r="E90">
        <v>7.23</v>
      </c>
      <c r="F90">
        <v>84.75</v>
      </c>
      <c r="G90">
        <v>79.13</v>
      </c>
      <c r="H90">
        <v>-52.68</v>
      </c>
      <c r="I90">
        <v>-28.66</v>
      </c>
      <c r="J90">
        <v>-36.950000000000003</v>
      </c>
      <c r="K90">
        <v>-47.03</v>
      </c>
      <c r="L90">
        <v>40.04</v>
      </c>
      <c r="M90">
        <v>140.86000000000001</v>
      </c>
      <c r="N90">
        <v>10.25</v>
      </c>
    </row>
    <row r="91" spans="1:14">
      <c r="A91" s="2" t="s">
        <v>119</v>
      </c>
      <c r="B91" t="s">
        <v>3916</v>
      </c>
      <c r="C91">
        <v>-14.73</v>
      </c>
      <c r="D91">
        <v>8.9</v>
      </c>
      <c r="E91">
        <v>-9.3699999999999992</v>
      </c>
      <c r="F91">
        <v>20.07</v>
      </c>
      <c r="G91">
        <v>-5.45</v>
      </c>
      <c r="H91">
        <v>2.79</v>
      </c>
      <c r="I91">
        <v>-9.0299999999999994</v>
      </c>
      <c r="J91">
        <v>16.690000000000001</v>
      </c>
      <c r="K91">
        <v>10.4</v>
      </c>
      <c r="L91">
        <v>-7.75</v>
      </c>
      <c r="M91">
        <v>24.74</v>
      </c>
      <c r="N91">
        <v>20.100000000000001</v>
      </c>
    </row>
    <row r="92" spans="1:14">
      <c r="A92" s="2" t="s">
        <v>120</v>
      </c>
      <c r="B92" t="s">
        <v>3917</v>
      </c>
      <c r="C92">
        <v>-12.42</v>
      </c>
      <c r="D92">
        <v>14.94</v>
      </c>
      <c r="E92">
        <v>-13.25</v>
      </c>
      <c r="F92">
        <v>-3.82</v>
      </c>
      <c r="G92">
        <v>0.41</v>
      </c>
      <c r="H92">
        <v>-9.7799999999999994</v>
      </c>
      <c r="I92">
        <v>-30.05</v>
      </c>
      <c r="J92">
        <v>-21.11</v>
      </c>
      <c r="K92">
        <v>-27.41</v>
      </c>
      <c r="L92">
        <v>-34.119999999999997</v>
      </c>
      <c r="M92">
        <v>-35.68</v>
      </c>
      <c r="N92">
        <v>-12.79</v>
      </c>
    </row>
    <row r="93" spans="1:14">
      <c r="A93" s="2" t="s">
        <v>121</v>
      </c>
      <c r="B93" t="s">
        <v>3918</v>
      </c>
      <c r="C93">
        <v>-15.32</v>
      </c>
      <c r="D93">
        <v>0</v>
      </c>
      <c r="E93">
        <v>-16.190000000000001</v>
      </c>
      <c r="F93">
        <v>107.95</v>
      </c>
      <c r="G93">
        <v>-31.15</v>
      </c>
      <c r="H93">
        <v>0</v>
      </c>
      <c r="I93">
        <v>-8.6999999999999993</v>
      </c>
      <c r="J93">
        <v>-7.89</v>
      </c>
      <c r="K93">
        <v>-23.48</v>
      </c>
      <c r="L93">
        <v>60.53</v>
      </c>
      <c r="M93">
        <v>9.57</v>
      </c>
      <c r="N93">
        <v>1.61</v>
      </c>
    </row>
    <row r="94" spans="1:14">
      <c r="A94" s="2" t="s">
        <v>122</v>
      </c>
      <c r="B94" t="s">
        <v>3919</v>
      </c>
      <c r="C94">
        <v>-6.65</v>
      </c>
      <c r="D94">
        <v>-1.1100000000000001</v>
      </c>
      <c r="E94">
        <v>-2.1</v>
      </c>
      <c r="F94">
        <v>-7.42</v>
      </c>
      <c r="G94">
        <v>29.29</v>
      </c>
      <c r="H94">
        <v>-20.9</v>
      </c>
      <c r="I94">
        <v>-20.3</v>
      </c>
      <c r="J94">
        <v>-15.62</v>
      </c>
      <c r="K94">
        <v>0.93</v>
      </c>
      <c r="L94">
        <v>-11.35</v>
      </c>
      <c r="M94">
        <v>-13.08</v>
      </c>
      <c r="N94">
        <v>-7.67</v>
      </c>
    </row>
    <row r="95" spans="1:14">
      <c r="A95" s="2" t="s">
        <v>123</v>
      </c>
      <c r="B95" t="s">
        <v>3920</v>
      </c>
      <c r="C95">
        <v>-6.01</v>
      </c>
      <c r="D95">
        <v>-7.03</v>
      </c>
      <c r="E95">
        <v>-6.43</v>
      </c>
      <c r="F95">
        <v>-0.7</v>
      </c>
      <c r="G95">
        <v>-0.33</v>
      </c>
      <c r="H95">
        <v>3.6</v>
      </c>
      <c r="I95">
        <v>-43.99</v>
      </c>
      <c r="J95">
        <v>-39.19</v>
      </c>
      <c r="K95">
        <v>-42</v>
      </c>
      <c r="L95">
        <v>-42.26</v>
      </c>
      <c r="M95">
        <v>-42.89</v>
      </c>
      <c r="N95">
        <v>-23.76</v>
      </c>
    </row>
    <row r="96" spans="1:14">
      <c r="A96" s="2" t="s">
        <v>124</v>
      </c>
      <c r="B96" t="s">
        <v>3921</v>
      </c>
      <c r="C96">
        <v>-69.650000000000006</v>
      </c>
      <c r="D96">
        <v>-50.42</v>
      </c>
      <c r="E96">
        <v>213.79</v>
      </c>
      <c r="F96">
        <v>5.08</v>
      </c>
      <c r="G96">
        <v>81.290000000000006</v>
      </c>
      <c r="H96">
        <v>-49.49</v>
      </c>
      <c r="I96">
        <v>-79.38</v>
      </c>
      <c r="J96">
        <v>-82.79</v>
      </c>
      <c r="K96">
        <v>8.6199999999999992</v>
      </c>
      <c r="L96">
        <v>215.7</v>
      </c>
      <c r="M96">
        <v>-24.95</v>
      </c>
      <c r="N96">
        <v>50.81</v>
      </c>
    </row>
    <row r="97" spans="1:14">
      <c r="A97" s="2" t="s">
        <v>125</v>
      </c>
      <c r="B97" t="s">
        <v>3922</v>
      </c>
      <c r="C97">
        <v>-11.82</v>
      </c>
      <c r="D97">
        <v>1.65</v>
      </c>
      <c r="E97">
        <v>2.4500000000000002</v>
      </c>
      <c r="F97">
        <v>-10.45</v>
      </c>
      <c r="G97">
        <v>5.93</v>
      </c>
      <c r="H97">
        <v>3.06</v>
      </c>
      <c r="I97">
        <v>-36.75</v>
      </c>
      <c r="J97">
        <v>-27.57</v>
      </c>
      <c r="K97">
        <v>-12.58</v>
      </c>
      <c r="L97">
        <v>-27.43</v>
      </c>
      <c r="M97">
        <v>-29.9</v>
      </c>
      <c r="N97">
        <v>-23.39</v>
      </c>
    </row>
    <row r="98" spans="1:14">
      <c r="A98" s="2" t="s">
        <v>126</v>
      </c>
      <c r="B98" t="s">
        <v>3923</v>
      </c>
      <c r="C98">
        <v>-0.26</v>
      </c>
      <c r="D98">
        <v>13.2</v>
      </c>
      <c r="E98">
        <v>1.82</v>
      </c>
      <c r="F98">
        <v>-3.19</v>
      </c>
      <c r="G98">
        <v>-25.72</v>
      </c>
      <c r="H98">
        <v>10.81</v>
      </c>
      <c r="I98">
        <v>0.09</v>
      </c>
      <c r="J98">
        <v>-0.3</v>
      </c>
      <c r="K98">
        <v>1.3</v>
      </c>
      <c r="L98">
        <v>-10.67</v>
      </c>
      <c r="M98">
        <v>-43.86</v>
      </c>
      <c r="N98">
        <v>-15.86</v>
      </c>
    </row>
    <row r="99" spans="1:14">
      <c r="A99" s="2" t="s">
        <v>127</v>
      </c>
      <c r="B99" t="s">
        <v>3924</v>
      </c>
      <c r="C99">
        <v>31.77</v>
      </c>
      <c r="D99">
        <v>3.04</v>
      </c>
      <c r="E99">
        <v>-8.2100000000000009</v>
      </c>
      <c r="F99">
        <v>8.3000000000000007</v>
      </c>
      <c r="G99">
        <v>18.86</v>
      </c>
      <c r="H99">
        <v>-14.15</v>
      </c>
      <c r="I99">
        <v>-13.35</v>
      </c>
      <c r="J99">
        <v>-12.13</v>
      </c>
      <c r="K99">
        <v>-24.06</v>
      </c>
      <c r="L99">
        <v>-12.4</v>
      </c>
      <c r="M99">
        <v>-16.940000000000001</v>
      </c>
      <c r="N99">
        <v>-3.06</v>
      </c>
    </row>
    <row r="100" spans="1:14">
      <c r="A100" s="2" t="s">
        <v>128</v>
      </c>
      <c r="B100" t="s">
        <v>3925</v>
      </c>
      <c r="C100">
        <v>-40.729999999999997</v>
      </c>
      <c r="D100">
        <v>26.82</v>
      </c>
      <c r="E100">
        <v>-4.0199999999999996</v>
      </c>
      <c r="F100">
        <v>-14.34</v>
      </c>
      <c r="G100">
        <v>22.53</v>
      </c>
      <c r="H100">
        <v>39.909999999999997</v>
      </c>
      <c r="I100">
        <v>-45.6</v>
      </c>
      <c r="J100">
        <v>-0.19</v>
      </c>
      <c r="K100">
        <v>44.51</v>
      </c>
      <c r="L100">
        <v>-45.21</v>
      </c>
      <c r="M100">
        <v>-94.89</v>
      </c>
      <c r="N100">
        <v>-94.01</v>
      </c>
    </row>
    <row r="101" spans="1:14">
      <c r="A101" s="2" t="s">
        <v>129</v>
      </c>
      <c r="B101" t="s">
        <v>3926</v>
      </c>
      <c r="C101">
        <v>5.69</v>
      </c>
      <c r="D101">
        <v>15.29</v>
      </c>
      <c r="E101">
        <v>-2.0099999999999998</v>
      </c>
      <c r="F101">
        <v>-15.99</v>
      </c>
      <c r="G101">
        <v>20.25</v>
      </c>
      <c r="H101">
        <v>-5.52</v>
      </c>
      <c r="I101">
        <v>-12.37</v>
      </c>
      <c r="J101">
        <v>-2.73</v>
      </c>
      <c r="K101">
        <v>-6.72</v>
      </c>
      <c r="L101">
        <v>-11.86</v>
      </c>
      <c r="M101">
        <v>-3.19</v>
      </c>
      <c r="N101">
        <v>2.4700000000000002</v>
      </c>
    </row>
    <row r="102" spans="1:14">
      <c r="A102" s="2" t="s">
        <v>130</v>
      </c>
      <c r="B102" t="s">
        <v>3927</v>
      </c>
      <c r="C102">
        <v>-64.680000000000007</v>
      </c>
      <c r="D102">
        <v>101.14</v>
      </c>
      <c r="E102">
        <v>-2.5299999999999998</v>
      </c>
      <c r="F102">
        <v>-39.39</v>
      </c>
      <c r="G102">
        <v>75.459999999999994</v>
      </c>
      <c r="H102">
        <v>38.68</v>
      </c>
      <c r="I102">
        <v>-64.14</v>
      </c>
      <c r="J102">
        <v>-24.17</v>
      </c>
      <c r="K102">
        <v>-17.66</v>
      </c>
      <c r="L102">
        <v>-62.39</v>
      </c>
      <c r="M102">
        <v>-16.690000000000001</v>
      </c>
      <c r="N102">
        <v>2.0299999999999998</v>
      </c>
    </row>
    <row r="103" spans="1:14">
      <c r="A103" s="2" t="s">
        <v>131</v>
      </c>
      <c r="B103" t="s">
        <v>3928</v>
      </c>
      <c r="C103">
        <v>3.82</v>
      </c>
      <c r="D103">
        <v>3.72</v>
      </c>
      <c r="E103">
        <v>-2.9</v>
      </c>
      <c r="F103">
        <v>9.84</v>
      </c>
      <c r="G103">
        <v>9.08</v>
      </c>
      <c r="H103">
        <v>-18.95</v>
      </c>
      <c r="I103">
        <v>-29.42</v>
      </c>
      <c r="J103">
        <v>-23.63</v>
      </c>
      <c r="K103">
        <v>-37.799999999999997</v>
      </c>
      <c r="L103">
        <v>-18.239999999999998</v>
      </c>
      <c r="M103">
        <v>-13.82</v>
      </c>
      <c r="N103">
        <v>-12.83</v>
      </c>
    </row>
    <row r="104" spans="1:14">
      <c r="A104" s="2" t="s">
        <v>132</v>
      </c>
      <c r="B104" t="s">
        <v>3929</v>
      </c>
      <c r="C104">
        <v>-0.01</v>
      </c>
      <c r="D104">
        <v>-33.17</v>
      </c>
      <c r="E104">
        <v>-9.93</v>
      </c>
      <c r="F104">
        <v>53.3</v>
      </c>
      <c r="G104">
        <v>-13.33</v>
      </c>
      <c r="H104">
        <v>-21.87</v>
      </c>
      <c r="I104">
        <v>26.14</v>
      </c>
      <c r="J104">
        <v>-31.16</v>
      </c>
      <c r="K104">
        <v>-25.14</v>
      </c>
      <c r="L104">
        <v>37.270000000000003</v>
      </c>
      <c r="M104">
        <v>-13.31</v>
      </c>
      <c r="N104">
        <v>-7.02</v>
      </c>
    </row>
    <row r="105" spans="1:14">
      <c r="A105" s="2" t="s">
        <v>133</v>
      </c>
      <c r="B105" t="s">
        <v>3930</v>
      </c>
      <c r="C105">
        <v>-33.61</v>
      </c>
      <c r="D105">
        <v>49.52</v>
      </c>
      <c r="E105">
        <v>-9.91</v>
      </c>
      <c r="F105">
        <v>3.54</v>
      </c>
      <c r="G105">
        <v>-10.07</v>
      </c>
      <c r="H105">
        <v>25.13</v>
      </c>
      <c r="I105">
        <v>-46.04</v>
      </c>
      <c r="J105">
        <v>-11.82</v>
      </c>
      <c r="K105">
        <v>-30.04</v>
      </c>
      <c r="L105">
        <v>-6.57</v>
      </c>
      <c r="M105">
        <v>-20.440000000000001</v>
      </c>
      <c r="N105">
        <v>34.53</v>
      </c>
    </row>
    <row r="106" spans="1:14">
      <c r="A106" s="2" t="s">
        <v>134</v>
      </c>
      <c r="B106" t="s">
        <v>3931</v>
      </c>
      <c r="C106">
        <v>1.55</v>
      </c>
      <c r="D106">
        <v>-4.32</v>
      </c>
      <c r="E106">
        <v>11.52</v>
      </c>
      <c r="F106">
        <v>-9.51</v>
      </c>
      <c r="G106">
        <v>47.63</v>
      </c>
      <c r="H106">
        <v>-15.21</v>
      </c>
      <c r="I106">
        <v>-14.25</v>
      </c>
      <c r="J106">
        <v>-13.27</v>
      </c>
      <c r="K106">
        <v>-10.050000000000001</v>
      </c>
      <c r="L106">
        <v>-12.1</v>
      </c>
      <c r="M106">
        <v>16.2</v>
      </c>
      <c r="N106">
        <v>8.7899999999999991</v>
      </c>
    </row>
    <row r="107" spans="1:14">
      <c r="A107" s="2" t="s">
        <v>135</v>
      </c>
      <c r="B107" t="s">
        <v>3932</v>
      </c>
      <c r="C107">
        <v>-7.07</v>
      </c>
      <c r="D107">
        <v>22.78</v>
      </c>
      <c r="E107">
        <v>-18.489999999999998</v>
      </c>
      <c r="F107">
        <v>-35.93</v>
      </c>
      <c r="G107">
        <v>20.7</v>
      </c>
      <c r="H107">
        <v>-5.2</v>
      </c>
      <c r="I107">
        <v>-43.02</v>
      </c>
      <c r="J107">
        <v>-28.84</v>
      </c>
      <c r="K107">
        <v>-52.72</v>
      </c>
      <c r="L107">
        <v>-56.13</v>
      </c>
      <c r="M107">
        <v>-55.1</v>
      </c>
      <c r="N107">
        <v>-42.27</v>
      </c>
    </row>
    <row r="108" spans="1:14">
      <c r="A108" s="2" t="s">
        <v>136</v>
      </c>
      <c r="B108" t="s">
        <v>3933</v>
      </c>
      <c r="C108">
        <v>7.2</v>
      </c>
      <c r="D108">
        <v>-14.45</v>
      </c>
      <c r="E108">
        <v>3.69</v>
      </c>
      <c r="F108">
        <v>2.35</v>
      </c>
      <c r="G108">
        <v>6.64</v>
      </c>
      <c r="I108">
        <v>109.54</v>
      </c>
      <c r="J108">
        <v>39</v>
      </c>
      <c r="K108">
        <v>88.09</v>
      </c>
      <c r="L108">
        <v>23.81</v>
      </c>
      <c r="M108">
        <v>15.11</v>
      </c>
    </row>
    <row r="109" spans="1:14">
      <c r="A109" s="2" t="s">
        <v>137</v>
      </c>
      <c r="B109" t="s">
        <v>3934</v>
      </c>
      <c r="C109">
        <v>-9.61</v>
      </c>
      <c r="D109">
        <v>-41.45</v>
      </c>
      <c r="E109">
        <v>-4.04</v>
      </c>
      <c r="F109">
        <v>57.18</v>
      </c>
      <c r="G109">
        <v>-0.25</v>
      </c>
      <c r="H109">
        <v>48.17</v>
      </c>
      <c r="I109">
        <v>-21.08</v>
      </c>
      <c r="J109">
        <v>-33.76</v>
      </c>
      <c r="K109">
        <v>-26.45</v>
      </c>
      <c r="L109">
        <v>1.48</v>
      </c>
      <c r="M109">
        <v>-41.22</v>
      </c>
      <c r="N109">
        <v>-11.65</v>
      </c>
    </row>
    <row r="110" spans="1:14">
      <c r="A110" s="2" t="s">
        <v>138</v>
      </c>
      <c r="B110" t="s">
        <v>3935</v>
      </c>
      <c r="C110">
        <v>-4.3</v>
      </c>
      <c r="D110">
        <v>5.67</v>
      </c>
      <c r="E110">
        <v>-5.36</v>
      </c>
      <c r="F110">
        <v>6.59</v>
      </c>
      <c r="G110">
        <v>4.99</v>
      </c>
      <c r="H110">
        <v>-8.84</v>
      </c>
      <c r="I110">
        <v>-15.57</v>
      </c>
      <c r="J110">
        <v>-3</v>
      </c>
      <c r="K110">
        <v>-21.13</v>
      </c>
      <c r="L110">
        <v>-9.2200000000000006</v>
      </c>
      <c r="M110">
        <v>-12.58</v>
      </c>
      <c r="N110">
        <v>9.43</v>
      </c>
    </row>
    <row r="111" spans="1:14">
      <c r="A111" s="2" t="s">
        <v>139</v>
      </c>
      <c r="B111" t="s">
        <v>3936</v>
      </c>
      <c r="C111">
        <v>-5.85</v>
      </c>
      <c r="D111">
        <v>26.74</v>
      </c>
      <c r="E111">
        <v>-21.76</v>
      </c>
      <c r="F111">
        <v>19.899999999999999</v>
      </c>
      <c r="G111">
        <v>9.7799999999999994</v>
      </c>
      <c r="I111">
        <v>-39.979999999999997</v>
      </c>
      <c r="J111">
        <v>-23.5</v>
      </c>
      <c r="K111">
        <v>-36.61</v>
      </c>
      <c r="L111">
        <v>-24.89</v>
      </c>
      <c r="M111">
        <v>-18.84</v>
      </c>
    </row>
    <row r="112" spans="1:14">
      <c r="A112" s="2" t="s">
        <v>140</v>
      </c>
      <c r="B112" t="s">
        <v>3937</v>
      </c>
      <c r="C112">
        <v>10</v>
      </c>
      <c r="D112">
        <v>-3.25</v>
      </c>
      <c r="E112">
        <v>-5.19</v>
      </c>
      <c r="F112">
        <v>-5.87</v>
      </c>
      <c r="G112">
        <v>14.13</v>
      </c>
      <c r="H112">
        <v>8.5299999999999994</v>
      </c>
      <c r="I112">
        <v>-9.67</v>
      </c>
      <c r="J112">
        <v>1.59</v>
      </c>
      <c r="K112">
        <v>-6.92</v>
      </c>
      <c r="L112">
        <v>1.54</v>
      </c>
      <c r="M112">
        <v>-3.57</v>
      </c>
      <c r="N112">
        <v>7.55</v>
      </c>
    </row>
    <row r="113" spans="1:14">
      <c r="A113" s="2" t="s">
        <v>141</v>
      </c>
      <c r="B113" t="s">
        <v>3938</v>
      </c>
      <c r="C113">
        <v>34.69</v>
      </c>
      <c r="D113">
        <v>-36.93</v>
      </c>
      <c r="E113">
        <v>-9.9</v>
      </c>
      <c r="F113">
        <v>21.83</v>
      </c>
      <c r="G113">
        <v>23.57</v>
      </c>
      <c r="H113">
        <v>-11.74</v>
      </c>
      <c r="I113">
        <v>-8.8699999999999992</v>
      </c>
      <c r="J113">
        <v>-28.22</v>
      </c>
      <c r="K113">
        <v>-19.61</v>
      </c>
      <c r="L113">
        <v>0.48</v>
      </c>
      <c r="M113">
        <v>-9.17</v>
      </c>
      <c r="N113">
        <v>-19.21</v>
      </c>
    </row>
    <row r="114" spans="1:14">
      <c r="A114" s="2" t="s">
        <v>142</v>
      </c>
      <c r="B114" t="s">
        <v>3939</v>
      </c>
      <c r="C114">
        <v>10.68</v>
      </c>
      <c r="D114">
        <v>1.5</v>
      </c>
      <c r="E114">
        <v>-8.69</v>
      </c>
      <c r="F114">
        <v>11.89</v>
      </c>
      <c r="G114">
        <v>37.43</v>
      </c>
      <c r="I114">
        <v>12.64</v>
      </c>
      <c r="J114">
        <v>-0.76</v>
      </c>
      <c r="K114">
        <v>2.34</v>
      </c>
      <c r="L114">
        <v>2.98</v>
      </c>
      <c r="M114">
        <v>17.71</v>
      </c>
    </row>
    <row r="115" spans="1:14">
      <c r="A115" s="2" t="s">
        <v>143</v>
      </c>
      <c r="B115" t="s">
        <v>3940</v>
      </c>
      <c r="C115">
        <v>-4.71</v>
      </c>
      <c r="D115">
        <v>12.39</v>
      </c>
      <c r="E115">
        <v>-4.51</v>
      </c>
      <c r="F115">
        <v>-5.79</v>
      </c>
      <c r="G115">
        <v>20.97</v>
      </c>
      <c r="H115">
        <v>-17.989999999999998</v>
      </c>
      <c r="I115">
        <v>3.93</v>
      </c>
      <c r="J115">
        <v>19.100000000000001</v>
      </c>
      <c r="K115">
        <v>17.079999999999998</v>
      </c>
      <c r="L115">
        <v>1.77</v>
      </c>
      <c r="M115">
        <v>15.64</v>
      </c>
      <c r="N115">
        <v>7.91</v>
      </c>
    </row>
    <row r="116" spans="1:14">
      <c r="A116" s="2" t="s">
        <v>144</v>
      </c>
      <c r="B116" t="s">
        <v>3941</v>
      </c>
      <c r="C116">
        <v>-18.440000000000001</v>
      </c>
      <c r="D116">
        <v>25.21</v>
      </c>
      <c r="E116">
        <v>-11.56</v>
      </c>
      <c r="F116">
        <v>-3.16</v>
      </c>
      <c r="G116">
        <v>-4.76</v>
      </c>
      <c r="H116">
        <v>19.13</v>
      </c>
      <c r="I116">
        <v>-7.95</v>
      </c>
      <c r="J116">
        <v>7.83</v>
      </c>
      <c r="K116">
        <v>3.56</v>
      </c>
      <c r="L116">
        <v>-11.34</v>
      </c>
      <c r="M116">
        <v>-12.27</v>
      </c>
      <c r="N116">
        <v>28.28</v>
      </c>
    </row>
    <row r="117" spans="1:14">
      <c r="A117" s="2" t="s">
        <v>145</v>
      </c>
      <c r="B117" t="s">
        <v>3942</v>
      </c>
      <c r="C117">
        <v>33.67</v>
      </c>
      <c r="D117">
        <v>-27.35</v>
      </c>
      <c r="E117">
        <v>36.06</v>
      </c>
      <c r="F117">
        <v>-11.55</v>
      </c>
      <c r="G117">
        <v>8.77</v>
      </c>
      <c r="I117">
        <v>25.31</v>
      </c>
      <c r="J117">
        <v>8.8000000000000007</v>
      </c>
      <c r="K117">
        <v>31.84</v>
      </c>
      <c r="L117">
        <v>21.51</v>
      </c>
      <c r="M117">
        <v>24.04</v>
      </c>
    </row>
    <row r="118" spans="1:14">
      <c r="A118" s="2" t="s">
        <v>146</v>
      </c>
      <c r="B118" t="s">
        <v>3943</v>
      </c>
      <c r="C118">
        <v>-1.04</v>
      </c>
      <c r="D118">
        <v>-5.45</v>
      </c>
      <c r="E118">
        <v>2.11</v>
      </c>
      <c r="F118">
        <v>4.67</v>
      </c>
      <c r="G118">
        <v>10.47</v>
      </c>
      <c r="H118">
        <v>-16.8</v>
      </c>
      <c r="I118">
        <v>4.63</v>
      </c>
      <c r="J118">
        <v>3.18</v>
      </c>
      <c r="K118">
        <v>-4.5599999999999996</v>
      </c>
      <c r="L118">
        <v>2.08</v>
      </c>
      <c r="M118">
        <v>9</v>
      </c>
      <c r="N118">
        <v>10.6</v>
      </c>
    </row>
    <row r="119" spans="1:14">
      <c r="A119" s="2" t="s">
        <v>147</v>
      </c>
      <c r="B119" t="s">
        <v>3944</v>
      </c>
      <c r="C119">
        <v>25.3</v>
      </c>
      <c r="D119">
        <v>-15.6</v>
      </c>
      <c r="E119">
        <v>-3.88</v>
      </c>
      <c r="F119">
        <v>24.45</v>
      </c>
      <c r="G119">
        <v>15.1</v>
      </c>
      <c r="H119">
        <v>-21.05</v>
      </c>
      <c r="I119">
        <v>75.040000000000006</v>
      </c>
      <c r="J119">
        <v>27.63</v>
      </c>
      <c r="K119">
        <v>19.32</v>
      </c>
      <c r="L119">
        <v>34.909999999999997</v>
      </c>
      <c r="M119">
        <v>10.81</v>
      </c>
      <c r="N119">
        <v>68.91</v>
      </c>
    </row>
    <row r="120" spans="1:14">
      <c r="A120" s="2" t="s">
        <v>148</v>
      </c>
      <c r="B120" t="s">
        <v>3945</v>
      </c>
      <c r="C120">
        <v>19.95</v>
      </c>
      <c r="D120">
        <v>-0.21</v>
      </c>
      <c r="E120">
        <v>2.77</v>
      </c>
      <c r="F120">
        <v>43.66</v>
      </c>
      <c r="G120">
        <v>-24.27</v>
      </c>
      <c r="H120">
        <v>-19.010000000000002</v>
      </c>
      <c r="I120">
        <v>-17.579999999999998</v>
      </c>
      <c r="J120">
        <v>27.96</v>
      </c>
      <c r="K120">
        <v>35.36</v>
      </c>
      <c r="L120">
        <v>117.67</v>
      </c>
      <c r="M120">
        <v>97.87</v>
      </c>
      <c r="N120">
        <v>34.08</v>
      </c>
    </row>
    <row r="121" spans="1:14">
      <c r="A121" s="2" t="s">
        <v>149</v>
      </c>
      <c r="B121" t="s">
        <v>3946</v>
      </c>
      <c r="C121">
        <v>111.59</v>
      </c>
      <c r="D121">
        <v>-92.96</v>
      </c>
      <c r="E121">
        <v>1091.75</v>
      </c>
      <c r="F121">
        <v>16.71</v>
      </c>
      <c r="G121">
        <v>-51.7</v>
      </c>
      <c r="H121">
        <v>3.94</v>
      </c>
      <c r="I121">
        <v>159.25</v>
      </c>
      <c r="J121">
        <v>-82.11</v>
      </c>
      <c r="M121">
        <v>-62.39</v>
      </c>
      <c r="N121">
        <v>-2.41</v>
      </c>
    </row>
    <row r="122" spans="1:14">
      <c r="A122" s="2" t="s">
        <v>150</v>
      </c>
      <c r="B122" t="s">
        <v>3947</v>
      </c>
      <c r="C122">
        <v>0.8</v>
      </c>
      <c r="D122">
        <v>23.62</v>
      </c>
      <c r="E122">
        <v>-13.46</v>
      </c>
      <c r="F122">
        <v>1.39</v>
      </c>
      <c r="G122">
        <v>16.850000000000001</v>
      </c>
      <c r="I122">
        <v>-25.36</v>
      </c>
      <c r="J122">
        <v>8.3699999999999992</v>
      </c>
      <c r="K122">
        <v>3.67</v>
      </c>
      <c r="L122">
        <v>-24.47</v>
      </c>
      <c r="M122">
        <v>-13.73</v>
      </c>
    </row>
    <row r="123" spans="1:14">
      <c r="A123" s="2" t="s">
        <v>151</v>
      </c>
      <c r="B123" t="s">
        <v>3948</v>
      </c>
      <c r="C123">
        <v>-23.81</v>
      </c>
      <c r="D123">
        <v>11.1</v>
      </c>
      <c r="E123">
        <v>17.940000000000001</v>
      </c>
      <c r="F123">
        <v>-11.48</v>
      </c>
      <c r="G123">
        <v>96.82</v>
      </c>
      <c r="I123">
        <v>7.32</v>
      </c>
      <c r="J123">
        <v>7.17</v>
      </c>
      <c r="K123">
        <v>13.37</v>
      </c>
      <c r="L123">
        <v>17.21</v>
      </c>
      <c r="M123">
        <v>10.85</v>
      </c>
    </row>
    <row r="124" spans="1:14">
      <c r="A124" s="2" t="s">
        <v>152</v>
      </c>
      <c r="B124" t="s">
        <v>3949</v>
      </c>
      <c r="C124">
        <v>-16.8</v>
      </c>
      <c r="D124">
        <v>20.7</v>
      </c>
      <c r="E124">
        <v>7.85</v>
      </c>
      <c r="F124">
        <v>-8.75</v>
      </c>
      <c r="G124">
        <v>0.4</v>
      </c>
      <c r="H124">
        <v>17</v>
      </c>
      <c r="I124">
        <v>-2.91</v>
      </c>
      <c r="J124">
        <v>27.33</v>
      </c>
      <c r="K124">
        <v>22.35</v>
      </c>
      <c r="L124">
        <v>11.02</v>
      </c>
      <c r="M124">
        <v>20.100000000000001</v>
      </c>
      <c r="N124">
        <v>43.83</v>
      </c>
    </row>
    <row r="125" spans="1:14">
      <c r="A125" s="2" t="s">
        <v>153</v>
      </c>
      <c r="B125" t="s">
        <v>3950</v>
      </c>
      <c r="C125">
        <v>0.08</v>
      </c>
      <c r="D125">
        <v>9.39</v>
      </c>
      <c r="E125">
        <v>13.83</v>
      </c>
      <c r="F125">
        <v>-2.12</v>
      </c>
      <c r="G125">
        <v>3</v>
      </c>
      <c r="H125">
        <v>-17.59</v>
      </c>
      <c r="I125">
        <v>43</v>
      </c>
      <c r="J125">
        <v>58.85</v>
      </c>
      <c r="K125">
        <v>65.86</v>
      </c>
      <c r="L125">
        <v>57.39</v>
      </c>
      <c r="M125">
        <v>70.8</v>
      </c>
      <c r="N125">
        <v>37.020000000000003</v>
      </c>
    </row>
    <row r="126" spans="1:14">
      <c r="A126" s="2" t="s">
        <v>154</v>
      </c>
      <c r="B126" t="s">
        <v>3951</v>
      </c>
      <c r="C126">
        <v>7.97</v>
      </c>
      <c r="D126">
        <v>-3.62</v>
      </c>
      <c r="E126">
        <v>5.75</v>
      </c>
      <c r="F126">
        <v>-5.49</v>
      </c>
      <c r="G126">
        <v>28.45</v>
      </c>
      <c r="H126">
        <v>-22.2</v>
      </c>
      <c r="I126">
        <v>-14.83</v>
      </c>
      <c r="J126">
        <v>-16.64</v>
      </c>
      <c r="K126">
        <v>-16.14</v>
      </c>
      <c r="L126">
        <v>-28.88</v>
      </c>
      <c r="M126">
        <v>-23.26</v>
      </c>
      <c r="N126">
        <v>0.52</v>
      </c>
    </row>
    <row r="127" spans="1:14">
      <c r="A127" s="2" t="s">
        <v>155</v>
      </c>
      <c r="B127" t="s">
        <v>3952</v>
      </c>
      <c r="C127">
        <v>14.02</v>
      </c>
      <c r="D127">
        <v>-14.03</v>
      </c>
      <c r="E127">
        <v>5.3</v>
      </c>
      <c r="F127">
        <v>0.73</v>
      </c>
      <c r="G127">
        <v>13.03</v>
      </c>
      <c r="H127">
        <v>-18.55</v>
      </c>
      <c r="I127">
        <v>-4.07</v>
      </c>
      <c r="J127">
        <v>-25.01</v>
      </c>
      <c r="K127">
        <v>-3.68</v>
      </c>
      <c r="L127">
        <v>-11.14</v>
      </c>
      <c r="M127">
        <v>-6.29</v>
      </c>
      <c r="N127">
        <v>36.82</v>
      </c>
    </row>
    <row r="128" spans="1:14">
      <c r="A128" s="2" t="s">
        <v>156</v>
      </c>
      <c r="B128" t="s">
        <v>3953</v>
      </c>
      <c r="C128">
        <v>-16.55</v>
      </c>
      <c r="D128">
        <v>20.67</v>
      </c>
      <c r="E128">
        <v>-33.299999999999997</v>
      </c>
      <c r="F128">
        <v>10.25</v>
      </c>
      <c r="G128">
        <v>12</v>
      </c>
      <c r="H128">
        <v>-6.76</v>
      </c>
      <c r="I128">
        <v>45.33</v>
      </c>
      <c r="J128">
        <v>16.38</v>
      </c>
      <c r="K128">
        <v>1.96</v>
      </c>
      <c r="L128">
        <v>-32.83</v>
      </c>
      <c r="M128">
        <v>15.06</v>
      </c>
      <c r="N128">
        <v>-9.61</v>
      </c>
    </row>
    <row r="129" spans="1:14">
      <c r="A129" s="2" t="s">
        <v>157</v>
      </c>
      <c r="B129" t="s">
        <v>3954</v>
      </c>
      <c r="C129">
        <v>-19.760000000000002</v>
      </c>
      <c r="D129">
        <v>-10.35</v>
      </c>
      <c r="E129">
        <v>-5.72</v>
      </c>
      <c r="F129">
        <v>2.4</v>
      </c>
      <c r="G129">
        <v>-8.15</v>
      </c>
      <c r="H129">
        <v>27.59</v>
      </c>
      <c r="I129">
        <v>-18.95</v>
      </c>
      <c r="J129">
        <v>-9.3699999999999992</v>
      </c>
      <c r="K129">
        <v>-22.99</v>
      </c>
      <c r="L129">
        <v>-25.54</v>
      </c>
      <c r="M129">
        <v>-6.69</v>
      </c>
      <c r="N129">
        <v>-18.02</v>
      </c>
    </row>
    <row r="130" spans="1:14">
      <c r="A130" s="2" t="s">
        <v>158</v>
      </c>
      <c r="B130" t="s">
        <v>3955</v>
      </c>
      <c r="C130">
        <v>-15.57</v>
      </c>
      <c r="D130">
        <v>29.35</v>
      </c>
      <c r="E130">
        <v>-0.8</v>
      </c>
      <c r="F130">
        <v>-30.21</v>
      </c>
      <c r="G130">
        <v>4.8</v>
      </c>
      <c r="H130">
        <v>18.97</v>
      </c>
      <c r="I130">
        <v>-27.34</v>
      </c>
      <c r="J130">
        <v>-15.29</v>
      </c>
      <c r="K130">
        <v>-27.93</v>
      </c>
      <c r="L130">
        <v>-33.74</v>
      </c>
      <c r="M130">
        <v>-25.82</v>
      </c>
      <c r="N130">
        <v>44.26</v>
      </c>
    </row>
    <row r="131" spans="1:14">
      <c r="A131" s="2" t="s">
        <v>159</v>
      </c>
      <c r="B131" t="s">
        <v>3956</v>
      </c>
      <c r="C131">
        <v>-57.19</v>
      </c>
      <c r="D131">
        <v>15.3</v>
      </c>
      <c r="E131">
        <v>71.98</v>
      </c>
      <c r="F131">
        <v>-63.92</v>
      </c>
      <c r="G131">
        <v>271.83</v>
      </c>
      <c r="I131">
        <v>-1.49</v>
      </c>
      <c r="J131">
        <v>-31.63</v>
      </c>
      <c r="K131">
        <v>3.32</v>
      </c>
      <c r="L131">
        <v>-38.79</v>
      </c>
      <c r="M131">
        <v>145.09</v>
      </c>
    </row>
    <row r="132" spans="1:14">
      <c r="A132" s="2" t="s">
        <v>160</v>
      </c>
      <c r="B132" t="s">
        <v>3957</v>
      </c>
      <c r="C132">
        <v>-17.899999999999999</v>
      </c>
      <c r="D132">
        <v>-47.44</v>
      </c>
      <c r="E132">
        <v>50.75</v>
      </c>
      <c r="F132">
        <v>35.119999999999997</v>
      </c>
      <c r="G132">
        <v>12.53</v>
      </c>
      <c r="I132">
        <v>-13.74</v>
      </c>
      <c r="J132">
        <v>-47.17</v>
      </c>
      <c r="K132">
        <v>-11.53</v>
      </c>
      <c r="L132">
        <v>3.44</v>
      </c>
      <c r="M132">
        <v>-20.04</v>
      </c>
    </row>
    <row r="133" spans="1:14">
      <c r="A133" s="2" t="s">
        <v>161</v>
      </c>
      <c r="B133" t="s">
        <v>3958</v>
      </c>
      <c r="C133">
        <v>-15.72</v>
      </c>
      <c r="D133">
        <v>-7.45</v>
      </c>
      <c r="E133">
        <v>-5.1100000000000003</v>
      </c>
      <c r="F133">
        <v>-8.1</v>
      </c>
      <c r="G133">
        <v>42.43</v>
      </c>
      <c r="H133">
        <v>-12.34</v>
      </c>
      <c r="I133">
        <v>-10.81</v>
      </c>
      <c r="J133">
        <v>-27.31</v>
      </c>
      <c r="K133">
        <v>-20.440000000000001</v>
      </c>
      <c r="L133">
        <v>-11.47</v>
      </c>
      <c r="M133">
        <v>-17.61</v>
      </c>
      <c r="N133">
        <v>-13.77</v>
      </c>
    </row>
    <row r="134" spans="1:14">
      <c r="A134" s="2" t="s">
        <v>162</v>
      </c>
      <c r="B134" t="s">
        <v>3959</v>
      </c>
      <c r="C134">
        <v>196.16</v>
      </c>
      <c r="D134">
        <v>-28.88</v>
      </c>
      <c r="E134">
        <v>-46.82</v>
      </c>
      <c r="F134">
        <v>2.56</v>
      </c>
      <c r="G134">
        <v>-10.89</v>
      </c>
      <c r="H134">
        <v>6.31</v>
      </c>
      <c r="I134">
        <v>146.9</v>
      </c>
      <c r="J134">
        <v>96</v>
      </c>
      <c r="K134">
        <v>18.04</v>
      </c>
      <c r="L134">
        <v>10.199999999999999</v>
      </c>
      <c r="M134">
        <v>-7.45</v>
      </c>
      <c r="N134">
        <v>1.3</v>
      </c>
    </row>
    <row r="135" spans="1:14">
      <c r="A135" s="2" t="s">
        <v>163</v>
      </c>
      <c r="B135" t="s">
        <v>3960</v>
      </c>
      <c r="C135">
        <v>27.21</v>
      </c>
      <c r="D135">
        <v>2.2200000000000002</v>
      </c>
      <c r="E135">
        <v>-3.14</v>
      </c>
      <c r="F135">
        <v>28.27</v>
      </c>
      <c r="G135">
        <v>-31.57</v>
      </c>
      <c r="H135">
        <v>17.25</v>
      </c>
      <c r="I135">
        <v>102.34</v>
      </c>
      <c r="J135">
        <v>73.08</v>
      </c>
      <c r="K135">
        <v>-23.73</v>
      </c>
      <c r="L135">
        <v>69.33</v>
      </c>
      <c r="M135">
        <v>-44.14</v>
      </c>
      <c r="N135">
        <v>47.04</v>
      </c>
    </row>
    <row r="136" spans="1:14">
      <c r="A136" s="2" t="s">
        <v>164</v>
      </c>
      <c r="B136" t="s">
        <v>3961</v>
      </c>
      <c r="C136">
        <v>-8.59</v>
      </c>
      <c r="D136">
        <v>10.46</v>
      </c>
      <c r="E136">
        <v>-14.2</v>
      </c>
      <c r="F136">
        <v>-9</v>
      </c>
      <c r="G136">
        <v>7.53</v>
      </c>
      <c r="H136">
        <v>-30.71</v>
      </c>
      <c r="I136">
        <v>20.82</v>
      </c>
      <c r="J136">
        <v>17.899999999999999</v>
      </c>
      <c r="K136">
        <v>20.52</v>
      </c>
      <c r="L136">
        <v>-15.83</v>
      </c>
      <c r="M136">
        <v>-28.1</v>
      </c>
      <c r="N136">
        <v>-23.2</v>
      </c>
    </row>
    <row r="137" spans="1:14">
      <c r="A137" s="2" t="s">
        <v>165</v>
      </c>
      <c r="B137" t="s">
        <v>3962</v>
      </c>
      <c r="C137">
        <v>0.82</v>
      </c>
      <c r="D137">
        <v>-4.0599999999999996</v>
      </c>
      <c r="E137">
        <v>6.74</v>
      </c>
      <c r="F137">
        <v>3.31</v>
      </c>
      <c r="G137">
        <v>-15.6</v>
      </c>
      <c r="I137">
        <v>-20.04</v>
      </c>
      <c r="J137">
        <v>-13.05</v>
      </c>
      <c r="K137">
        <v>-3.17</v>
      </c>
      <c r="L137">
        <v>1.59</v>
      </c>
      <c r="M137">
        <v>7.87</v>
      </c>
    </row>
    <row r="138" spans="1:14">
      <c r="A138" s="2" t="s">
        <v>166</v>
      </c>
      <c r="B138" t="s">
        <v>3963</v>
      </c>
      <c r="C138">
        <v>-3.53</v>
      </c>
      <c r="D138">
        <v>-9.73</v>
      </c>
      <c r="E138">
        <v>4.17</v>
      </c>
      <c r="F138">
        <v>5.77</v>
      </c>
      <c r="G138">
        <v>2.57</v>
      </c>
      <c r="H138">
        <v>11.05</v>
      </c>
      <c r="I138">
        <v>-29.27</v>
      </c>
      <c r="J138">
        <v>-30.26</v>
      </c>
      <c r="K138">
        <v>-30.51</v>
      </c>
      <c r="L138">
        <v>-18.940000000000001</v>
      </c>
      <c r="M138">
        <v>-16.82</v>
      </c>
      <c r="N138">
        <v>-4.7</v>
      </c>
    </row>
    <row r="139" spans="1:14">
      <c r="A139" s="2" t="s">
        <v>167</v>
      </c>
      <c r="B139" t="s">
        <v>3964</v>
      </c>
      <c r="C139">
        <v>-29.3</v>
      </c>
      <c r="D139">
        <v>-17.329999999999998</v>
      </c>
      <c r="E139">
        <v>-8.27</v>
      </c>
      <c r="F139">
        <v>-24.21</v>
      </c>
      <c r="G139">
        <v>77.87</v>
      </c>
      <c r="H139">
        <v>-53.89</v>
      </c>
      <c r="I139">
        <v>-9.94</v>
      </c>
      <c r="J139">
        <v>3.7</v>
      </c>
      <c r="K139">
        <v>-39.76</v>
      </c>
      <c r="L139">
        <v>-40.5</v>
      </c>
      <c r="M139">
        <v>-36.090000000000003</v>
      </c>
      <c r="N139">
        <v>-48.31</v>
      </c>
    </row>
    <row r="140" spans="1:14">
      <c r="A140" s="2" t="s">
        <v>168</v>
      </c>
      <c r="B140" t="s">
        <v>3965</v>
      </c>
      <c r="C140">
        <v>-15.94</v>
      </c>
      <c r="D140">
        <v>-5</v>
      </c>
      <c r="E140">
        <v>-19.670000000000002</v>
      </c>
      <c r="F140">
        <v>21.84</v>
      </c>
      <c r="G140">
        <v>-17.97</v>
      </c>
      <c r="H140">
        <v>16.71</v>
      </c>
      <c r="I140">
        <v>-27.52</v>
      </c>
      <c r="J140">
        <v>16.47</v>
      </c>
      <c r="K140">
        <v>-38.67</v>
      </c>
      <c r="L140">
        <v>48.5</v>
      </c>
      <c r="M140">
        <v>-20.95</v>
      </c>
      <c r="N140">
        <v>-38.65</v>
      </c>
    </row>
    <row r="141" spans="1:14">
      <c r="A141" s="2" t="s">
        <v>169</v>
      </c>
      <c r="B141" t="s">
        <v>3966</v>
      </c>
      <c r="C141">
        <v>49.35</v>
      </c>
      <c r="D141">
        <v>-46.3</v>
      </c>
      <c r="E141">
        <v>-17.89</v>
      </c>
      <c r="F141">
        <v>68.05</v>
      </c>
      <c r="G141">
        <v>-23.7</v>
      </c>
      <c r="H141">
        <v>23.78</v>
      </c>
      <c r="I141">
        <v>31.65</v>
      </c>
      <c r="J141">
        <v>-4.87</v>
      </c>
      <c r="K141">
        <v>29.07</v>
      </c>
      <c r="L141">
        <v>4.93</v>
      </c>
      <c r="M141">
        <v>54.78</v>
      </c>
      <c r="N141">
        <v>-32.15</v>
      </c>
    </row>
    <row r="142" spans="1:14">
      <c r="A142" s="2" t="s">
        <v>170</v>
      </c>
      <c r="B142" t="s">
        <v>3967</v>
      </c>
      <c r="C142">
        <v>0.35</v>
      </c>
      <c r="D142">
        <v>-22.57</v>
      </c>
      <c r="E142">
        <v>3.58</v>
      </c>
      <c r="F142">
        <v>-7.02</v>
      </c>
      <c r="G142">
        <v>-11.19</v>
      </c>
      <c r="H142">
        <v>10.67</v>
      </c>
      <c r="I142">
        <v>27.45</v>
      </c>
      <c r="J142">
        <v>21.21</v>
      </c>
      <c r="K142">
        <v>22.4</v>
      </c>
      <c r="L142">
        <v>-13.32</v>
      </c>
      <c r="M142">
        <v>-0.77</v>
      </c>
      <c r="N142">
        <v>-23.41</v>
      </c>
    </row>
    <row r="143" spans="1:14">
      <c r="A143" s="2" t="s">
        <v>171</v>
      </c>
      <c r="B143" t="s">
        <v>3968</v>
      </c>
      <c r="C143">
        <v>0.21</v>
      </c>
      <c r="D143">
        <v>-0.09</v>
      </c>
      <c r="E143">
        <v>-24.75</v>
      </c>
      <c r="F143">
        <v>-2.4700000000000002</v>
      </c>
      <c r="G143">
        <v>-6.02</v>
      </c>
      <c r="H143">
        <v>39.25</v>
      </c>
      <c r="I143">
        <v>-16.73</v>
      </c>
      <c r="J143">
        <v>2.42</v>
      </c>
      <c r="K143">
        <v>-11.51</v>
      </c>
      <c r="L143">
        <v>-27.74</v>
      </c>
      <c r="M143">
        <v>-17.739999999999998</v>
      </c>
      <c r="N143">
        <v>-8.16</v>
      </c>
    </row>
    <row r="144" spans="1:14">
      <c r="A144" s="2" t="s">
        <v>172</v>
      </c>
      <c r="B144" t="s">
        <v>3969</v>
      </c>
      <c r="C144">
        <v>-1.53</v>
      </c>
      <c r="D144">
        <v>1.28</v>
      </c>
      <c r="E144">
        <v>1.43</v>
      </c>
      <c r="F144">
        <v>2.6</v>
      </c>
      <c r="G144">
        <v>1.21</v>
      </c>
      <c r="H144">
        <v>2.35</v>
      </c>
      <c r="I144">
        <v>17.63</v>
      </c>
      <c r="J144">
        <v>9.4499999999999993</v>
      </c>
      <c r="K144">
        <v>19.36</v>
      </c>
      <c r="L144">
        <v>19.239999999999998</v>
      </c>
      <c r="M144">
        <v>16.670000000000002</v>
      </c>
      <c r="N144">
        <v>33.07</v>
      </c>
    </row>
    <row r="145" spans="1:14">
      <c r="A145" s="2" t="s">
        <v>173</v>
      </c>
      <c r="B145" t="s">
        <v>3970</v>
      </c>
      <c r="C145">
        <v>-7.6</v>
      </c>
      <c r="D145">
        <v>8.8800000000000008</v>
      </c>
      <c r="E145">
        <v>1.28</v>
      </c>
      <c r="F145">
        <v>-1.71</v>
      </c>
      <c r="G145">
        <v>-19.329999999999998</v>
      </c>
      <c r="H145">
        <v>35.799999999999997</v>
      </c>
      <c r="I145">
        <v>-6.39</v>
      </c>
      <c r="J145">
        <v>-2.2000000000000002</v>
      </c>
      <c r="K145">
        <v>-11.56</v>
      </c>
      <c r="L145">
        <v>-17.48</v>
      </c>
      <c r="M145">
        <v>-15.31</v>
      </c>
      <c r="N145">
        <v>6.62</v>
      </c>
    </row>
    <row r="146" spans="1:14">
      <c r="A146" s="2" t="s">
        <v>174</v>
      </c>
      <c r="B146" t="s">
        <v>3971</v>
      </c>
      <c r="C146">
        <v>2.1800000000000002</v>
      </c>
      <c r="D146">
        <v>-6.43</v>
      </c>
      <c r="E146">
        <v>-1.6</v>
      </c>
      <c r="F146">
        <v>-5.14</v>
      </c>
      <c r="G146">
        <v>7.24</v>
      </c>
      <c r="H146">
        <v>-3.8</v>
      </c>
      <c r="I146">
        <v>-14.17</v>
      </c>
      <c r="J146">
        <v>-22.15</v>
      </c>
      <c r="K146">
        <v>-23.07</v>
      </c>
      <c r="L146">
        <v>-23.8</v>
      </c>
      <c r="M146">
        <v>-23.26</v>
      </c>
      <c r="N146">
        <v>-6.07</v>
      </c>
    </row>
    <row r="147" spans="1:14">
      <c r="A147" s="2" t="s">
        <v>175</v>
      </c>
      <c r="B147" t="s">
        <v>3972</v>
      </c>
      <c r="C147">
        <v>4.0599999999999996</v>
      </c>
      <c r="D147">
        <v>5.23</v>
      </c>
      <c r="E147">
        <v>-26.26</v>
      </c>
      <c r="F147">
        <v>39.99</v>
      </c>
      <c r="G147">
        <v>16.899999999999999</v>
      </c>
      <c r="I147">
        <v>7</v>
      </c>
      <c r="J147">
        <v>-3.31</v>
      </c>
      <c r="K147">
        <v>-18.55</v>
      </c>
      <c r="L147">
        <v>6.65</v>
      </c>
      <c r="M147">
        <v>36.840000000000003</v>
      </c>
    </row>
    <row r="148" spans="1:14">
      <c r="A148" s="2" t="s">
        <v>176</v>
      </c>
      <c r="B148" t="s">
        <v>3973</v>
      </c>
      <c r="C148">
        <v>15.79</v>
      </c>
      <c r="D148">
        <v>3.07</v>
      </c>
      <c r="E148">
        <v>-21.17</v>
      </c>
      <c r="F148">
        <v>23.68</v>
      </c>
      <c r="G148">
        <v>-10.23</v>
      </c>
      <c r="H148">
        <v>-4.2699999999999996</v>
      </c>
      <c r="I148">
        <v>-5.4</v>
      </c>
      <c r="J148">
        <v>0.95</v>
      </c>
      <c r="K148">
        <v>-11.37</v>
      </c>
      <c r="L148">
        <v>-5.28</v>
      </c>
      <c r="M148">
        <v>-18.739999999999998</v>
      </c>
      <c r="N148">
        <v>-5.81</v>
      </c>
    </row>
    <row r="149" spans="1:14">
      <c r="A149" s="2" t="s">
        <v>177</v>
      </c>
      <c r="B149" t="s">
        <v>3974</v>
      </c>
      <c r="C149">
        <v>-1.55</v>
      </c>
      <c r="D149">
        <v>-45.28</v>
      </c>
      <c r="E149">
        <v>25.98</v>
      </c>
      <c r="F149">
        <v>-20.52</v>
      </c>
      <c r="G149">
        <v>-76.19</v>
      </c>
      <c r="H149">
        <v>535.28</v>
      </c>
      <c r="I149">
        <v>-11.28</v>
      </c>
      <c r="J149">
        <v>-46.17</v>
      </c>
      <c r="K149">
        <v>-23.95</v>
      </c>
      <c r="L149">
        <v>-39.58</v>
      </c>
      <c r="M149">
        <v>-87.19</v>
      </c>
      <c r="N149">
        <v>-18.59</v>
      </c>
    </row>
    <row r="150" spans="1:14">
      <c r="A150" s="2" t="s">
        <v>178</v>
      </c>
      <c r="B150" t="s">
        <v>3975</v>
      </c>
      <c r="C150">
        <v>-2.44</v>
      </c>
      <c r="D150">
        <v>12.07</v>
      </c>
      <c r="E150">
        <v>-11.9</v>
      </c>
      <c r="F150">
        <v>-2.48</v>
      </c>
      <c r="G150">
        <v>5.49</v>
      </c>
      <c r="H150">
        <v>1.76</v>
      </c>
      <c r="I150">
        <v>5.83</v>
      </c>
      <c r="J150">
        <v>13.21</v>
      </c>
      <c r="K150">
        <v>-2.36</v>
      </c>
      <c r="L150">
        <v>-6.87</v>
      </c>
      <c r="M150">
        <v>-19.920000000000002</v>
      </c>
      <c r="N150">
        <v>12.81</v>
      </c>
    </row>
    <row r="151" spans="1:14">
      <c r="A151" s="2" t="s">
        <v>179</v>
      </c>
      <c r="B151" t="s">
        <v>3976</v>
      </c>
      <c r="C151">
        <v>0.54</v>
      </c>
      <c r="D151">
        <v>4.42</v>
      </c>
      <c r="E151">
        <v>-5.71</v>
      </c>
      <c r="F151">
        <v>3.11</v>
      </c>
      <c r="G151">
        <v>-4.78</v>
      </c>
      <c r="H151">
        <v>19.43</v>
      </c>
      <c r="I151">
        <v>-12.23</v>
      </c>
      <c r="J151">
        <v>0.74</v>
      </c>
      <c r="K151">
        <v>7</v>
      </c>
      <c r="L151">
        <v>-1.02</v>
      </c>
      <c r="M151">
        <v>-20.55</v>
      </c>
      <c r="N151">
        <v>4.6500000000000004</v>
      </c>
    </row>
    <row r="152" spans="1:14">
      <c r="A152" s="2" t="s">
        <v>180</v>
      </c>
      <c r="B152" t="s">
        <v>3977</v>
      </c>
      <c r="C152">
        <v>5.17</v>
      </c>
      <c r="D152">
        <v>-19.27</v>
      </c>
      <c r="E152">
        <v>-11.75</v>
      </c>
      <c r="F152">
        <v>22.67</v>
      </c>
      <c r="G152">
        <v>16.21</v>
      </c>
      <c r="I152">
        <v>-2.19</v>
      </c>
      <c r="J152">
        <v>-17.149999999999999</v>
      </c>
      <c r="K152">
        <v>-26.39</v>
      </c>
      <c r="L152">
        <v>-5.9</v>
      </c>
      <c r="M152">
        <v>-5.05</v>
      </c>
    </row>
    <row r="153" spans="1:14">
      <c r="A153" s="2" t="s">
        <v>181</v>
      </c>
      <c r="B153" t="s">
        <v>3978</v>
      </c>
      <c r="C153">
        <v>-2.99</v>
      </c>
      <c r="D153">
        <v>5.82</v>
      </c>
      <c r="E153">
        <v>0.1</v>
      </c>
      <c r="F153">
        <v>1.1399999999999999</v>
      </c>
      <c r="G153">
        <v>-0.53</v>
      </c>
      <c r="I153">
        <v>-35.82</v>
      </c>
      <c r="J153">
        <v>4.43</v>
      </c>
      <c r="K153">
        <v>1.19</v>
      </c>
      <c r="L153">
        <v>2.56</v>
      </c>
      <c r="M153">
        <v>-4.58</v>
      </c>
    </row>
    <row r="154" spans="1:14">
      <c r="A154" s="2" t="s">
        <v>182</v>
      </c>
      <c r="B154" t="s">
        <v>3979</v>
      </c>
      <c r="C154">
        <v>-1.48</v>
      </c>
      <c r="D154">
        <v>0.42</v>
      </c>
      <c r="E154">
        <v>18.36</v>
      </c>
      <c r="F154">
        <v>-8.1300000000000008</v>
      </c>
      <c r="G154">
        <v>2.62</v>
      </c>
      <c r="H154">
        <v>4.5999999999999996</v>
      </c>
      <c r="I154">
        <v>-15.98</v>
      </c>
      <c r="J154">
        <v>-15.89</v>
      </c>
      <c r="K154">
        <v>12.14</v>
      </c>
      <c r="L154">
        <v>-9.77</v>
      </c>
      <c r="M154">
        <v>-10.29</v>
      </c>
      <c r="N154">
        <v>16.82</v>
      </c>
    </row>
    <row r="155" spans="1:14">
      <c r="A155" s="2" t="s">
        <v>183</v>
      </c>
      <c r="B155" t="s">
        <v>3980</v>
      </c>
      <c r="C155">
        <v>-10.09</v>
      </c>
      <c r="D155">
        <v>2.3199999999999998</v>
      </c>
      <c r="E155">
        <v>12.14</v>
      </c>
      <c r="F155">
        <v>0.12</v>
      </c>
      <c r="G155">
        <v>14.5</v>
      </c>
      <c r="H155">
        <v>3.18</v>
      </c>
      <c r="I155">
        <v>24.29</v>
      </c>
      <c r="J155">
        <v>20.5</v>
      </c>
      <c r="K155">
        <v>30.05</v>
      </c>
      <c r="L155">
        <v>40.6</v>
      </c>
      <c r="M155">
        <v>25.67</v>
      </c>
      <c r="N155">
        <v>49.74</v>
      </c>
    </row>
    <row r="156" spans="1:14">
      <c r="A156" s="2" t="s">
        <v>184</v>
      </c>
      <c r="B156" t="s">
        <v>3981</v>
      </c>
      <c r="C156">
        <v>-0.83</v>
      </c>
      <c r="D156">
        <v>-4.13</v>
      </c>
      <c r="E156">
        <v>-5.14</v>
      </c>
      <c r="F156">
        <v>14.93</v>
      </c>
      <c r="G156">
        <v>-4.91</v>
      </c>
      <c r="I156">
        <v>13.81</v>
      </c>
      <c r="J156">
        <v>4.62</v>
      </c>
      <c r="K156">
        <v>-0.04</v>
      </c>
      <c r="L156">
        <v>-0.77</v>
      </c>
      <c r="M156">
        <v>-13.37</v>
      </c>
    </row>
    <row r="157" spans="1:14">
      <c r="A157" s="2" t="s">
        <v>185</v>
      </c>
      <c r="B157" t="s">
        <v>3982</v>
      </c>
      <c r="C157">
        <v>-2.35</v>
      </c>
      <c r="D157">
        <v>16.36</v>
      </c>
      <c r="E157">
        <v>-10.39</v>
      </c>
      <c r="F157">
        <v>12.16</v>
      </c>
      <c r="G157">
        <v>9.52</v>
      </c>
      <c r="H157">
        <v>11.76</v>
      </c>
      <c r="I157">
        <v>5.92</v>
      </c>
      <c r="J157">
        <v>21.73</v>
      </c>
      <c r="K157">
        <v>17.13</v>
      </c>
      <c r="L157">
        <v>17.899999999999999</v>
      </c>
      <c r="M157">
        <v>19.309999999999999</v>
      </c>
      <c r="N157">
        <v>66.81</v>
      </c>
    </row>
    <row r="158" spans="1:14">
      <c r="A158" s="2" t="s">
        <v>186</v>
      </c>
      <c r="B158" t="s">
        <v>3983</v>
      </c>
      <c r="C158">
        <v>-79.680000000000007</v>
      </c>
      <c r="D158">
        <v>-1.53</v>
      </c>
      <c r="E158">
        <v>47.75</v>
      </c>
      <c r="F158">
        <v>-26.69</v>
      </c>
      <c r="G158">
        <v>382.75</v>
      </c>
      <c r="H158">
        <v>63.2</v>
      </c>
      <c r="I158">
        <v>-78.319999999999993</v>
      </c>
      <c r="J158">
        <v>-62.6</v>
      </c>
      <c r="K158">
        <v>-31.77</v>
      </c>
      <c r="L158">
        <v>31.61</v>
      </c>
      <c r="M158">
        <v>-26.13</v>
      </c>
      <c r="N158">
        <v>1010.11</v>
      </c>
    </row>
    <row r="159" spans="1:14">
      <c r="A159" s="2" t="s">
        <v>187</v>
      </c>
      <c r="B159" t="s">
        <v>3984</v>
      </c>
      <c r="C159">
        <v>-12.32</v>
      </c>
      <c r="D159">
        <v>10.85</v>
      </c>
      <c r="E159">
        <v>-6</v>
      </c>
      <c r="F159">
        <v>32.56</v>
      </c>
      <c r="G159">
        <v>4.2300000000000004</v>
      </c>
      <c r="H159">
        <v>-14.94</v>
      </c>
      <c r="I159">
        <v>-4.42</v>
      </c>
      <c r="J159">
        <v>25.17</v>
      </c>
      <c r="K159">
        <v>5.99</v>
      </c>
      <c r="L159">
        <v>15.08</v>
      </c>
      <c r="M159">
        <v>16.64</v>
      </c>
      <c r="N159">
        <v>20.36</v>
      </c>
    </row>
    <row r="160" spans="1:14">
      <c r="A160" s="2" t="s">
        <v>188</v>
      </c>
      <c r="B160" t="s">
        <v>3985</v>
      </c>
      <c r="C160">
        <v>228.35</v>
      </c>
      <c r="D160">
        <v>-59.59</v>
      </c>
      <c r="E160">
        <v>245.85</v>
      </c>
      <c r="F160">
        <v>-40.9</v>
      </c>
      <c r="G160">
        <v>28.9</v>
      </c>
      <c r="H160">
        <v>-15.06</v>
      </c>
      <c r="I160">
        <v>-22.2</v>
      </c>
      <c r="J160">
        <v>-79.61</v>
      </c>
      <c r="K160">
        <v>21.1</v>
      </c>
      <c r="L160">
        <v>-37.96</v>
      </c>
      <c r="M160">
        <v>-12.11</v>
      </c>
      <c r="N160">
        <v>12.13</v>
      </c>
    </row>
    <row r="161" spans="1:14">
      <c r="A161" s="2" t="s">
        <v>189</v>
      </c>
      <c r="B161" t="s">
        <v>3986</v>
      </c>
      <c r="C161">
        <v>-0.87</v>
      </c>
      <c r="D161">
        <v>4.38</v>
      </c>
      <c r="E161">
        <v>9.0399999999999991</v>
      </c>
      <c r="F161">
        <v>5.05</v>
      </c>
      <c r="G161">
        <v>9.27</v>
      </c>
      <c r="I161">
        <v>-17.23</v>
      </c>
      <c r="J161">
        <v>12.91</v>
      </c>
      <c r="K161">
        <v>26.75</v>
      </c>
      <c r="L161">
        <v>24.07</v>
      </c>
      <c r="M161">
        <v>46.71</v>
      </c>
    </row>
    <row r="162" spans="1:14">
      <c r="A162" s="2" t="s">
        <v>190</v>
      </c>
      <c r="B162" t="s">
        <v>3987</v>
      </c>
      <c r="C162">
        <v>-11.97</v>
      </c>
      <c r="D162">
        <v>9.27</v>
      </c>
      <c r="E162">
        <v>11.95</v>
      </c>
      <c r="F162">
        <v>-6.76</v>
      </c>
      <c r="G162">
        <v>64.930000000000007</v>
      </c>
      <c r="H162">
        <v>-36.299999999999997</v>
      </c>
      <c r="I162">
        <v>-28.66</v>
      </c>
      <c r="J162">
        <v>-24.11</v>
      </c>
      <c r="K162">
        <v>-23.56</v>
      </c>
      <c r="L162">
        <v>-42.66</v>
      </c>
      <c r="M162">
        <v>-20.92</v>
      </c>
      <c r="N162">
        <v>-34.479999999999997</v>
      </c>
    </row>
    <row r="163" spans="1:14">
      <c r="A163" s="2" t="s">
        <v>191</v>
      </c>
      <c r="B163" t="s">
        <v>3988</v>
      </c>
      <c r="C163">
        <v>24.96</v>
      </c>
      <c r="D163">
        <v>28.33</v>
      </c>
      <c r="E163">
        <v>-1.38</v>
      </c>
      <c r="F163">
        <v>-47.76</v>
      </c>
      <c r="G163">
        <v>26.25</v>
      </c>
      <c r="H163">
        <v>73.75</v>
      </c>
      <c r="I163">
        <v>-56.1</v>
      </c>
      <c r="J163">
        <v>-26.28</v>
      </c>
      <c r="K163">
        <v>-24.51</v>
      </c>
      <c r="L163">
        <v>-21.01</v>
      </c>
      <c r="M163">
        <v>9.33</v>
      </c>
      <c r="N163">
        <v>39.86</v>
      </c>
    </row>
    <row r="164" spans="1:14">
      <c r="A164" s="2" t="s">
        <v>192</v>
      </c>
      <c r="B164" t="s">
        <v>3989</v>
      </c>
      <c r="C164">
        <v>-25.87</v>
      </c>
      <c r="D164">
        <v>6.08</v>
      </c>
      <c r="E164">
        <v>0.12</v>
      </c>
      <c r="F164">
        <v>21.51</v>
      </c>
      <c r="G164">
        <v>21.12</v>
      </c>
      <c r="H164">
        <v>-18.600000000000001</v>
      </c>
      <c r="I164">
        <v>16.809999999999999</v>
      </c>
      <c r="J164">
        <v>23.78</v>
      </c>
      <c r="K164">
        <v>-2.48</v>
      </c>
      <c r="L164">
        <v>11.22</v>
      </c>
      <c r="M164">
        <v>51.77</v>
      </c>
      <c r="N164">
        <v>16.52</v>
      </c>
    </row>
    <row r="165" spans="1:14">
      <c r="A165" s="2" t="s">
        <v>193</v>
      </c>
      <c r="B165" t="s">
        <v>3990</v>
      </c>
      <c r="C165">
        <v>-5.17</v>
      </c>
      <c r="D165">
        <v>-4.43</v>
      </c>
      <c r="E165">
        <v>10.67</v>
      </c>
      <c r="F165">
        <v>-4.1100000000000003</v>
      </c>
      <c r="G165">
        <v>-1.51</v>
      </c>
      <c r="I165">
        <v>-12.11</v>
      </c>
      <c r="J165">
        <v>-0.18</v>
      </c>
      <c r="K165">
        <v>3.85</v>
      </c>
      <c r="L165">
        <v>-10.45</v>
      </c>
      <c r="M165">
        <v>-19.100000000000001</v>
      </c>
    </row>
    <row r="166" spans="1:14">
      <c r="A166" s="2" t="s">
        <v>194</v>
      </c>
      <c r="B166" t="s">
        <v>3991</v>
      </c>
      <c r="C166">
        <v>-12.08</v>
      </c>
      <c r="D166">
        <v>14.83</v>
      </c>
      <c r="E166">
        <v>-5.73</v>
      </c>
      <c r="F166">
        <v>-6.06</v>
      </c>
      <c r="G166">
        <v>21.6</v>
      </c>
      <c r="H166">
        <v>-13.21</v>
      </c>
      <c r="I166">
        <v>-11.4</v>
      </c>
      <c r="J166">
        <v>-0.64</v>
      </c>
      <c r="K166">
        <v>-8.0500000000000007</v>
      </c>
      <c r="L166">
        <v>-29.72</v>
      </c>
      <c r="M166">
        <v>13.62</v>
      </c>
      <c r="N166">
        <v>-4.53</v>
      </c>
    </row>
    <row r="167" spans="1:14">
      <c r="A167" s="2" t="s">
        <v>195</v>
      </c>
      <c r="B167" t="s">
        <v>3992</v>
      </c>
      <c r="C167">
        <v>12.65</v>
      </c>
      <c r="D167">
        <v>-6.86</v>
      </c>
      <c r="E167">
        <v>-7.95</v>
      </c>
      <c r="F167">
        <v>10.89</v>
      </c>
      <c r="G167">
        <v>-5.64</v>
      </c>
      <c r="H167">
        <v>31.54</v>
      </c>
      <c r="I167">
        <v>1.4</v>
      </c>
      <c r="J167">
        <v>3.23</v>
      </c>
      <c r="K167">
        <v>-0.42</v>
      </c>
      <c r="L167">
        <v>6.13</v>
      </c>
      <c r="M167">
        <v>-1.9</v>
      </c>
      <c r="N167">
        <v>30.31</v>
      </c>
    </row>
    <row r="168" spans="1:14">
      <c r="A168" s="2" t="s">
        <v>196</v>
      </c>
      <c r="B168" t="s">
        <v>3993</v>
      </c>
      <c r="C168">
        <v>-3.53</v>
      </c>
      <c r="D168">
        <v>9.07</v>
      </c>
      <c r="E168">
        <v>4.8</v>
      </c>
      <c r="F168">
        <v>-4.5199999999999996</v>
      </c>
      <c r="G168">
        <v>-4.22</v>
      </c>
      <c r="H168">
        <v>14.94</v>
      </c>
      <c r="I168">
        <v>-7.39</v>
      </c>
      <c r="J168">
        <v>13.47</v>
      </c>
      <c r="K168">
        <v>14.84</v>
      </c>
      <c r="L168">
        <v>-3.92</v>
      </c>
      <c r="M168">
        <v>0.47</v>
      </c>
      <c r="N168">
        <v>41.09</v>
      </c>
    </row>
    <row r="169" spans="1:14">
      <c r="A169" s="2" t="s">
        <v>197</v>
      </c>
      <c r="B169" t="s">
        <v>3994</v>
      </c>
      <c r="C169">
        <v>-10.09</v>
      </c>
      <c r="D169">
        <v>2.61</v>
      </c>
      <c r="E169">
        <v>-0.27</v>
      </c>
      <c r="F169">
        <v>-7.22</v>
      </c>
      <c r="G169">
        <v>13.02</v>
      </c>
      <c r="H169">
        <v>9.4700000000000006</v>
      </c>
      <c r="I169">
        <v>-22.19</v>
      </c>
      <c r="J169">
        <v>-3.58</v>
      </c>
      <c r="K169">
        <v>-8.23</v>
      </c>
      <c r="L169">
        <v>-25.21</v>
      </c>
      <c r="M169">
        <v>-15.84</v>
      </c>
      <c r="N169">
        <v>1.02</v>
      </c>
    </row>
    <row r="170" spans="1:14">
      <c r="A170" s="2" t="s">
        <v>198</v>
      </c>
      <c r="B170" t="s">
        <v>3995</v>
      </c>
      <c r="C170">
        <v>-17.670000000000002</v>
      </c>
      <c r="D170">
        <v>6.1</v>
      </c>
      <c r="E170">
        <v>-16.739999999999998</v>
      </c>
      <c r="F170">
        <v>26.62</v>
      </c>
      <c r="G170">
        <v>-21.37</v>
      </c>
      <c r="H170">
        <v>45.02</v>
      </c>
      <c r="I170">
        <v>13.44</v>
      </c>
      <c r="J170">
        <v>27.6</v>
      </c>
      <c r="K170">
        <v>-13.39</v>
      </c>
      <c r="L170">
        <v>-13.92</v>
      </c>
      <c r="M170">
        <v>16.170000000000002</v>
      </c>
      <c r="N170">
        <v>40.89</v>
      </c>
    </row>
    <row r="171" spans="1:14">
      <c r="A171" s="2" t="s">
        <v>199</v>
      </c>
      <c r="B171" t="s">
        <v>3996</v>
      </c>
      <c r="C171">
        <v>-11.85</v>
      </c>
      <c r="D171">
        <v>0.62</v>
      </c>
      <c r="E171">
        <v>-5.61</v>
      </c>
      <c r="F171">
        <v>-1.69</v>
      </c>
      <c r="G171">
        <v>-6.21</v>
      </c>
      <c r="H171">
        <v>26.04</v>
      </c>
      <c r="I171">
        <v>-15.35</v>
      </c>
      <c r="J171">
        <v>-7.29</v>
      </c>
      <c r="K171">
        <v>6.72</v>
      </c>
      <c r="L171">
        <v>-9.09</v>
      </c>
      <c r="M171">
        <v>-22.64</v>
      </c>
      <c r="N171">
        <v>-7.69</v>
      </c>
    </row>
    <row r="172" spans="1:14">
      <c r="A172" s="2" t="s">
        <v>200</v>
      </c>
      <c r="B172" t="s">
        <v>3997</v>
      </c>
      <c r="C172">
        <v>-12.69</v>
      </c>
      <c r="D172">
        <v>13.36</v>
      </c>
      <c r="E172">
        <v>28.35</v>
      </c>
      <c r="F172">
        <v>-8.18</v>
      </c>
      <c r="G172">
        <v>-2.48</v>
      </c>
      <c r="H172">
        <v>-22.82</v>
      </c>
      <c r="I172">
        <v>-41.69</v>
      </c>
      <c r="J172">
        <v>-8.84</v>
      </c>
      <c r="K172">
        <v>12.82</v>
      </c>
      <c r="L172">
        <v>42.18</v>
      </c>
      <c r="M172">
        <v>-16.2</v>
      </c>
      <c r="N172">
        <v>40.25</v>
      </c>
    </row>
    <row r="173" spans="1:14">
      <c r="A173" s="2" t="s">
        <v>201</v>
      </c>
      <c r="B173" t="s">
        <v>3998</v>
      </c>
      <c r="C173">
        <v>-6.99</v>
      </c>
      <c r="D173">
        <v>10.97</v>
      </c>
      <c r="E173">
        <v>-22.06</v>
      </c>
      <c r="F173">
        <v>2.0299999999999998</v>
      </c>
      <c r="G173">
        <v>-23.86</v>
      </c>
      <c r="H173">
        <v>80.510000000000005</v>
      </c>
      <c r="I173">
        <v>33.94</v>
      </c>
      <c r="J173">
        <v>8.3699999999999992</v>
      </c>
      <c r="K173">
        <v>-1.36</v>
      </c>
      <c r="L173">
        <v>-12.11</v>
      </c>
      <c r="M173">
        <v>-11.02</v>
      </c>
      <c r="N173">
        <v>58.17</v>
      </c>
    </row>
    <row r="174" spans="1:14">
      <c r="A174" s="2" t="s">
        <v>202</v>
      </c>
      <c r="B174" t="s">
        <v>3999</v>
      </c>
      <c r="C174">
        <v>-14.82</v>
      </c>
      <c r="D174">
        <v>16.059999999999999</v>
      </c>
      <c r="E174">
        <v>-6.02</v>
      </c>
      <c r="F174">
        <v>8.9600000000000009</v>
      </c>
      <c r="G174">
        <v>8.77</v>
      </c>
      <c r="H174">
        <v>-2.4500000000000002</v>
      </c>
      <c r="I174">
        <v>-12.67</v>
      </c>
      <c r="J174">
        <v>2.2000000000000002</v>
      </c>
      <c r="K174">
        <v>-4.9800000000000004</v>
      </c>
      <c r="L174">
        <v>-3.15</v>
      </c>
      <c r="M174">
        <v>19.66</v>
      </c>
      <c r="N174">
        <v>41.59</v>
      </c>
    </row>
    <row r="175" spans="1:14">
      <c r="A175" s="2" t="s">
        <v>203</v>
      </c>
      <c r="B175" t="s">
        <v>4000</v>
      </c>
      <c r="C175">
        <v>130.28</v>
      </c>
      <c r="D175">
        <v>-24.83</v>
      </c>
      <c r="E175">
        <v>-33.74</v>
      </c>
      <c r="F175">
        <v>45.11</v>
      </c>
      <c r="G175">
        <v>-14.96</v>
      </c>
      <c r="H175">
        <v>112.82</v>
      </c>
      <c r="I175">
        <v>9.99</v>
      </c>
      <c r="J175">
        <v>46.08</v>
      </c>
      <c r="K175">
        <v>21.7</v>
      </c>
      <c r="L175">
        <v>24.44</v>
      </c>
      <c r="M175">
        <v>-59.7</v>
      </c>
      <c r="N175">
        <v>452.54</v>
      </c>
    </row>
    <row r="176" spans="1:14">
      <c r="A176" s="2" t="s">
        <v>204</v>
      </c>
      <c r="B176" t="s">
        <v>4001</v>
      </c>
      <c r="C176">
        <v>-3.75</v>
      </c>
      <c r="D176">
        <v>3.25</v>
      </c>
      <c r="E176">
        <v>2.57</v>
      </c>
      <c r="F176">
        <v>9.82</v>
      </c>
      <c r="G176">
        <v>1.45</v>
      </c>
      <c r="H176">
        <v>0</v>
      </c>
      <c r="I176">
        <v>-20.05</v>
      </c>
      <c r="J176">
        <v>54.95</v>
      </c>
      <c r="K176">
        <v>17.8</v>
      </c>
      <c r="L176">
        <v>19.87</v>
      </c>
      <c r="M176">
        <v>3.15</v>
      </c>
      <c r="N176">
        <v>15.62</v>
      </c>
    </row>
    <row r="177" spans="1:14">
      <c r="A177" s="2" t="s">
        <v>205</v>
      </c>
      <c r="B177" t="s">
        <v>4002</v>
      </c>
      <c r="C177">
        <v>-50.3</v>
      </c>
      <c r="D177">
        <v>12.51</v>
      </c>
      <c r="E177">
        <v>67.28</v>
      </c>
      <c r="F177">
        <v>-14.48</v>
      </c>
      <c r="G177">
        <v>-25.62</v>
      </c>
      <c r="H177">
        <v>62.07</v>
      </c>
      <c r="I177">
        <v>-8.32</v>
      </c>
      <c r="J177">
        <v>-37.61</v>
      </c>
      <c r="K177">
        <v>44.56</v>
      </c>
      <c r="L177">
        <v>5.47</v>
      </c>
      <c r="M177">
        <v>-42.13</v>
      </c>
      <c r="N177">
        <v>17.02</v>
      </c>
    </row>
    <row r="178" spans="1:14">
      <c r="A178" s="2" t="s">
        <v>206</v>
      </c>
      <c r="B178" t="s">
        <v>4003</v>
      </c>
      <c r="C178">
        <v>14.3</v>
      </c>
      <c r="D178">
        <v>1.67</v>
      </c>
      <c r="E178">
        <v>-8.69</v>
      </c>
      <c r="F178">
        <v>15.25</v>
      </c>
      <c r="G178">
        <v>-3.55</v>
      </c>
      <c r="I178">
        <v>-3.08</v>
      </c>
      <c r="J178">
        <v>-6.17</v>
      </c>
      <c r="K178">
        <v>-8.7200000000000006</v>
      </c>
      <c r="L178">
        <v>2.8</v>
      </c>
      <c r="M178">
        <v>-11.81</v>
      </c>
    </row>
    <row r="179" spans="1:14">
      <c r="A179" s="2" t="s">
        <v>207</v>
      </c>
      <c r="B179" t="s">
        <v>4004</v>
      </c>
      <c r="C179">
        <v>17.100000000000001</v>
      </c>
      <c r="D179">
        <v>-10.79</v>
      </c>
      <c r="E179">
        <v>37.03</v>
      </c>
      <c r="F179">
        <v>1.05</v>
      </c>
      <c r="G179">
        <v>-24.05</v>
      </c>
      <c r="H179">
        <v>-4.21</v>
      </c>
      <c r="I179">
        <v>5.42</v>
      </c>
      <c r="J179">
        <v>-36</v>
      </c>
      <c r="K179">
        <v>22.95</v>
      </c>
      <c r="L179">
        <v>0.79</v>
      </c>
      <c r="M179">
        <v>-30.43</v>
      </c>
      <c r="N179">
        <v>14.13</v>
      </c>
    </row>
    <row r="180" spans="1:14">
      <c r="A180" s="2" t="s">
        <v>208</v>
      </c>
      <c r="B180" t="s">
        <v>4005</v>
      </c>
      <c r="C180">
        <v>-0.39</v>
      </c>
      <c r="D180">
        <v>4.2300000000000004</v>
      </c>
      <c r="E180">
        <v>2.6</v>
      </c>
      <c r="F180">
        <v>1.1200000000000001</v>
      </c>
      <c r="G180">
        <v>-3.72</v>
      </c>
      <c r="H180">
        <v>3.81</v>
      </c>
      <c r="I180">
        <v>-7.55</v>
      </c>
      <c r="J180">
        <v>-4.7</v>
      </c>
      <c r="K180">
        <v>-7.71</v>
      </c>
      <c r="L180">
        <v>2.84</v>
      </c>
      <c r="M180">
        <v>-4.29</v>
      </c>
      <c r="N180">
        <v>24.14</v>
      </c>
    </row>
    <row r="181" spans="1:14">
      <c r="A181" s="2" t="s">
        <v>209</v>
      </c>
      <c r="B181" t="s">
        <v>4006</v>
      </c>
      <c r="C181">
        <v>7.28</v>
      </c>
      <c r="D181">
        <v>30.86</v>
      </c>
      <c r="E181">
        <v>-23.1</v>
      </c>
      <c r="F181">
        <v>2.31</v>
      </c>
      <c r="G181">
        <v>3.37</v>
      </c>
      <c r="H181">
        <v>23.2</v>
      </c>
      <c r="I181">
        <v>-41.67</v>
      </c>
      <c r="J181">
        <v>10.8</v>
      </c>
      <c r="K181">
        <v>0.76</v>
      </c>
      <c r="L181">
        <v>-12.27</v>
      </c>
      <c r="M181">
        <v>-8.4499999999999993</v>
      </c>
      <c r="N181">
        <v>-5.68</v>
      </c>
    </row>
    <row r="182" spans="1:14">
      <c r="A182" s="2" t="s">
        <v>210</v>
      </c>
      <c r="B182" t="s">
        <v>4007</v>
      </c>
      <c r="C182">
        <v>12.05</v>
      </c>
      <c r="D182">
        <v>-9.7799999999999994</v>
      </c>
      <c r="E182">
        <v>-0.49</v>
      </c>
      <c r="F182">
        <v>-10.61</v>
      </c>
      <c r="G182">
        <v>5.95</v>
      </c>
      <c r="H182">
        <v>9.59</v>
      </c>
      <c r="I182">
        <v>-8.69</v>
      </c>
      <c r="J182">
        <v>-16.079999999999998</v>
      </c>
      <c r="K182">
        <v>15.57</v>
      </c>
      <c r="L182">
        <v>-21.19</v>
      </c>
      <c r="M182">
        <v>-23.34</v>
      </c>
      <c r="N182">
        <v>-2.0699999999999998</v>
      </c>
    </row>
    <row r="183" spans="1:14">
      <c r="A183" s="2" t="s">
        <v>211</v>
      </c>
      <c r="B183" t="s">
        <v>31</v>
      </c>
      <c r="C183">
        <v>-9.75</v>
      </c>
      <c r="D183">
        <v>11.09</v>
      </c>
      <c r="E183">
        <v>-6.27</v>
      </c>
      <c r="F183">
        <v>1.06</v>
      </c>
      <c r="G183">
        <v>11.85</v>
      </c>
      <c r="H183">
        <v>9.6999999999999993</v>
      </c>
      <c r="I183">
        <v>-15.84</v>
      </c>
      <c r="J183">
        <v>-7.71</v>
      </c>
      <c r="K183">
        <v>-8.98</v>
      </c>
      <c r="L183">
        <v>-11.17</v>
      </c>
      <c r="M183">
        <v>-8.91</v>
      </c>
      <c r="N183">
        <v>12.74</v>
      </c>
    </row>
    <row r="184" spans="1:14">
      <c r="A184" s="2" t="s">
        <v>212</v>
      </c>
      <c r="B184" t="s">
        <v>4008</v>
      </c>
      <c r="C184">
        <v>15.26</v>
      </c>
      <c r="D184">
        <v>6.73</v>
      </c>
      <c r="E184">
        <v>-7.52</v>
      </c>
      <c r="F184">
        <v>-2.21</v>
      </c>
      <c r="G184">
        <v>2.0299999999999998</v>
      </c>
      <c r="H184">
        <v>4.1900000000000004</v>
      </c>
      <c r="I184">
        <v>-8.7200000000000006</v>
      </c>
      <c r="J184">
        <v>2.37</v>
      </c>
      <c r="K184">
        <v>-8.36</v>
      </c>
      <c r="L184">
        <v>7.15</v>
      </c>
      <c r="M184">
        <v>3.93</v>
      </c>
      <c r="N184">
        <v>-6.2</v>
      </c>
    </row>
    <row r="185" spans="1:14">
      <c r="A185" s="2" t="s">
        <v>213</v>
      </c>
      <c r="B185" t="s">
        <v>4009</v>
      </c>
      <c r="C185">
        <v>19.79</v>
      </c>
      <c r="D185">
        <v>-17.39</v>
      </c>
      <c r="E185">
        <v>45.97</v>
      </c>
      <c r="F185">
        <v>-23.76</v>
      </c>
      <c r="G185">
        <v>18.649999999999999</v>
      </c>
      <c r="H185">
        <v>-33.76</v>
      </c>
      <c r="I185">
        <v>18.399999999999999</v>
      </c>
      <c r="J185">
        <v>9.3800000000000008</v>
      </c>
      <c r="K185">
        <v>-9.91</v>
      </c>
      <c r="L185">
        <v>-18.149999999999999</v>
      </c>
      <c r="M185">
        <v>-4.79</v>
      </c>
      <c r="N185">
        <v>-11.57</v>
      </c>
    </row>
    <row r="186" spans="1:14">
      <c r="A186" s="2" t="s">
        <v>214</v>
      </c>
      <c r="B186" t="s">
        <v>4010</v>
      </c>
      <c r="C186">
        <v>3.95</v>
      </c>
      <c r="D186">
        <v>14.1</v>
      </c>
      <c r="E186">
        <v>-0.14000000000000001</v>
      </c>
      <c r="F186">
        <v>0.79</v>
      </c>
      <c r="G186">
        <v>19.579999999999998</v>
      </c>
      <c r="H186">
        <v>-1.81</v>
      </c>
      <c r="I186">
        <v>10.33</v>
      </c>
      <c r="J186">
        <v>29.09</v>
      </c>
      <c r="K186">
        <v>10.1</v>
      </c>
      <c r="L186">
        <v>9.42</v>
      </c>
      <c r="M186">
        <v>44.2</v>
      </c>
      <c r="N186">
        <v>57.95</v>
      </c>
    </row>
    <row r="187" spans="1:14">
      <c r="A187" s="2" t="s">
        <v>215</v>
      </c>
      <c r="B187" t="s">
        <v>33</v>
      </c>
      <c r="C187">
        <v>1.83</v>
      </c>
      <c r="D187">
        <v>1.85</v>
      </c>
      <c r="E187">
        <v>-9.48</v>
      </c>
      <c r="F187">
        <v>6.29</v>
      </c>
      <c r="G187">
        <v>12.93</v>
      </c>
      <c r="H187">
        <v>4.45</v>
      </c>
      <c r="I187">
        <v>-15.01</v>
      </c>
      <c r="J187">
        <v>-5.28</v>
      </c>
      <c r="K187">
        <v>-12.04</v>
      </c>
      <c r="L187">
        <v>-12.6</v>
      </c>
      <c r="M187">
        <v>-6.17</v>
      </c>
      <c r="N187">
        <v>16.98</v>
      </c>
    </row>
    <row r="188" spans="1:14">
      <c r="A188" s="2" t="s">
        <v>216</v>
      </c>
      <c r="B188" t="s">
        <v>4011</v>
      </c>
      <c r="C188">
        <v>-9.23</v>
      </c>
      <c r="D188">
        <v>-36.11</v>
      </c>
      <c r="E188">
        <v>65.41</v>
      </c>
      <c r="F188">
        <v>-13.28</v>
      </c>
      <c r="G188">
        <v>-3.3</v>
      </c>
      <c r="H188">
        <v>30.86</v>
      </c>
      <c r="I188">
        <v>-9.3800000000000008</v>
      </c>
      <c r="J188">
        <v>-6.93</v>
      </c>
      <c r="K188">
        <v>-11.78</v>
      </c>
      <c r="L188">
        <v>-4.96</v>
      </c>
      <c r="M188">
        <v>-16.29</v>
      </c>
      <c r="N188">
        <v>17.8</v>
      </c>
    </row>
    <row r="189" spans="1:14">
      <c r="A189" s="2" t="s">
        <v>217</v>
      </c>
      <c r="B189" t="s">
        <v>4012</v>
      </c>
      <c r="C189">
        <v>3.06</v>
      </c>
      <c r="D189">
        <v>8.76</v>
      </c>
      <c r="E189">
        <v>1.88</v>
      </c>
      <c r="F189">
        <v>-9.86</v>
      </c>
      <c r="G189">
        <v>-2.11</v>
      </c>
      <c r="H189">
        <v>8.67</v>
      </c>
      <c r="I189">
        <v>-2.34</v>
      </c>
      <c r="J189">
        <v>9.01</v>
      </c>
      <c r="K189">
        <v>19.43</v>
      </c>
      <c r="L189">
        <v>-2.88</v>
      </c>
      <c r="M189">
        <v>4.8</v>
      </c>
      <c r="N189">
        <v>16.57</v>
      </c>
    </row>
    <row r="190" spans="1:14">
      <c r="A190" s="2" t="s">
        <v>218</v>
      </c>
      <c r="B190" t="s">
        <v>4013</v>
      </c>
      <c r="C190">
        <v>-29.58</v>
      </c>
      <c r="D190">
        <v>46.63</v>
      </c>
      <c r="E190">
        <v>-34.840000000000003</v>
      </c>
      <c r="F190">
        <v>-25.08</v>
      </c>
      <c r="G190">
        <v>116.12</v>
      </c>
      <c r="H190">
        <v>-21.92</v>
      </c>
      <c r="I190">
        <v>-33.07</v>
      </c>
      <c r="J190">
        <v>-21.09</v>
      </c>
      <c r="K190">
        <v>-25.19</v>
      </c>
      <c r="L190">
        <v>-45.57</v>
      </c>
      <c r="M190">
        <v>14.87</v>
      </c>
      <c r="N190">
        <v>-0.24</v>
      </c>
    </row>
    <row r="191" spans="1:14">
      <c r="A191" s="2" t="s">
        <v>219</v>
      </c>
      <c r="B191" t="s">
        <v>4014</v>
      </c>
      <c r="C191">
        <v>14.37</v>
      </c>
      <c r="D191">
        <v>6.4</v>
      </c>
      <c r="E191">
        <v>-8.52</v>
      </c>
      <c r="F191">
        <v>-8.73</v>
      </c>
      <c r="G191">
        <v>-11.2</v>
      </c>
      <c r="H191">
        <v>74.55</v>
      </c>
      <c r="I191">
        <v>3.24</v>
      </c>
      <c r="J191">
        <v>6.61</v>
      </c>
      <c r="K191">
        <v>9.82</v>
      </c>
      <c r="L191">
        <v>0.46</v>
      </c>
      <c r="M191">
        <v>-8.1199999999999992</v>
      </c>
      <c r="N191">
        <v>23.03</v>
      </c>
    </row>
    <row r="192" spans="1:14">
      <c r="A192" s="2" t="s">
        <v>220</v>
      </c>
      <c r="B192" t="s">
        <v>4015</v>
      </c>
      <c r="C192">
        <v>-9.7899999999999991</v>
      </c>
      <c r="D192">
        <v>18.93</v>
      </c>
      <c r="E192">
        <v>-7.32</v>
      </c>
      <c r="F192">
        <v>-18.07</v>
      </c>
      <c r="G192">
        <v>30.99</v>
      </c>
      <c r="H192">
        <v>-32.799999999999997</v>
      </c>
      <c r="I192">
        <v>-51.9</v>
      </c>
      <c r="J192">
        <v>-2.06</v>
      </c>
      <c r="K192">
        <v>-26.54</v>
      </c>
      <c r="L192">
        <v>-31.68</v>
      </c>
      <c r="M192">
        <v>-16.66</v>
      </c>
      <c r="N192">
        <v>-44.01</v>
      </c>
    </row>
    <row r="193" spans="1:14">
      <c r="A193" s="2" t="s">
        <v>221</v>
      </c>
      <c r="B193" t="s">
        <v>4016</v>
      </c>
      <c r="C193">
        <v>-6.71</v>
      </c>
      <c r="D193">
        <v>-7.75</v>
      </c>
      <c r="E193">
        <v>-11.87</v>
      </c>
      <c r="F193">
        <v>16.62</v>
      </c>
      <c r="G193">
        <v>-1.63</v>
      </c>
      <c r="H193">
        <v>23.92</v>
      </c>
      <c r="I193">
        <v>-14.51</v>
      </c>
      <c r="J193">
        <v>-0.71</v>
      </c>
      <c r="K193">
        <v>-35.700000000000003</v>
      </c>
      <c r="L193">
        <v>-19.440000000000001</v>
      </c>
      <c r="M193">
        <v>-11.37</v>
      </c>
      <c r="N193">
        <v>5.91</v>
      </c>
    </row>
    <row r="194" spans="1:14">
      <c r="A194" s="2" t="s">
        <v>222</v>
      </c>
      <c r="B194" t="s">
        <v>4017</v>
      </c>
      <c r="C194">
        <v>-1.56</v>
      </c>
      <c r="D194">
        <v>1.87</v>
      </c>
      <c r="E194">
        <v>9.61</v>
      </c>
      <c r="F194">
        <v>-1.92</v>
      </c>
      <c r="G194">
        <v>5.17</v>
      </c>
      <c r="H194">
        <v>13.67</v>
      </c>
      <c r="I194">
        <v>-2.82</v>
      </c>
      <c r="J194">
        <v>-2.13</v>
      </c>
      <c r="K194">
        <v>1.44</v>
      </c>
      <c r="L194">
        <v>-6.9</v>
      </c>
      <c r="M194">
        <v>-10.77</v>
      </c>
      <c r="N194">
        <v>14.82</v>
      </c>
    </row>
    <row r="195" spans="1:14">
      <c r="A195" s="2" t="s">
        <v>223</v>
      </c>
      <c r="B195" t="s">
        <v>32</v>
      </c>
      <c r="C195">
        <v>-11.17</v>
      </c>
      <c r="D195">
        <v>14.12</v>
      </c>
      <c r="E195">
        <v>-15.84</v>
      </c>
      <c r="F195">
        <v>14.21</v>
      </c>
      <c r="G195">
        <v>-7.85</v>
      </c>
      <c r="H195">
        <v>-25.5</v>
      </c>
      <c r="I195">
        <v>-27.8</v>
      </c>
      <c r="J195">
        <v>-10.9</v>
      </c>
      <c r="K195">
        <v>-25.7</v>
      </c>
      <c r="L195">
        <v>2.33</v>
      </c>
      <c r="M195">
        <v>25.08</v>
      </c>
      <c r="N195">
        <v>-9.74</v>
      </c>
    </row>
    <row r="196" spans="1:14">
      <c r="A196" s="2" t="s">
        <v>224</v>
      </c>
      <c r="B196" t="s">
        <v>4018</v>
      </c>
      <c r="C196">
        <v>7.78</v>
      </c>
      <c r="D196">
        <v>2.36</v>
      </c>
      <c r="E196">
        <v>5.32</v>
      </c>
      <c r="F196">
        <v>-4.34</v>
      </c>
      <c r="G196">
        <v>-9.48</v>
      </c>
      <c r="H196">
        <v>68.239999999999995</v>
      </c>
      <c r="I196">
        <v>-5.94</v>
      </c>
      <c r="J196">
        <v>-2.66</v>
      </c>
      <c r="K196">
        <v>-7.5</v>
      </c>
      <c r="L196">
        <v>-7.86</v>
      </c>
      <c r="M196">
        <v>2.63</v>
      </c>
      <c r="N196">
        <v>-2.06</v>
      </c>
    </row>
    <row r="197" spans="1:14">
      <c r="A197" s="2" t="s">
        <v>225</v>
      </c>
      <c r="B197" t="s">
        <v>4019</v>
      </c>
      <c r="C197">
        <v>-12.82</v>
      </c>
      <c r="D197">
        <v>14.85</v>
      </c>
      <c r="E197">
        <v>3.72</v>
      </c>
      <c r="F197">
        <v>0.06</v>
      </c>
      <c r="G197">
        <v>8.19</v>
      </c>
      <c r="H197">
        <v>28.56</v>
      </c>
      <c r="I197">
        <v>-3.69</v>
      </c>
      <c r="J197">
        <v>11.79</v>
      </c>
      <c r="K197">
        <v>11.46</v>
      </c>
      <c r="L197">
        <v>4.84</v>
      </c>
      <c r="M197">
        <v>14.71</v>
      </c>
      <c r="N197">
        <v>4.1500000000000004</v>
      </c>
    </row>
    <row r="198" spans="1:14">
      <c r="A198" s="2" t="s">
        <v>226</v>
      </c>
      <c r="B198" t="s">
        <v>4020</v>
      </c>
      <c r="C198">
        <v>-2.65</v>
      </c>
      <c r="D198">
        <v>2.12</v>
      </c>
      <c r="E198">
        <v>-0.56000000000000005</v>
      </c>
      <c r="F198">
        <v>-1.46</v>
      </c>
      <c r="G198">
        <v>-2.58</v>
      </c>
      <c r="H198">
        <v>13.86</v>
      </c>
      <c r="I198">
        <v>18.66</v>
      </c>
      <c r="J198">
        <v>17.72</v>
      </c>
      <c r="K198">
        <v>27.83</v>
      </c>
      <c r="L198">
        <v>22.55</v>
      </c>
      <c r="M198">
        <v>-3.32</v>
      </c>
      <c r="N198">
        <v>9.75</v>
      </c>
    </row>
    <row r="199" spans="1:14">
      <c r="A199" s="2" t="s">
        <v>227</v>
      </c>
      <c r="B199" t="s">
        <v>4021</v>
      </c>
      <c r="C199">
        <v>34.479999999999997</v>
      </c>
      <c r="D199">
        <v>23.28</v>
      </c>
      <c r="E199">
        <v>-14.13</v>
      </c>
      <c r="F199">
        <v>-9.65</v>
      </c>
      <c r="G199">
        <v>1.78</v>
      </c>
      <c r="H199">
        <v>39.909999999999997</v>
      </c>
      <c r="I199">
        <v>-19.86</v>
      </c>
      <c r="J199">
        <v>-2.89</v>
      </c>
      <c r="K199">
        <v>-0.79</v>
      </c>
      <c r="L199">
        <v>10.88</v>
      </c>
      <c r="M199">
        <v>-16.149999999999999</v>
      </c>
      <c r="N199">
        <v>17.87</v>
      </c>
    </row>
    <row r="200" spans="1:14">
      <c r="A200" s="2" t="s">
        <v>228</v>
      </c>
      <c r="B200" t="s">
        <v>4022</v>
      </c>
      <c r="C200">
        <v>-12.31</v>
      </c>
      <c r="D200">
        <v>28.42</v>
      </c>
      <c r="E200">
        <v>-16.739999999999998</v>
      </c>
      <c r="F200">
        <v>2.85</v>
      </c>
      <c r="G200">
        <v>14.63</v>
      </c>
      <c r="I200">
        <v>-8.77</v>
      </c>
      <c r="J200">
        <v>56.67</v>
      </c>
      <c r="K200">
        <v>-5.47</v>
      </c>
      <c r="L200">
        <v>3.22</v>
      </c>
      <c r="M200">
        <v>10.7</v>
      </c>
    </row>
    <row r="201" spans="1:14">
      <c r="A201" s="2" t="s">
        <v>229</v>
      </c>
      <c r="B201" t="s">
        <v>4023</v>
      </c>
      <c r="C201">
        <v>-0.72</v>
      </c>
      <c r="D201">
        <v>10.33</v>
      </c>
      <c r="E201">
        <v>-8.02</v>
      </c>
      <c r="F201">
        <v>-4.2699999999999996</v>
      </c>
      <c r="G201">
        <v>16.29</v>
      </c>
      <c r="H201">
        <v>9.7799999999999994</v>
      </c>
      <c r="I201">
        <v>-22.72</v>
      </c>
      <c r="J201">
        <v>-8.9499999999999993</v>
      </c>
      <c r="K201">
        <v>-14.84</v>
      </c>
      <c r="L201">
        <v>-24.57</v>
      </c>
      <c r="M201">
        <v>-7.02</v>
      </c>
      <c r="N201">
        <v>20.51</v>
      </c>
    </row>
    <row r="202" spans="1:14">
      <c r="A202" s="2" t="s">
        <v>230</v>
      </c>
      <c r="B202" t="s">
        <v>4024</v>
      </c>
      <c r="C202">
        <v>17.32</v>
      </c>
      <c r="D202">
        <v>20.18</v>
      </c>
      <c r="E202">
        <v>2.44</v>
      </c>
      <c r="F202">
        <v>18.64</v>
      </c>
      <c r="G202">
        <v>52.85</v>
      </c>
      <c r="H202">
        <v>-56.19</v>
      </c>
      <c r="I202">
        <v>-3.24</v>
      </c>
      <c r="J202">
        <v>0.95</v>
      </c>
      <c r="K202">
        <v>7.03</v>
      </c>
      <c r="L202">
        <v>10.23</v>
      </c>
      <c r="M202">
        <v>15.65</v>
      </c>
      <c r="N202">
        <v>14.89</v>
      </c>
    </row>
    <row r="203" spans="1:14">
      <c r="A203" s="2" t="s">
        <v>231</v>
      </c>
      <c r="B203" t="s">
        <v>4025</v>
      </c>
      <c r="C203">
        <v>8.65</v>
      </c>
      <c r="D203">
        <v>-7.24</v>
      </c>
      <c r="E203">
        <v>2.5299999999999998</v>
      </c>
      <c r="F203">
        <v>-5.59</v>
      </c>
      <c r="G203">
        <v>11.31</v>
      </c>
      <c r="H203">
        <v>-3.07</v>
      </c>
      <c r="I203">
        <v>-4.1399999999999997</v>
      </c>
      <c r="J203">
        <v>-6.84</v>
      </c>
      <c r="K203">
        <v>2.2000000000000002</v>
      </c>
      <c r="L203">
        <v>2.31</v>
      </c>
      <c r="M203">
        <v>7.95</v>
      </c>
      <c r="N203">
        <v>-15.45</v>
      </c>
    </row>
    <row r="204" spans="1:14">
      <c r="A204" s="2" t="s">
        <v>232</v>
      </c>
      <c r="B204" t="s">
        <v>4026</v>
      </c>
      <c r="C204">
        <v>-38.76</v>
      </c>
      <c r="D204">
        <v>14.94</v>
      </c>
      <c r="E204">
        <v>42.94</v>
      </c>
      <c r="F204">
        <v>-20.83</v>
      </c>
      <c r="G204">
        <v>-4.6900000000000004</v>
      </c>
      <c r="H204">
        <v>-3.11</v>
      </c>
      <c r="I204">
        <v>-71.430000000000007</v>
      </c>
      <c r="J204">
        <v>-66.5</v>
      </c>
      <c r="K204">
        <v>-53.88</v>
      </c>
      <c r="L204">
        <v>-58.86</v>
      </c>
      <c r="M204">
        <v>-35.57</v>
      </c>
      <c r="N204">
        <v>-44.96</v>
      </c>
    </row>
    <row r="205" spans="1:14">
      <c r="A205" s="2" t="s">
        <v>233</v>
      </c>
      <c r="B205" t="s">
        <v>4027</v>
      </c>
      <c r="C205">
        <v>-18.14</v>
      </c>
      <c r="D205">
        <v>25.79</v>
      </c>
      <c r="E205">
        <v>-0.84</v>
      </c>
      <c r="F205">
        <v>-18.84</v>
      </c>
      <c r="G205">
        <v>16.16</v>
      </c>
      <c r="H205">
        <v>19.670000000000002</v>
      </c>
      <c r="I205">
        <v>-18.75</v>
      </c>
      <c r="J205">
        <v>0.33</v>
      </c>
      <c r="K205">
        <v>-13.06</v>
      </c>
      <c r="L205">
        <v>-7.71</v>
      </c>
      <c r="M205">
        <v>-10.63</v>
      </c>
      <c r="N205">
        <v>8.19</v>
      </c>
    </row>
    <row r="206" spans="1:14">
      <c r="A206" s="2" t="s">
        <v>234</v>
      </c>
      <c r="B206" t="s">
        <v>4028</v>
      </c>
      <c r="C206">
        <v>73.45</v>
      </c>
      <c r="D206">
        <v>-45.98</v>
      </c>
      <c r="E206">
        <v>-1.44</v>
      </c>
      <c r="F206">
        <v>73.66</v>
      </c>
      <c r="G206">
        <v>-22.55</v>
      </c>
      <c r="H206">
        <v>-23.99</v>
      </c>
      <c r="I206">
        <v>4.5599999999999996</v>
      </c>
      <c r="J206">
        <v>3.66</v>
      </c>
      <c r="K206">
        <v>2.62</v>
      </c>
      <c r="L206">
        <v>-1.33</v>
      </c>
      <c r="M206">
        <v>14.88</v>
      </c>
      <c r="N206">
        <v>24.27</v>
      </c>
    </row>
    <row r="207" spans="1:14">
      <c r="A207" s="2" t="s">
        <v>235</v>
      </c>
      <c r="B207" t="s">
        <v>4029</v>
      </c>
      <c r="C207">
        <v>-37.74</v>
      </c>
      <c r="D207">
        <v>-20.02</v>
      </c>
      <c r="E207">
        <v>-62.66</v>
      </c>
      <c r="F207">
        <v>209.74</v>
      </c>
      <c r="G207">
        <v>38.049999999999997</v>
      </c>
      <c r="H207">
        <v>119.12</v>
      </c>
      <c r="I207">
        <v>-70.89</v>
      </c>
      <c r="J207">
        <v>-70.67</v>
      </c>
      <c r="K207">
        <v>-82.44</v>
      </c>
      <c r="L207">
        <v>-59.51</v>
      </c>
      <c r="M207">
        <v>-45.16</v>
      </c>
      <c r="N207">
        <v>40.01</v>
      </c>
    </row>
    <row r="208" spans="1:14">
      <c r="A208" s="2" t="s">
        <v>236</v>
      </c>
      <c r="B208" t="s">
        <v>4030</v>
      </c>
      <c r="C208">
        <v>-4.32</v>
      </c>
      <c r="D208">
        <v>0.35</v>
      </c>
      <c r="E208">
        <v>0.47</v>
      </c>
      <c r="F208">
        <v>8.68</v>
      </c>
      <c r="G208">
        <v>-8.0399999999999991</v>
      </c>
      <c r="H208">
        <v>5.65</v>
      </c>
      <c r="I208">
        <v>-9.07</v>
      </c>
      <c r="J208">
        <v>0.01</v>
      </c>
      <c r="K208">
        <v>-0.52</v>
      </c>
      <c r="L208">
        <v>8.31</v>
      </c>
      <c r="M208">
        <v>0.93</v>
      </c>
      <c r="N208">
        <v>28.51</v>
      </c>
    </row>
    <row r="209" spans="1:14">
      <c r="A209" s="2" t="s">
        <v>237</v>
      </c>
      <c r="B209" t="s">
        <v>4031</v>
      </c>
      <c r="C209">
        <v>-4.82</v>
      </c>
      <c r="D209">
        <v>21.39</v>
      </c>
      <c r="E209">
        <v>-8.06</v>
      </c>
      <c r="F209">
        <v>-5.67</v>
      </c>
      <c r="G209">
        <v>22.82</v>
      </c>
      <c r="H209">
        <v>-7.49</v>
      </c>
      <c r="I209">
        <v>-24.8</v>
      </c>
      <c r="J209">
        <v>-7.61</v>
      </c>
      <c r="K209">
        <v>-20.85</v>
      </c>
      <c r="L209">
        <v>-29</v>
      </c>
      <c r="M209">
        <v>-9.25</v>
      </c>
      <c r="N209">
        <v>18.149999999999999</v>
      </c>
    </row>
    <row r="210" spans="1:14">
      <c r="A210" s="2" t="s">
        <v>238</v>
      </c>
      <c r="B210" t="s">
        <v>4032</v>
      </c>
      <c r="C210">
        <v>1.05</v>
      </c>
      <c r="D210">
        <v>-5.07</v>
      </c>
      <c r="E210">
        <v>23.01</v>
      </c>
      <c r="F210">
        <v>-20.47</v>
      </c>
      <c r="G210">
        <v>-22.2</v>
      </c>
      <c r="H210">
        <v>4.75</v>
      </c>
      <c r="I210">
        <v>-6.64</v>
      </c>
      <c r="J210">
        <v>2.21</v>
      </c>
      <c r="K210">
        <v>20.23</v>
      </c>
      <c r="L210">
        <v>-1.97</v>
      </c>
      <c r="M210">
        <v>-12.38</v>
      </c>
      <c r="N210">
        <v>-10.119999999999999</v>
      </c>
    </row>
    <row r="211" spans="1:14">
      <c r="A211" s="2" t="s">
        <v>239</v>
      </c>
      <c r="B211" t="s">
        <v>4033</v>
      </c>
      <c r="C211">
        <v>-50.52</v>
      </c>
      <c r="D211">
        <v>7.32</v>
      </c>
      <c r="E211">
        <v>44.38</v>
      </c>
      <c r="F211">
        <v>14.03</v>
      </c>
      <c r="G211">
        <v>15.64</v>
      </c>
      <c r="H211">
        <v>-17</v>
      </c>
      <c r="I211">
        <v>-74.17</v>
      </c>
      <c r="J211">
        <v>-69.180000000000007</v>
      </c>
      <c r="K211">
        <v>-44.31</v>
      </c>
      <c r="L211">
        <v>-19.600000000000001</v>
      </c>
      <c r="M211">
        <v>-14.22</v>
      </c>
      <c r="N211">
        <v>-29.35</v>
      </c>
    </row>
    <row r="212" spans="1:14">
      <c r="A212" s="2" t="s">
        <v>240</v>
      </c>
      <c r="B212" t="s">
        <v>4034</v>
      </c>
      <c r="C212">
        <v>7.3</v>
      </c>
      <c r="D212">
        <v>-7.32</v>
      </c>
      <c r="E212">
        <v>-2.6</v>
      </c>
      <c r="F212">
        <v>7.84</v>
      </c>
      <c r="G212">
        <v>35.79</v>
      </c>
      <c r="H212">
        <v>-21.44</v>
      </c>
      <c r="I212">
        <v>27.89</v>
      </c>
      <c r="J212">
        <v>3.28</v>
      </c>
      <c r="K212">
        <v>2.35</v>
      </c>
      <c r="L212">
        <v>-7.41</v>
      </c>
      <c r="M212">
        <v>33.08</v>
      </c>
      <c r="N212">
        <v>7.92</v>
      </c>
    </row>
    <row r="213" spans="1:14">
      <c r="A213" s="2" t="s">
        <v>241</v>
      </c>
      <c r="B213" t="s">
        <v>4035</v>
      </c>
      <c r="C213">
        <v>-15.06</v>
      </c>
      <c r="D213">
        <v>-5.25</v>
      </c>
      <c r="E213">
        <v>18.72</v>
      </c>
      <c r="F213">
        <v>-16.3</v>
      </c>
      <c r="G213">
        <v>63.08</v>
      </c>
      <c r="H213">
        <v>-27.04</v>
      </c>
      <c r="I213">
        <v>-8.2899999999999991</v>
      </c>
      <c r="J213">
        <v>-0.67</v>
      </c>
      <c r="K213">
        <v>11.36</v>
      </c>
      <c r="L213">
        <v>-15.65</v>
      </c>
      <c r="M213">
        <v>14.37</v>
      </c>
      <c r="N213">
        <v>23.56</v>
      </c>
    </row>
    <row r="214" spans="1:14">
      <c r="A214" s="2" t="s">
        <v>242</v>
      </c>
      <c r="B214" t="s">
        <v>4036</v>
      </c>
      <c r="C214">
        <v>-3.84</v>
      </c>
      <c r="D214">
        <v>-1.96</v>
      </c>
      <c r="E214">
        <v>-1.23</v>
      </c>
      <c r="F214">
        <v>14.07</v>
      </c>
      <c r="G214">
        <v>9.91</v>
      </c>
      <c r="H214">
        <v>11.15</v>
      </c>
      <c r="I214">
        <v>34.74</v>
      </c>
      <c r="J214">
        <v>18.97</v>
      </c>
      <c r="K214">
        <v>47.44</v>
      </c>
      <c r="L214">
        <v>26.39</v>
      </c>
      <c r="M214">
        <v>43.77</v>
      </c>
      <c r="N214">
        <v>67.72</v>
      </c>
    </row>
    <row r="215" spans="1:14">
      <c r="A215" s="2" t="s">
        <v>243</v>
      </c>
      <c r="B215" t="s">
        <v>4037</v>
      </c>
      <c r="C215">
        <v>14.24</v>
      </c>
      <c r="D215">
        <v>-29.75</v>
      </c>
      <c r="E215">
        <v>27.63</v>
      </c>
      <c r="F215">
        <v>4.0999999999999996</v>
      </c>
      <c r="G215">
        <v>17.52</v>
      </c>
      <c r="H215">
        <v>-19.97</v>
      </c>
      <c r="I215">
        <v>0.02</v>
      </c>
      <c r="J215">
        <v>0.02</v>
      </c>
      <c r="K215">
        <v>-4.42</v>
      </c>
      <c r="L215">
        <v>-1.66</v>
      </c>
      <c r="M215">
        <v>1.19</v>
      </c>
      <c r="N215">
        <v>0.48</v>
      </c>
    </row>
    <row r="216" spans="1:14">
      <c r="A216" s="2" t="s">
        <v>244</v>
      </c>
      <c r="B216" t="s">
        <v>4038</v>
      </c>
      <c r="C216">
        <v>-0.36</v>
      </c>
      <c r="D216">
        <v>2.62</v>
      </c>
      <c r="E216">
        <v>3.46</v>
      </c>
      <c r="F216">
        <v>-12.62</v>
      </c>
      <c r="G216">
        <v>20.21</v>
      </c>
      <c r="H216">
        <v>7.31</v>
      </c>
      <c r="I216">
        <v>2.11</v>
      </c>
      <c r="J216">
        <v>6.74</v>
      </c>
      <c r="K216">
        <v>10.96</v>
      </c>
      <c r="L216">
        <v>8.15</v>
      </c>
      <c r="M216">
        <v>7.86</v>
      </c>
      <c r="N216">
        <v>13.81</v>
      </c>
    </row>
    <row r="217" spans="1:14">
      <c r="A217" s="2" t="s">
        <v>245</v>
      </c>
      <c r="B217" t="s">
        <v>4039</v>
      </c>
      <c r="C217">
        <v>72.84</v>
      </c>
      <c r="D217">
        <v>-48.54</v>
      </c>
      <c r="E217">
        <v>75.150000000000006</v>
      </c>
      <c r="F217">
        <v>-32.700000000000003</v>
      </c>
      <c r="G217">
        <v>133.53</v>
      </c>
      <c r="H217">
        <v>-73.989999999999995</v>
      </c>
      <c r="I217">
        <v>62.71</v>
      </c>
      <c r="J217">
        <v>-33.31</v>
      </c>
      <c r="K217">
        <v>36.43</v>
      </c>
      <c r="L217">
        <v>-2.12</v>
      </c>
      <c r="M217">
        <v>-17.96</v>
      </c>
      <c r="N217">
        <v>-38.82</v>
      </c>
    </row>
    <row r="218" spans="1:14">
      <c r="A218" s="2" t="s">
        <v>246</v>
      </c>
      <c r="B218" t="s">
        <v>4040</v>
      </c>
      <c r="C218">
        <v>-51.62</v>
      </c>
      <c r="D218">
        <v>4.63</v>
      </c>
      <c r="E218">
        <v>126.85</v>
      </c>
      <c r="F218">
        <v>-61.54</v>
      </c>
      <c r="G218">
        <v>130.65</v>
      </c>
      <c r="I218">
        <v>-12.49</v>
      </c>
      <c r="J218">
        <v>2.25</v>
      </c>
      <c r="K218">
        <v>46.04</v>
      </c>
      <c r="L218">
        <v>-0.18</v>
      </c>
      <c r="M218">
        <v>66.89</v>
      </c>
    </row>
    <row r="219" spans="1:14">
      <c r="A219" s="2" t="s">
        <v>247</v>
      </c>
      <c r="B219" t="s">
        <v>4041</v>
      </c>
      <c r="C219">
        <v>39.159999999999997</v>
      </c>
      <c r="D219">
        <v>-14.51</v>
      </c>
      <c r="E219">
        <v>6.27</v>
      </c>
      <c r="F219">
        <v>-2.7</v>
      </c>
      <c r="G219">
        <v>8.77</v>
      </c>
      <c r="H219">
        <v>-12.05</v>
      </c>
      <c r="I219">
        <v>56.61</v>
      </c>
      <c r="J219">
        <v>6.44</v>
      </c>
      <c r="K219">
        <v>12.37</v>
      </c>
      <c r="L219">
        <v>19.670000000000002</v>
      </c>
      <c r="M219">
        <v>11.6</v>
      </c>
      <c r="N219">
        <v>-10.83</v>
      </c>
    </row>
    <row r="220" spans="1:14">
      <c r="A220" s="2" t="s">
        <v>248</v>
      </c>
      <c r="B220" t="s">
        <v>4042</v>
      </c>
      <c r="C220">
        <v>52.64</v>
      </c>
      <c r="D220">
        <v>29.75</v>
      </c>
      <c r="E220">
        <v>-61.28</v>
      </c>
      <c r="F220">
        <v>119.04</v>
      </c>
      <c r="G220">
        <v>3.82</v>
      </c>
      <c r="H220">
        <v>14.74</v>
      </c>
      <c r="I220">
        <v>13.54</v>
      </c>
      <c r="J220">
        <v>14.35</v>
      </c>
      <c r="K220">
        <v>-37.700000000000003</v>
      </c>
      <c r="L220">
        <v>72.86</v>
      </c>
      <c r="M220">
        <v>-1.34</v>
      </c>
      <c r="N220">
        <v>140.24</v>
      </c>
    </row>
    <row r="221" spans="1:14">
      <c r="A221" s="2" t="s">
        <v>249</v>
      </c>
      <c r="B221" t="s">
        <v>4043</v>
      </c>
      <c r="C221">
        <v>-2.9</v>
      </c>
      <c r="D221">
        <v>6.96</v>
      </c>
      <c r="E221">
        <v>-3.98</v>
      </c>
      <c r="F221">
        <v>1.39</v>
      </c>
      <c r="G221">
        <v>3.74</v>
      </c>
      <c r="H221">
        <v>-1.96</v>
      </c>
      <c r="I221">
        <v>-0.14000000000000001</v>
      </c>
      <c r="J221">
        <v>14.84</v>
      </c>
      <c r="K221">
        <v>-2.58</v>
      </c>
      <c r="L221">
        <v>-7.21</v>
      </c>
      <c r="M221">
        <v>-6.39</v>
      </c>
      <c r="N221">
        <v>17.57</v>
      </c>
    </row>
    <row r="222" spans="1:14">
      <c r="A222" s="2" t="s">
        <v>250</v>
      </c>
      <c r="B222" t="s">
        <v>4044</v>
      </c>
      <c r="C222">
        <v>0.88</v>
      </c>
      <c r="D222">
        <v>-0.87</v>
      </c>
      <c r="E222">
        <v>0.88</v>
      </c>
      <c r="F222">
        <v>-0.87</v>
      </c>
      <c r="G222">
        <v>164311.4</v>
      </c>
      <c r="H222">
        <v>-99.94</v>
      </c>
      <c r="I222">
        <v>-81.36</v>
      </c>
      <c r="J222">
        <v>165.12</v>
      </c>
      <c r="K222">
        <v>0.88</v>
      </c>
      <c r="L222">
        <v>-99.97</v>
      </c>
      <c r="M222">
        <v>-6.42</v>
      </c>
      <c r="N222">
        <v>-99.76</v>
      </c>
    </row>
    <row r="223" spans="1:14">
      <c r="A223" s="2" t="s">
        <v>251</v>
      </c>
      <c r="B223" t="s">
        <v>4045</v>
      </c>
      <c r="C223">
        <v>-9.02</v>
      </c>
      <c r="D223">
        <v>7.22</v>
      </c>
      <c r="E223">
        <v>5.08</v>
      </c>
      <c r="F223">
        <v>-12.47</v>
      </c>
      <c r="G223">
        <v>-26.09</v>
      </c>
      <c r="H223">
        <v>60.75</v>
      </c>
      <c r="I223">
        <v>-23.39</v>
      </c>
      <c r="J223">
        <v>-4.3</v>
      </c>
      <c r="K223">
        <v>-5.16</v>
      </c>
      <c r="L223">
        <v>-21.14</v>
      </c>
      <c r="M223">
        <v>-36.49</v>
      </c>
      <c r="N223">
        <v>8.2100000000000009</v>
      </c>
    </row>
    <row r="224" spans="1:14">
      <c r="A224" s="2" t="s">
        <v>252</v>
      </c>
      <c r="B224" t="s">
        <v>4046</v>
      </c>
      <c r="C224">
        <v>-93.92</v>
      </c>
      <c r="D224">
        <v>2.1800000000000002</v>
      </c>
      <c r="E224">
        <v>24.21</v>
      </c>
      <c r="F224">
        <v>97813.7</v>
      </c>
      <c r="G224">
        <v>73.510000000000005</v>
      </c>
      <c r="H224">
        <v>-62.06</v>
      </c>
      <c r="I224">
        <v>-99.59</v>
      </c>
      <c r="J224">
        <v>-99.66</v>
      </c>
      <c r="K224">
        <v>-97.99</v>
      </c>
      <c r="L224">
        <v>20487.07</v>
      </c>
      <c r="M224">
        <v>5984.36</v>
      </c>
      <c r="N224">
        <v>5750.28</v>
      </c>
    </row>
    <row r="225" spans="1:14">
      <c r="A225" s="2" t="s">
        <v>253</v>
      </c>
      <c r="B225" t="s">
        <v>4047</v>
      </c>
      <c r="C225">
        <v>-1.1399999999999999</v>
      </c>
      <c r="D225">
        <v>-2.5</v>
      </c>
      <c r="E225">
        <v>4.1500000000000004</v>
      </c>
      <c r="F225">
        <v>-17.260000000000002</v>
      </c>
      <c r="G225">
        <v>21.8</v>
      </c>
      <c r="H225">
        <v>2.38</v>
      </c>
      <c r="I225">
        <v>19.71</v>
      </c>
      <c r="J225">
        <v>13.91</v>
      </c>
      <c r="K225">
        <v>16.21</v>
      </c>
      <c r="L225">
        <v>-12.31</v>
      </c>
      <c r="M225">
        <v>-4.87</v>
      </c>
      <c r="N225">
        <v>25.87</v>
      </c>
    </row>
    <row r="226" spans="1:14">
      <c r="A226" s="2" t="s">
        <v>254</v>
      </c>
      <c r="B226" t="s">
        <v>4048</v>
      </c>
      <c r="C226">
        <v>-18.690000000000001</v>
      </c>
      <c r="D226">
        <v>2.2999999999999998</v>
      </c>
      <c r="E226">
        <v>4.05</v>
      </c>
      <c r="F226">
        <v>4.6100000000000003</v>
      </c>
      <c r="G226">
        <v>12.33</v>
      </c>
      <c r="I226">
        <v>-15.03</v>
      </c>
      <c r="J226">
        <v>-10.19</v>
      </c>
      <c r="K226">
        <v>-16.010000000000002</v>
      </c>
      <c r="L226">
        <v>-13.15</v>
      </c>
      <c r="M226">
        <v>-10.61</v>
      </c>
    </row>
    <row r="227" spans="1:14">
      <c r="A227" s="2" t="s">
        <v>255</v>
      </c>
      <c r="B227" t="s">
        <v>4049</v>
      </c>
      <c r="C227">
        <v>-3</v>
      </c>
      <c r="D227">
        <v>6.37</v>
      </c>
      <c r="E227">
        <v>-9.3000000000000007</v>
      </c>
      <c r="F227">
        <v>-6.24</v>
      </c>
      <c r="G227">
        <v>36.25</v>
      </c>
      <c r="H227">
        <v>1.01</v>
      </c>
      <c r="I227">
        <v>0.17</v>
      </c>
      <c r="J227">
        <v>-6.13</v>
      </c>
      <c r="K227">
        <v>-11.98</v>
      </c>
      <c r="L227">
        <v>-18.18</v>
      </c>
      <c r="M227">
        <v>21.7</v>
      </c>
      <c r="N227">
        <v>21.88</v>
      </c>
    </row>
    <row r="228" spans="1:14">
      <c r="A228" s="2" t="s">
        <v>256</v>
      </c>
      <c r="B228" t="s">
        <v>4050</v>
      </c>
      <c r="C228">
        <v>0.18</v>
      </c>
      <c r="D228">
        <v>1.21</v>
      </c>
      <c r="E228">
        <v>9.66</v>
      </c>
      <c r="F228">
        <v>1.41</v>
      </c>
      <c r="G228">
        <v>-12.91</v>
      </c>
      <c r="H228">
        <v>14.38</v>
      </c>
      <c r="I228">
        <v>32.5</v>
      </c>
      <c r="J228">
        <v>29</v>
      </c>
      <c r="K228">
        <v>45.35</v>
      </c>
      <c r="L228">
        <v>34.049999999999997</v>
      </c>
      <c r="M228">
        <v>6.02</v>
      </c>
      <c r="N228">
        <v>19.18</v>
      </c>
    </row>
    <row r="229" spans="1:14">
      <c r="A229" s="2" t="s">
        <v>257</v>
      </c>
      <c r="B229" t="s">
        <v>4051</v>
      </c>
      <c r="C229">
        <v>0.52</v>
      </c>
      <c r="D229">
        <v>-6.33</v>
      </c>
      <c r="E229">
        <v>8.2799999999999994</v>
      </c>
      <c r="F229">
        <v>-6.1</v>
      </c>
      <c r="G229">
        <v>7.94</v>
      </c>
      <c r="H229">
        <v>10.74</v>
      </c>
      <c r="I229">
        <v>-7.64</v>
      </c>
      <c r="J229">
        <v>-9.3000000000000007</v>
      </c>
      <c r="K229">
        <v>-8.11</v>
      </c>
      <c r="L229">
        <v>-7.85</v>
      </c>
      <c r="M229">
        <v>-22.5</v>
      </c>
      <c r="N229">
        <v>26.44</v>
      </c>
    </row>
    <row r="230" spans="1:14">
      <c r="A230" s="2" t="s">
        <v>258</v>
      </c>
      <c r="B230" t="s">
        <v>4052</v>
      </c>
      <c r="C230">
        <v>13.78</v>
      </c>
      <c r="D230">
        <v>-9.81</v>
      </c>
      <c r="E230">
        <v>7.34</v>
      </c>
      <c r="F230">
        <v>-0.11</v>
      </c>
      <c r="G230">
        <v>3.83</v>
      </c>
      <c r="H230">
        <v>-1.5</v>
      </c>
      <c r="I230">
        <v>-6.38</v>
      </c>
      <c r="J230">
        <v>8.85</v>
      </c>
      <c r="K230">
        <v>7.72</v>
      </c>
      <c r="L230">
        <v>-10.87</v>
      </c>
      <c r="M230">
        <v>-1.54</v>
      </c>
      <c r="N230">
        <v>2.85</v>
      </c>
    </row>
    <row r="231" spans="1:14">
      <c r="A231" s="2" t="s">
        <v>259</v>
      </c>
      <c r="B231" t="s">
        <v>4053</v>
      </c>
      <c r="C231">
        <v>1.8</v>
      </c>
      <c r="D231">
        <v>1.17</v>
      </c>
      <c r="E231">
        <v>6.58</v>
      </c>
      <c r="F231">
        <v>-4.0599999999999996</v>
      </c>
      <c r="G231">
        <v>7.33</v>
      </c>
      <c r="H231">
        <v>-5.9</v>
      </c>
      <c r="I231">
        <v>-3.38</v>
      </c>
      <c r="J231">
        <v>-30.84</v>
      </c>
      <c r="K231">
        <v>4.92</v>
      </c>
      <c r="L231">
        <v>-1.88</v>
      </c>
      <c r="M231">
        <v>-13.56</v>
      </c>
      <c r="N231">
        <v>19.21</v>
      </c>
    </row>
    <row r="232" spans="1:14">
      <c r="A232" s="2" t="s">
        <v>260</v>
      </c>
      <c r="B232" t="s">
        <v>4054</v>
      </c>
      <c r="C232">
        <v>-0.22</v>
      </c>
      <c r="D232">
        <v>2.75</v>
      </c>
      <c r="E232">
        <v>-0.8</v>
      </c>
      <c r="F232">
        <v>-2.5099999999999998</v>
      </c>
      <c r="G232">
        <v>12.17</v>
      </c>
      <c r="I232">
        <v>-15.86</v>
      </c>
      <c r="J232">
        <v>-1.86</v>
      </c>
      <c r="K232">
        <v>-3.3</v>
      </c>
      <c r="L232">
        <v>-9.19</v>
      </c>
      <c r="M232">
        <v>-9.83</v>
      </c>
    </row>
    <row r="233" spans="1:14">
      <c r="A233" s="2" t="s">
        <v>261</v>
      </c>
      <c r="B233" t="s">
        <v>4055</v>
      </c>
      <c r="C233">
        <v>71.38</v>
      </c>
      <c r="D233">
        <v>-11.54</v>
      </c>
      <c r="E233">
        <v>15.08</v>
      </c>
      <c r="F233">
        <v>-23.72</v>
      </c>
      <c r="G233">
        <v>31.07</v>
      </c>
      <c r="H233">
        <v>-3.36</v>
      </c>
      <c r="I233">
        <v>31.3</v>
      </c>
      <c r="J233">
        <v>3.92</v>
      </c>
      <c r="K233">
        <v>-1.1599999999999999</v>
      </c>
      <c r="L233">
        <v>-16.04</v>
      </c>
      <c r="M233">
        <v>67.17</v>
      </c>
      <c r="N233">
        <v>29.21</v>
      </c>
    </row>
    <row r="234" spans="1:14">
      <c r="A234" s="2" t="s">
        <v>262</v>
      </c>
      <c r="B234" t="s">
        <v>4056</v>
      </c>
      <c r="C234">
        <v>1.21</v>
      </c>
      <c r="D234">
        <v>5.17</v>
      </c>
      <c r="E234">
        <v>-2.36</v>
      </c>
      <c r="F234">
        <v>-4.4800000000000004</v>
      </c>
      <c r="G234">
        <v>11.81</v>
      </c>
      <c r="H234">
        <v>-2.44</v>
      </c>
      <c r="I234">
        <v>-11.36</v>
      </c>
      <c r="J234">
        <v>-3.34</v>
      </c>
      <c r="K234">
        <v>-3.81</v>
      </c>
      <c r="L234">
        <v>-13.38</v>
      </c>
      <c r="M234">
        <v>-8.75</v>
      </c>
      <c r="N234">
        <v>12.05</v>
      </c>
    </row>
    <row r="235" spans="1:14">
      <c r="A235" s="2" t="s">
        <v>263</v>
      </c>
      <c r="B235" t="s">
        <v>4057</v>
      </c>
      <c r="C235">
        <v>3.83</v>
      </c>
      <c r="D235">
        <v>2.46</v>
      </c>
      <c r="E235">
        <v>7.58</v>
      </c>
      <c r="F235">
        <v>5.32</v>
      </c>
      <c r="G235">
        <v>-15.46</v>
      </c>
      <c r="H235">
        <v>13.51</v>
      </c>
      <c r="I235">
        <v>-4.1500000000000004</v>
      </c>
      <c r="J235">
        <v>-4.42</v>
      </c>
      <c r="K235">
        <v>-5.32</v>
      </c>
      <c r="L235">
        <v>3.73</v>
      </c>
      <c r="M235">
        <v>-13.59</v>
      </c>
      <c r="N235">
        <v>39.630000000000003</v>
      </c>
    </row>
    <row r="236" spans="1:14">
      <c r="A236" s="2" t="s">
        <v>264</v>
      </c>
      <c r="B236" t="s">
        <v>4058</v>
      </c>
      <c r="C236">
        <v>1.43</v>
      </c>
      <c r="D236">
        <v>-1.43</v>
      </c>
      <c r="E236">
        <v>0.31</v>
      </c>
      <c r="F236">
        <v>3.7</v>
      </c>
      <c r="G236">
        <v>0.69</v>
      </c>
      <c r="H236">
        <v>1.86</v>
      </c>
      <c r="I236">
        <v>-16.41</v>
      </c>
      <c r="J236">
        <v>-8.83</v>
      </c>
      <c r="K236">
        <v>-12.45</v>
      </c>
      <c r="L236">
        <v>-12.59</v>
      </c>
      <c r="M236">
        <v>-13.8</v>
      </c>
      <c r="N236">
        <v>1.19</v>
      </c>
    </row>
    <row r="237" spans="1:14">
      <c r="A237" s="2" t="s">
        <v>265</v>
      </c>
      <c r="B237" t="s">
        <v>4059</v>
      </c>
      <c r="C237">
        <v>-0.36</v>
      </c>
      <c r="D237">
        <v>4.6399999999999997</v>
      </c>
      <c r="E237">
        <v>-3.3</v>
      </c>
      <c r="F237">
        <v>-9.02</v>
      </c>
      <c r="G237">
        <v>20.66</v>
      </c>
      <c r="H237">
        <v>-1.55</v>
      </c>
      <c r="I237">
        <v>-14.06</v>
      </c>
      <c r="J237">
        <v>4.75</v>
      </c>
      <c r="K237">
        <v>0.86</v>
      </c>
      <c r="L237">
        <v>-13.54</v>
      </c>
      <c r="M237">
        <v>-9.34</v>
      </c>
      <c r="N237">
        <v>12.84</v>
      </c>
    </row>
    <row r="238" spans="1:14">
      <c r="A238" s="2" t="s">
        <v>266</v>
      </c>
      <c r="B238" t="s">
        <v>4060</v>
      </c>
      <c r="C238">
        <v>-2.97</v>
      </c>
      <c r="D238">
        <v>-0.79</v>
      </c>
      <c r="E238">
        <v>-29.71</v>
      </c>
      <c r="F238">
        <v>19.36</v>
      </c>
      <c r="G238">
        <v>3.9</v>
      </c>
      <c r="H238">
        <v>17.100000000000001</v>
      </c>
      <c r="I238">
        <v>-41.59</v>
      </c>
      <c r="J238">
        <v>-36.049999999999997</v>
      </c>
      <c r="K238">
        <v>-54.76</v>
      </c>
      <c r="L238">
        <v>-35.15</v>
      </c>
      <c r="M238">
        <v>-31.37</v>
      </c>
      <c r="N238">
        <v>-24.45</v>
      </c>
    </row>
    <row r="239" spans="1:14">
      <c r="A239" s="2" t="s">
        <v>267</v>
      </c>
      <c r="B239" t="s">
        <v>4061</v>
      </c>
      <c r="C239">
        <v>-3.29</v>
      </c>
      <c r="D239">
        <v>8.49</v>
      </c>
      <c r="E239">
        <v>-15.31</v>
      </c>
      <c r="F239">
        <v>-25.52</v>
      </c>
      <c r="G239">
        <v>20.53</v>
      </c>
      <c r="H239">
        <v>-1.8</v>
      </c>
      <c r="I239">
        <v>27.54</v>
      </c>
      <c r="J239">
        <v>52.48</v>
      </c>
      <c r="K239">
        <v>19.91</v>
      </c>
      <c r="L239">
        <v>-9.15</v>
      </c>
      <c r="M239">
        <v>-13.98</v>
      </c>
      <c r="N239">
        <v>3.58</v>
      </c>
    </row>
    <row r="240" spans="1:14">
      <c r="A240" s="2" t="s">
        <v>268</v>
      </c>
      <c r="B240" t="s">
        <v>4062</v>
      </c>
      <c r="C240">
        <v>-8.68</v>
      </c>
      <c r="D240">
        <v>-3.82</v>
      </c>
      <c r="E240">
        <v>-7.24</v>
      </c>
      <c r="F240">
        <v>-2.41</v>
      </c>
      <c r="G240">
        <v>10.23</v>
      </c>
      <c r="H240">
        <v>4.43</v>
      </c>
      <c r="I240">
        <v>-6.89</v>
      </c>
      <c r="J240">
        <v>-2.66</v>
      </c>
      <c r="K240">
        <v>-6.94</v>
      </c>
      <c r="L240">
        <v>-24.01</v>
      </c>
      <c r="M240">
        <v>2.41</v>
      </c>
      <c r="N240">
        <v>56.76</v>
      </c>
    </row>
    <row r="241" spans="1:14">
      <c r="A241" s="2" t="s">
        <v>269</v>
      </c>
      <c r="B241" t="s">
        <v>4063</v>
      </c>
      <c r="C241">
        <v>0.42</v>
      </c>
      <c r="D241">
        <v>-6.27</v>
      </c>
      <c r="E241">
        <v>1.17</v>
      </c>
      <c r="F241">
        <v>2.2999999999999998</v>
      </c>
      <c r="G241">
        <v>-6.19</v>
      </c>
      <c r="I241">
        <v>3.39</v>
      </c>
      <c r="J241">
        <v>-2.42</v>
      </c>
      <c r="K241">
        <v>-1.2</v>
      </c>
      <c r="L241">
        <v>-7.43</v>
      </c>
      <c r="M241">
        <v>-9.92</v>
      </c>
    </row>
    <row r="242" spans="1:14">
      <c r="A242" s="2" t="s">
        <v>270</v>
      </c>
      <c r="B242" t="s">
        <v>4064</v>
      </c>
      <c r="C242">
        <v>1.88</v>
      </c>
      <c r="D242">
        <v>5.43</v>
      </c>
      <c r="E242">
        <v>-6.51</v>
      </c>
      <c r="F242">
        <v>-2.02</v>
      </c>
      <c r="G242">
        <v>-6.1</v>
      </c>
      <c r="H242">
        <v>11.67</v>
      </c>
      <c r="I242">
        <v>-17.75</v>
      </c>
      <c r="J242">
        <v>-14.53</v>
      </c>
      <c r="K242">
        <v>-22.51</v>
      </c>
      <c r="L242">
        <v>-28.2</v>
      </c>
      <c r="M242">
        <v>-23.43</v>
      </c>
      <c r="N242">
        <v>-9.2799999999999994</v>
      </c>
    </row>
    <row r="243" spans="1:14">
      <c r="A243" s="2" t="s">
        <v>271</v>
      </c>
      <c r="B243" t="s">
        <v>4065</v>
      </c>
      <c r="C243">
        <v>-5.2</v>
      </c>
      <c r="D243">
        <v>13.03</v>
      </c>
      <c r="E243">
        <v>-2.62</v>
      </c>
      <c r="F243">
        <v>6.04</v>
      </c>
      <c r="G243">
        <v>5.67</v>
      </c>
      <c r="H243">
        <v>-8.01</v>
      </c>
      <c r="I243">
        <v>3.94</v>
      </c>
      <c r="J243">
        <v>5.78</v>
      </c>
      <c r="K243">
        <v>-3.59</v>
      </c>
      <c r="L243">
        <v>1.1499999999999999</v>
      </c>
      <c r="M243">
        <v>-7.21</v>
      </c>
      <c r="N243">
        <v>-8.4600000000000009</v>
      </c>
    </row>
    <row r="244" spans="1:14">
      <c r="A244" s="2" t="s">
        <v>272</v>
      </c>
      <c r="B244" t="s">
        <v>4066</v>
      </c>
      <c r="C244">
        <v>35.89</v>
      </c>
      <c r="D244">
        <v>10.25</v>
      </c>
      <c r="E244">
        <v>-18.32</v>
      </c>
      <c r="F244">
        <v>-9.77</v>
      </c>
      <c r="G244">
        <v>10.27</v>
      </c>
      <c r="H244">
        <v>10.3</v>
      </c>
      <c r="I244">
        <v>-33.78</v>
      </c>
      <c r="J244">
        <v>-18.28</v>
      </c>
      <c r="K244">
        <v>-36.159999999999997</v>
      </c>
      <c r="L244">
        <v>-46.69</v>
      </c>
      <c r="M244">
        <v>-40.700000000000003</v>
      </c>
      <c r="N244">
        <v>-14.34</v>
      </c>
    </row>
    <row r="245" spans="1:14">
      <c r="A245" s="2" t="s">
        <v>273</v>
      </c>
      <c r="B245" t="s">
        <v>4067</v>
      </c>
      <c r="C245">
        <v>-10.31</v>
      </c>
      <c r="D245">
        <v>4.46</v>
      </c>
      <c r="E245">
        <v>-3.6</v>
      </c>
      <c r="F245">
        <v>-8.09</v>
      </c>
      <c r="G245">
        <v>29.24</v>
      </c>
      <c r="H245">
        <v>-5.8</v>
      </c>
      <c r="I245">
        <v>-23.53</v>
      </c>
      <c r="J245">
        <v>-16.95</v>
      </c>
      <c r="K245">
        <v>-16.88</v>
      </c>
      <c r="L245">
        <v>-30.52</v>
      </c>
      <c r="M245">
        <v>-24.63</v>
      </c>
      <c r="N245">
        <v>11.66</v>
      </c>
    </row>
    <row r="246" spans="1:14">
      <c r="A246" s="2" t="s">
        <v>274</v>
      </c>
      <c r="B246" t="s">
        <v>4068</v>
      </c>
      <c r="C246">
        <v>16.829999999999998</v>
      </c>
      <c r="D246">
        <v>-20.76</v>
      </c>
      <c r="E246">
        <v>3.45</v>
      </c>
      <c r="F246">
        <v>-11.05</v>
      </c>
      <c r="G246">
        <v>3.95</v>
      </c>
      <c r="I246">
        <v>-15.62</v>
      </c>
      <c r="J246">
        <v>-31.72</v>
      </c>
      <c r="K246">
        <v>-20.72</v>
      </c>
      <c r="L246">
        <v>-36.74</v>
      </c>
      <c r="M246">
        <v>-12.33</v>
      </c>
    </row>
    <row r="247" spans="1:14">
      <c r="A247" s="2" t="s">
        <v>275</v>
      </c>
      <c r="B247" t="s">
        <v>4069</v>
      </c>
      <c r="C247">
        <v>-42.58</v>
      </c>
      <c r="D247">
        <v>-4.6399999999999997</v>
      </c>
      <c r="E247">
        <v>-29.42</v>
      </c>
      <c r="F247">
        <v>18.36</v>
      </c>
      <c r="G247">
        <v>8.2799999999999994</v>
      </c>
      <c r="H247">
        <v>16.62</v>
      </c>
      <c r="I247">
        <v>-6.39</v>
      </c>
      <c r="J247">
        <v>-0.39</v>
      </c>
      <c r="K247">
        <v>-29.75</v>
      </c>
      <c r="L247">
        <v>-11.98</v>
      </c>
      <c r="M247">
        <v>3.09</v>
      </c>
      <c r="N247">
        <v>39.909999999999997</v>
      </c>
    </row>
    <row r="248" spans="1:14">
      <c r="A248" s="2" t="s">
        <v>276</v>
      </c>
      <c r="B248" t="s">
        <v>4070</v>
      </c>
      <c r="C248">
        <v>2.77</v>
      </c>
      <c r="D248">
        <v>25.78</v>
      </c>
      <c r="E248">
        <v>-8.7200000000000006</v>
      </c>
      <c r="F248">
        <v>-9.66</v>
      </c>
      <c r="G248">
        <v>9.1</v>
      </c>
      <c r="H248">
        <v>32.1</v>
      </c>
      <c r="I248">
        <v>31.1</v>
      </c>
      <c r="J248">
        <v>42.07</v>
      </c>
      <c r="K248">
        <v>36.26</v>
      </c>
      <c r="L248">
        <v>27.55</v>
      </c>
      <c r="M248">
        <v>29.17</v>
      </c>
      <c r="N248">
        <v>76.64</v>
      </c>
    </row>
    <row r="249" spans="1:14">
      <c r="A249" s="2" t="s">
        <v>277</v>
      </c>
      <c r="B249" t="s">
        <v>4071</v>
      </c>
      <c r="C249">
        <v>8.11</v>
      </c>
      <c r="D249">
        <v>-5.95</v>
      </c>
      <c r="E249">
        <v>4.29</v>
      </c>
      <c r="F249">
        <v>-19.96</v>
      </c>
      <c r="G249">
        <v>16.05</v>
      </c>
      <c r="H249">
        <v>13.3</v>
      </c>
      <c r="I249">
        <v>7.48</v>
      </c>
      <c r="J249">
        <v>-9.94</v>
      </c>
      <c r="K249">
        <v>-6.07</v>
      </c>
      <c r="L249">
        <v>-25.3</v>
      </c>
      <c r="M249">
        <v>-17.18</v>
      </c>
      <c r="N249">
        <v>-6.52</v>
      </c>
    </row>
    <row r="250" spans="1:14">
      <c r="A250" s="2" t="s">
        <v>278</v>
      </c>
      <c r="B250" t="s">
        <v>4072</v>
      </c>
      <c r="C250">
        <v>-5.86</v>
      </c>
      <c r="D250">
        <v>-3.39</v>
      </c>
      <c r="E250">
        <v>9.08</v>
      </c>
      <c r="F250">
        <v>-10.44</v>
      </c>
      <c r="G250">
        <v>21.69</v>
      </c>
      <c r="H250">
        <v>-4.91</v>
      </c>
      <c r="I250">
        <v>-11.54</v>
      </c>
      <c r="J250">
        <v>-2.04</v>
      </c>
      <c r="K250">
        <v>-8.1999999999999993</v>
      </c>
      <c r="L250">
        <v>-29.59</v>
      </c>
      <c r="M250">
        <v>-9.6999999999999993</v>
      </c>
      <c r="N250">
        <v>17.87</v>
      </c>
    </row>
    <row r="251" spans="1:14">
      <c r="A251" s="2" t="s">
        <v>279</v>
      </c>
      <c r="B251" t="s">
        <v>4073</v>
      </c>
      <c r="C251">
        <v>179.97</v>
      </c>
      <c r="D251">
        <v>-42.28</v>
      </c>
      <c r="E251">
        <v>-7.37</v>
      </c>
      <c r="F251">
        <v>58.83</v>
      </c>
      <c r="G251">
        <v>4.29</v>
      </c>
      <c r="H251">
        <v>77.930000000000007</v>
      </c>
      <c r="I251">
        <v>112.79</v>
      </c>
      <c r="J251">
        <v>12.62</v>
      </c>
      <c r="K251">
        <v>-40.92</v>
      </c>
      <c r="L251">
        <v>-40.64</v>
      </c>
      <c r="M251">
        <v>-24.83</v>
      </c>
      <c r="N251">
        <v>174.18</v>
      </c>
    </row>
    <row r="252" spans="1:14">
      <c r="A252" s="2" t="s">
        <v>280</v>
      </c>
      <c r="B252" t="s">
        <v>4074</v>
      </c>
      <c r="C252">
        <v>-1.83</v>
      </c>
      <c r="D252">
        <v>3.65</v>
      </c>
      <c r="E252">
        <v>4.6100000000000003</v>
      </c>
      <c r="F252">
        <v>-20.16</v>
      </c>
      <c r="G252">
        <v>7.26</v>
      </c>
      <c r="H252">
        <v>25.3</v>
      </c>
      <c r="I252">
        <v>13.04</v>
      </c>
      <c r="J252">
        <v>26.95</v>
      </c>
      <c r="K252">
        <v>14.2</v>
      </c>
      <c r="L252">
        <v>8.11</v>
      </c>
      <c r="M252">
        <v>22.58</v>
      </c>
      <c r="N252">
        <v>19.940000000000001</v>
      </c>
    </row>
    <row r="253" spans="1:14">
      <c r="A253" s="2" t="s">
        <v>281</v>
      </c>
      <c r="B253" t="s">
        <v>4075</v>
      </c>
      <c r="C253">
        <v>-9.18</v>
      </c>
      <c r="D253">
        <v>15.35</v>
      </c>
      <c r="E253">
        <v>29.71</v>
      </c>
      <c r="F253">
        <v>-23.89</v>
      </c>
      <c r="G253">
        <v>27.6</v>
      </c>
      <c r="H253">
        <v>11.6</v>
      </c>
      <c r="I253">
        <v>-28.53</v>
      </c>
      <c r="J253">
        <v>-25.42</v>
      </c>
      <c r="K253">
        <v>-4.57</v>
      </c>
      <c r="L253">
        <v>-19.899999999999999</v>
      </c>
      <c r="M253">
        <v>2.85</v>
      </c>
      <c r="N253">
        <v>47.59</v>
      </c>
    </row>
    <row r="254" spans="1:14">
      <c r="A254" s="2" t="s">
        <v>282</v>
      </c>
      <c r="B254" t="s">
        <v>4076</v>
      </c>
      <c r="C254">
        <v>31.71</v>
      </c>
      <c r="D254">
        <v>7.95</v>
      </c>
      <c r="E254">
        <v>-9.91</v>
      </c>
      <c r="F254">
        <v>2.57</v>
      </c>
      <c r="G254">
        <v>-17.66</v>
      </c>
      <c r="H254">
        <v>21.48</v>
      </c>
      <c r="I254">
        <v>-13.33</v>
      </c>
      <c r="J254">
        <v>4.6900000000000004</v>
      </c>
      <c r="K254">
        <v>2.88</v>
      </c>
      <c r="L254">
        <v>-23.4</v>
      </c>
      <c r="M254">
        <v>-39.380000000000003</v>
      </c>
      <c r="N254">
        <v>-6.59</v>
      </c>
    </row>
    <row r="255" spans="1:14">
      <c r="A255" s="2" t="s">
        <v>283</v>
      </c>
      <c r="B255" t="s">
        <v>4077</v>
      </c>
      <c r="C255">
        <v>-2.41</v>
      </c>
      <c r="D255">
        <v>30.71</v>
      </c>
      <c r="E255">
        <v>-19.940000000000001</v>
      </c>
      <c r="F255">
        <v>-11.54</v>
      </c>
      <c r="G255">
        <v>44.51</v>
      </c>
      <c r="H255">
        <v>-10.71</v>
      </c>
      <c r="I255">
        <v>-34.479999999999997</v>
      </c>
      <c r="J255">
        <v>4.51</v>
      </c>
      <c r="K255">
        <v>-13.47</v>
      </c>
      <c r="L255">
        <v>-31.56</v>
      </c>
      <c r="M255">
        <v>-8.1999999999999993</v>
      </c>
      <c r="N255">
        <v>4.46</v>
      </c>
    </row>
    <row r="256" spans="1:14">
      <c r="A256" s="2" t="s">
        <v>284</v>
      </c>
      <c r="B256" t="s">
        <v>4078</v>
      </c>
      <c r="C256">
        <v>-4.83</v>
      </c>
      <c r="D256">
        <v>7.72</v>
      </c>
      <c r="E256">
        <v>-13.68</v>
      </c>
      <c r="F256">
        <v>-13.05</v>
      </c>
      <c r="G256">
        <v>22.52</v>
      </c>
      <c r="H256">
        <v>31.75</v>
      </c>
      <c r="I256">
        <v>-0.14000000000000001</v>
      </c>
      <c r="J256">
        <v>23.1</v>
      </c>
      <c r="K256">
        <v>-10.11</v>
      </c>
      <c r="L256">
        <v>-12.73</v>
      </c>
      <c r="M256">
        <v>-28.75</v>
      </c>
      <c r="N256">
        <v>23.37</v>
      </c>
    </row>
    <row r="257" spans="1:14">
      <c r="A257" s="2" t="s">
        <v>285</v>
      </c>
      <c r="B257" t="s">
        <v>4079</v>
      </c>
      <c r="C257">
        <v>8.4700000000000006</v>
      </c>
      <c r="D257">
        <v>-3.09</v>
      </c>
      <c r="E257">
        <v>-21.09</v>
      </c>
      <c r="F257">
        <v>1.36</v>
      </c>
      <c r="G257">
        <v>20.74</v>
      </c>
      <c r="H257">
        <v>8.15</v>
      </c>
      <c r="I257">
        <v>8.19</v>
      </c>
      <c r="J257">
        <v>15.05</v>
      </c>
      <c r="K257">
        <v>-24.15</v>
      </c>
      <c r="L257">
        <v>-20.85</v>
      </c>
      <c r="M257">
        <v>-0.79</v>
      </c>
      <c r="N257">
        <v>40.270000000000003</v>
      </c>
    </row>
    <row r="258" spans="1:14">
      <c r="A258" s="2" t="s">
        <v>286</v>
      </c>
      <c r="B258" t="s">
        <v>4080</v>
      </c>
      <c r="C258">
        <v>-26.29</v>
      </c>
      <c r="D258">
        <v>15.88</v>
      </c>
      <c r="E258">
        <v>8.5299999999999994</v>
      </c>
      <c r="F258">
        <v>-12.66</v>
      </c>
      <c r="G258">
        <v>27.64</v>
      </c>
      <c r="H258">
        <v>7.4</v>
      </c>
      <c r="I258">
        <v>-4.3499999999999996</v>
      </c>
      <c r="J258">
        <v>28.62</v>
      </c>
      <c r="K258">
        <v>38.159999999999997</v>
      </c>
      <c r="L258">
        <v>-13.91</v>
      </c>
      <c r="M258">
        <v>22.36</v>
      </c>
      <c r="N258">
        <v>14.47</v>
      </c>
    </row>
    <row r="259" spans="1:14">
      <c r="A259" s="2" t="s">
        <v>287</v>
      </c>
      <c r="B259" t="s">
        <v>4081</v>
      </c>
      <c r="C259">
        <v>4.54</v>
      </c>
      <c r="D259">
        <v>-0.86</v>
      </c>
      <c r="E259">
        <v>-24.02</v>
      </c>
      <c r="F259">
        <v>18.34</v>
      </c>
      <c r="G259">
        <v>9.64</v>
      </c>
      <c r="H259">
        <v>-2.02</v>
      </c>
      <c r="I259">
        <v>-26.16</v>
      </c>
      <c r="J259">
        <v>-14.25</v>
      </c>
      <c r="K259">
        <v>-42.75</v>
      </c>
      <c r="L259">
        <v>-37.92</v>
      </c>
      <c r="M259">
        <v>-26.3</v>
      </c>
      <c r="N259">
        <v>-21.54</v>
      </c>
    </row>
    <row r="260" spans="1:14">
      <c r="A260" s="2" t="s">
        <v>288</v>
      </c>
      <c r="B260" t="s">
        <v>4082</v>
      </c>
      <c r="C260">
        <v>24.29</v>
      </c>
      <c r="D260">
        <v>-17.32</v>
      </c>
      <c r="E260">
        <v>-28.33</v>
      </c>
      <c r="F260">
        <v>18.32</v>
      </c>
      <c r="G260">
        <v>29.84</v>
      </c>
      <c r="H260">
        <v>9.16</v>
      </c>
      <c r="I260">
        <v>-24.44</v>
      </c>
      <c r="J260">
        <v>-16.14</v>
      </c>
      <c r="K260">
        <v>-57.43</v>
      </c>
      <c r="L260">
        <v>-44.53</v>
      </c>
      <c r="M260">
        <v>0.44</v>
      </c>
      <c r="N260">
        <v>44.5</v>
      </c>
    </row>
    <row r="261" spans="1:14">
      <c r="A261" s="2" t="s">
        <v>289</v>
      </c>
      <c r="B261" t="s">
        <v>4083</v>
      </c>
      <c r="C261">
        <v>-6.61</v>
      </c>
      <c r="D261">
        <v>8.7100000000000009</v>
      </c>
      <c r="E261">
        <v>-8.19</v>
      </c>
      <c r="F261">
        <v>14.37</v>
      </c>
      <c r="G261">
        <v>32.97</v>
      </c>
      <c r="H261">
        <v>-10.18</v>
      </c>
      <c r="I261">
        <v>-38.83</v>
      </c>
      <c r="J261">
        <v>-15.35</v>
      </c>
      <c r="K261">
        <v>-21.17</v>
      </c>
      <c r="L261">
        <v>-22.32</v>
      </c>
      <c r="M261">
        <v>-19.43</v>
      </c>
      <c r="N261">
        <v>-1.88</v>
      </c>
    </row>
    <row r="262" spans="1:14">
      <c r="A262" s="2" t="s">
        <v>290</v>
      </c>
      <c r="B262" t="s">
        <v>4084</v>
      </c>
      <c r="C262">
        <v>-4.95</v>
      </c>
      <c r="D262">
        <v>9.83</v>
      </c>
      <c r="E262">
        <v>0.52</v>
      </c>
      <c r="F262">
        <v>3.86</v>
      </c>
      <c r="G262">
        <v>1.72</v>
      </c>
      <c r="H262">
        <v>-3.14</v>
      </c>
      <c r="I262">
        <v>-6.77</v>
      </c>
      <c r="J262">
        <v>-3.42</v>
      </c>
      <c r="K262">
        <v>-3.32</v>
      </c>
      <c r="L262">
        <v>1.97</v>
      </c>
      <c r="M262">
        <v>7.62</v>
      </c>
      <c r="N262">
        <v>13.14</v>
      </c>
    </row>
    <row r="263" spans="1:14">
      <c r="A263" s="2" t="s">
        <v>291</v>
      </c>
      <c r="B263" t="s">
        <v>4085</v>
      </c>
      <c r="C263">
        <v>3.44</v>
      </c>
      <c r="D263">
        <v>3.58</v>
      </c>
      <c r="E263">
        <v>3.99</v>
      </c>
      <c r="F263">
        <v>5.88</v>
      </c>
      <c r="G263">
        <v>3.8</v>
      </c>
      <c r="H263">
        <v>3.05</v>
      </c>
      <c r="I263">
        <v>67.459999999999994</v>
      </c>
      <c r="J263">
        <v>83.35</v>
      </c>
      <c r="K263">
        <v>62.87</v>
      </c>
      <c r="L263">
        <v>63.73</v>
      </c>
      <c r="M263">
        <v>53.46</v>
      </c>
      <c r="N263">
        <v>43.9</v>
      </c>
    </row>
    <row r="264" spans="1:14">
      <c r="A264" s="2" t="s">
        <v>292</v>
      </c>
      <c r="B264" t="s">
        <v>4086</v>
      </c>
      <c r="C264">
        <v>-6.03</v>
      </c>
      <c r="D264">
        <v>27.21</v>
      </c>
      <c r="E264">
        <v>-9.4</v>
      </c>
      <c r="F264">
        <v>12.28</v>
      </c>
      <c r="G264">
        <v>10.6</v>
      </c>
      <c r="H264">
        <v>10.32</v>
      </c>
      <c r="I264">
        <v>-17.5</v>
      </c>
      <c r="J264">
        <v>17.329999999999998</v>
      </c>
      <c r="K264">
        <v>-9.23</v>
      </c>
      <c r="L264">
        <v>-3.59</v>
      </c>
      <c r="M264">
        <v>-4.0599999999999996</v>
      </c>
      <c r="N264">
        <v>43.27</v>
      </c>
    </row>
    <row r="265" spans="1:14">
      <c r="A265" s="2" t="s">
        <v>293</v>
      </c>
      <c r="B265" t="s">
        <v>4087</v>
      </c>
      <c r="C265">
        <v>-4.3099999999999996</v>
      </c>
      <c r="D265">
        <v>15.67</v>
      </c>
      <c r="E265">
        <v>-15.33</v>
      </c>
      <c r="F265">
        <v>5.89</v>
      </c>
      <c r="G265">
        <v>17.940000000000001</v>
      </c>
      <c r="H265">
        <v>-7.38</v>
      </c>
      <c r="I265">
        <v>-22.6</v>
      </c>
      <c r="J265">
        <v>1.88</v>
      </c>
      <c r="K265">
        <v>-10.71</v>
      </c>
      <c r="L265">
        <v>9.68</v>
      </c>
      <c r="M265">
        <v>-11.97</v>
      </c>
      <c r="N265">
        <v>22.6</v>
      </c>
    </row>
    <row r="266" spans="1:14">
      <c r="A266" s="2" t="s">
        <v>294</v>
      </c>
      <c r="B266" t="s">
        <v>4088</v>
      </c>
      <c r="C266">
        <v>-32.19</v>
      </c>
      <c r="D266">
        <v>29.71</v>
      </c>
      <c r="E266">
        <v>-42.85</v>
      </c>
      <c r="F266">
        <v>31.71</v>
      </c>
      <c r="G266">
        <v>26.5</v>
      </c>
      <c r="H266">
        <v>-26.94</v>
      </c>
      <c r="I266">
        <v>-4.87</v>
      </c>
      <c r="J266">
        <v>18.8</v>
      </c>
      <c r="K266">
        <v>-29.95</v>
      </c>
      <c r="L266">
        <v>-22.09</v>
      </c>
      <c r="M266">
        <v>-17.829999999999998</v>
      </c>
      <c r="N266">
        <v>-17.170000000000002</v>
      </c>
    </row>
    <row r="267" spans="1:14">
      <c r="A267" s="2" t="s">
        <v>295</v>
      </c>
      <c r="B267" t="s">
        <v>4089</v>
      </c>
      <c r="C267">
        <v>16.09</v>
      </c>
      <c r="D267">
        <v>-1.95</v>
      </c>
      <c r="E267">
        <v>17.37</v>
      </c>
      <c r="F267">
        <v>-2.12</v>
      </c>
      <c r="G267">
        <v>-27.03</v>
      </c>
      <c r="H267">
        <v>33.08</v>
      </c>
      <c r="I267">
        <v>-7.55</v>
      </c>
      <c r="J267">
        <v>1.26</v>
      </c>
      <c r="K267">
        <v>10.91</v>
      </c>
      <c r="L267">
        <v>7.72</v>
      </c>
      <c r="M267">
        <v>-15.12</v>
      </c>
      <c r="N267">
        <v>37.19</v>
      </c>
    </row>
    <row r="268" spans="1:14">
      <c r="A268" s="2" t="s">
        <v>296</v>
      </c>
      <c r="B268" t="s">
        <v>4090</v>
      </c>
      <c r="C268">
        <v>-4.95</v>
      </c>
      <c r="D268">
        <v>-2.0299999999999998</v>
      </c>
      <c r="E268">
        <v>-2.38</v>
      </c>
      <c r="F268">
        <v>2.17</v>
      </c>
      <c r="G268">
        <v>40.54</v>
      </c>
      <c r="H268">
        <v>-17.54</v>
      </c>
      <c r="I268">
        <v>-23.75</v>
      </c>
      <c r="J268">
        <v>-14.52</v>
      </c>
      <c r="K268">
        <v>-6.74</v>
      </c>
      <c r="L268">
        <v>-11.69</v>
      </c>
      <c r="M268">
        <v>8.39</v>
      </c>
      <c r="N268">
        <v>-2.73</v>
      </c>
    </row>
    <row r="269" spans="1:14">
      <c r="A269" s="2" t="s">
        <v>297</v>
      </c>
      <c r="B269" t="s">
        <v>4091</v>
      </c>
      <c r="C269">
        <v>4.04</v>
      </c>
      <c r="D269">
        <v>3.48</v>
      </c>
      <c r="E269">
        <v>2.56</v>
      </c>
      <c r="F269">
        <v>1.1599999999999999</v>
      </c>
      <c r="G269">
        <v>-22.37</v>
      </c>
      <c r="I269">
        <v>-9.77</v>
      </c>
      <c r="J269">
        <v>-15.79</v>
      </c>
      <c r="K269">
        <v>-11.82</v>
      </c>
      <c r="L269">
        <v>3.99</v>
      </c>
      <c r="M269">
        <v>-11.11</v>
      </c>
    </row>
    <row r="270" spans="1:14">
      <c r="A270" s="2" t="s">
        <v>298</v>
      </c>
      <c r="B270" t="s">
        <v>4092</v>
      </c>
      <c r="C270">
        <v>4.5199999999999996</v>
      </c>
      <c r="D270">
        <v>2.61</v>
      </c>
      <c r="E270">
        <v>-5.89</v>
      </c>
      <c r="F270">
        <v>4.59</v>
      </c>
      <c r="G270">
        <v>18.45</v>
      </c>
      <c r="H270">
        <v>-9.14</v>
      </c>
      <c r="I270">
        <v>-6.39</v>
      </c>
      <c r="J270">
        <v>4.1500000000000004</v>
      </c>
      <c r="K270">
        <v>-6.19</v>
      </c>
      <c r="L270">
        <v>-6.75</v>
      </c>
      <c r="M270">
        <v>-3.63</v>
      </c>
      <c r="N270">
        <v>34.6</v>
      </c>
    </row>
    <row r="271" spans="1:14">
      <c r="A271" s="2" t="s">
        <v>299</v>
      </c>
      <c r="B271" t="s">
        <v>4093</v>
      </c>
      <c r="C271">
        <v>-9.9600000000000009</v>
      </c>
      <c r="D271">
        <v>8.51</v>
      </c>
      <c r="E271">
        <v>-2.99</v>
      </c>
      <c r="F271">
        <v>-15.76</v>
      </c>
      <c r="G271">
        <v>41.16</v>
      </c>
      <c r="H271">
        <v>-23.06</v>
      </c>
      <c r="I271">
        <v>-26.89</v>
      </c>
      <c r="J271">
        <v>8.17</v>
      </c>
      <c r="K271">
        <v>-12.27</v>
      </c>
      <c r="L271">
        <v>-17.52</v>
      </c>
      <c r="M271">
        <v>-9.67</v>
      </c>
      <c r="N271">
        <v>-19.23</v>
      </c>
    </row>
    <row r="272" spans="1:14">
      <c r="A272" s="2" t="s">
        <v>300</v>
      </c>
      <c r="B272" t="s">
        <v>4094</v>
      </c>
      <c r="C272">
        <v>5.81</v>
      </c>
      <c r="D272">
        <v>-5.25</v>
      </c>
      <c r="E272">
        <v>-1.18</v>
      </c>
      <c r="F272">
        <v>1.1200000000000001</v>
      </c>
      <c r="G272">
        <v>53.2</v>
      </c>
      <c r="H272">
        <v>-50.3</v>
      </c>
      <c r="I272">
        <v>-29.97</v>
      </c>
      <c r="J272">
        <v>-8.5299999999999994</v>
      </c>
      <c r="K272">
        <v>3.52</v>
      </c>
      <c r="L272">
        <v>-7.02</v>
      </c>
      <c r="M272">
        <v>77.959999999999994</v>
      </c>
      <c r="N272">
        <v>13.87</v>
      </c>
    </row>
    <row r="273" spans="1:14">
      <c r="A273" s="2" t="s">
        <v>301</v>
      </c>
      <c r="B273" t="s">
        <v>4095</v>
      </c>
      <c r="C273">
        <v>3.68</v>
      </c>
      <c r="D273">
        <v>-2.56</v>
      </c>
      <c r="E273">
        <v>1.56</v>
      </c>
      <c r="F273">
        <v>4.5599999999999996</v>
      </c>
      <c r="G273">
        <v>8.41</v>
      </c>
      <c r="H273">
        <v>-13.89</v>
      </c>
      <c r="I273">
        <v>-21.77</v>
      </c>
      <c r="J273">
        <v>3.08</v>
      </c>
      <c r="K273">
        <v>10.18</v>
      </c>
      <c r="L273">
        <v>-19.920000000000002</v>
      </c>
      <c r="M273">
        <v>-17.04</v>
      </c>
      <c r="N273">
        <v>6.95</v>
      </c>
    </row>
    <row r="274" spans="1:14">
      <c r="A274" s="2" t="s">
        <v>302</v>
      </c>
      <c r="B274" t="s">
        <v>4096</v>
      </c>
      <c r="C274">
        <v>-18.7</v>
      </c>
      <c r="D274">
        <v>-6.64</v>
      </c>
      <c r="E274">
        <v>-16.8</v>
      </c>
      <c r="F274">
        <v>-7.96</v>
      </c>
      <c r="G274">
        <v>44.35</v>
      </c>
      <c r="H274">
        <v>-13.61</v>
      </c>
      <c r="I274">
        <v>-20.55</v>
      </c>
      <c r="J274">
        <v>-90.84</v>
      </c>
      <c r="K274">
        <v>-30.14</v>
      </c>
      <c r="L274">
        <v>-22.09</v>
      </c>
      <c r="M274">
        <v>4.43</v>
      </c>
      <c r="N274">
        <v>0.75</v>
      </c>
    </row>
    <row r="275" spans="1:14">
      <c r="A275" s="2" t="s">
        <v>303</v>
      </c>
      <c r="B275" t="s">
        <v>4097</v>
      </c>
      <c r="C275">
        <v>-19.38</v>
      </c>
      <c r="D275">
        <v>33.22</v>
      </c>
      <c r="E275">
        <v>-21.76</v>
      </c>
      <c r="F275">
        <v>43.68</v>
      </c>
      <c r="G275">
        <v>-18.079999999999998</v>
      </c>
      <c r="H275">
        <v>-24.28</v>
      </c>
      <c r="I275">
        <v>-27.65</v>
      </c>
      <c r="J275">
        <v>-29.03</v>
      </c>
      <c r="K275">
        <v>-40.619999999999997</v>
      </c>
      <c r="L275">
        <v>-10.35</v>
      </c>
      <c r="M275">
        <v>19.14</v>
      </c>
      <c r="N275">
        <v>-7.03</v>
      </c>
    </row>
    <row r="276" spans="1:14">
      <c r="A276" s="2" t="s">
        <v>304</v>
      </c>
      <c r="B276" t="s">
        <v>4098</v>
      </c>
      <c r="C276">
        <v>2.98</v>
      </c>
      <c r="D276">
        <v>7.02</v>
      </c>
      <c r="E276">
        <v>-7.36</v>
      </c>
      <c r="F276">
        <v>2.39</v>
      </c>
      <c r="G276">
        <v>-6.62</v>
      </c>
      <c r="H276">
        <v>37.909999999999997</v>
      </c>
      <c r="I276">
        <v>-11.44</v>
      </c>
      <c r="J276">
        <v>-11.2</v>
      </c>
      <c r="K276">
        <v>-18.64</v>
      </c>
      <c r="L276">
        <v>-6.63</v>
      </c>
      <c r="M276">
        <v>-12.43</v>
      </c>
      <c r="N276">
        <v>11.58</v>
      </c>
    </row>
    <row r="277" spans="1:14">
      <c r="A277" s="2" t="s">
        <v>305</v>
      </c>
      <c r="B277" t="s">
        <v>4099</v>
      </c>
      <c r="C277">
        <v>-24.29</v>
      </c>
      <c r="D277">
        <v>-18.989999999999998</v>
      </c>
      <c r="E277">
        <v>29.42</v>
      </c>
      <c r="F277">
        <v>-13.65</v>
      </c>
      <c r="G277">
        <v>-13.11</v>
      </c>
      <c r="I277">
        <v>-23.83</v>
      </c>
      <c r="J277">
        <v>-23.28</v>
      </c>
      <c r="K277">
        <v>-14.05</v>
      </c>
      <c r="L277">
        <v>-15.14</v>
      </c>
      <c r="M277">
        <v>-17.32</v>
      </c>
    </row>
    <row r="278" spans="1:14">
      <c r="A278" s="2" t="s">
        <v>306</v>
      </c>
      <c r="B278" t="s">
        <v>4100</v>
      </c>
      <c r="C278">
        <v>4.21</v>
      </c>
      <c r="D278">
        <v>-0.05</v>
      </c>
      <c r="E278">
        <v>-12.66</v>
      </c>
      <c r="F278">
        <v>-0.23</v>
      </c>
      <c r="G278">
        <v>3.19</v>
      </c>
      <c r="H278">
        <v>11.53</v>
      </c>
      <c r="I278">
        <v>-8.8800000000000008</v>
      </c>
      <c r="J278">
        <v>-5.87</v>
      </c>
      <c r="K278">
        <v>-10.55</v>
      </c>
      <c r="L278">
        <v>-9.06</v>
      </c>
      <c r="M278">
        <v>-6.63</v>
      </c>
      <c r="N278">
        <v>12.61</v>
      </c>
    </row>
    <row r="279" spans="1:14">
      <c r="A279" s="2" t="s">
        <v>307</v>
      </c>
      <c r="B279" t="s">
        <v>4101</v>
      </c>
      <c r="C279">
        <v>6.34</v>
      </c>
      <c r="D279">
        <v>10.35</v>
      </c>
      <c r="E279">
        <v>-6.11</v>
      </c>
      <c r="F279">
        <v>-4.3099999999999996</v>
      </c>
      <c r="G279">
        <v>-4.09</v>
      </c>
      <c r="I279">
        <v>-12.09</v>
      </c>
      <c r="J279">
        <v>3.99</v>
      </c>
      <c r="K279">
        <v>-1.52</v>
      </c>
      <c r="L279">
        <v>3.13</v>
      </c>
      <c r="M279">
        <v>-0.66</v>
      </c>
    </row>
    <row r="280" spans="1:14">
      <c r="A280" s="2" t="s">
        <v>308</v>
      </c>
      <c r="B280" t="s">
        <v>4102</v>
      </c>
      <c r="C280">
        <v>-1.1399999999999999</v>
      </c>
      <c r="D280">
        <v>2.44</v>
      </c>
      <c r="E280">
        <v>-8.57</v>
      </c>
      <c r="F280">
        <v>129.19</v>
      </c>
      <c r="G280">
        <v>-44.62</v>
      </c>
      <c r="H280">
        <v>-16.62</v>
      </c>
      <c r="I280">
        <v>-3.6</v>
      </c>
      <c r="J280">
        <v>-35.54</v>
      </c>
      <c r="K280">
        <v>-1.1599999999999999</v>
      </c>
      <c r="L280">
        <v>104.48</v>
      </c>
      <c r="M280">
        <v>-20.94</v>
      </c>
      <c r="N280">
        <v>21.66</v>
      </c>
    </row>
    <row r="281" spans="1:14">
      <c r="A281" s="2" t="s">
        <v>309</v>
      </c>
      <c r="B281" t="s">
        <v>4103</v>
      </c>
      <c r="C281">
        <v>-4.75</v>
      </c>
      <c r="D281">
        <v>12.65</v>
      </c>
      <c r="E281">
        <v>-10.54</v>
      </c>
      <c r="F281">
        <v>-2.33</v>
      </c>
      <c r="G281">
        <v>15.13</v>
      </c>
      <c r="H281">
        <v>4</v>
      </c>
      <c r="I281">
        <v>-27.31</v>
      </c>
      <c r="J281">
        <v>-26.01</v>
      </c>
      <c r="K281">
        <v>-25.24</v>
      </c>
      <c r="L281">
        <v>-25.12</v>
      </c>
      <c r="M281">
        <v>-17.36</v>
      </c>
      <c r="N281">
        <v>18.260000000000002</v>
      </c>
    </row>
    <row r="282" spans="1:14">
      <c r="A282" s="2" t="s">
        <v>310</v>
      </c>
      <c r="B282" t="s">
        <v>4104</v>
      </c>
      <c r="C282">
        <v>-12.16</v>
      </c>
      <c r="D282">
        <v>-17.170000000000002</v>
      </c>
      <c r="E282">
        <v>50.11</v>
      </c>
      <c r="F282">
        <v>-2.0099999999999998</v>
      </c>
      <c r="G282">
        <v>-6.27</v>
      </c>
      <c r="H282">
        <v>6.64</v>
      </c>
      <c r="I282">
        <v>-24.89</v>
      </c>
      <c r="J282">
        <v>-19.39</v>
      </c>
      <c r="K282">
        <v>-13.67</v>
      </c>
      <c r="L282">
        <v>-11.34</v>
      </c>
      <c r="M282">
        <v>-18.100000000000001</v>
      </c>
      <c r="N282">
        <v>-2.68</v>
      </c>
    </row>
    <row r="283" spans="1:14">
      <c r="A283" s="2" t="s">
        <v>311</v>
      </c>
      <c r="B283" t="s">
        <v>4105</v>
      </c>
      <c r="C283">
        <v>2.46</v>
      </c>
      <c r="D283">
        <v>4.0199999999999996</v>
      </c>
      <c r="E283">
        <v>0.83</v>
      </c>
      <c r="F283">
        <v>2.76</v>
      </c>
      <c r="G283">
        <v>3.23</v>
      </c>
      <c r="H283">
        <v>-5.67</v>
      </c>
      <c r="I283">
        <v>11.69</v>
      </c>
      <c r="J283">
        <v>15.61</v>
      </c>
      <c r="K283">
        <v>9.19</v>
      </c>
      <c r="L283">
        <v>7.7</v>
      </c>
      <c r="M283">
        <v>9.2200000000000006</v>
      </c>
      <c r="N283">
        <v>37.57</v>
      </c>
    </row>
    <row r="284" spans="1:14">
      <c r="A284" s="2" t="s">
        <v>312</v>
      </c>
      <c r="B284" t="s">
        <v>4106</v>
      </c>
      <c r="C284">
        <v>-12.31</v>
      </c>
      <c r="D284">
        <v>5.91</v>
      </c>
      <c r="E284">
        <v>-5.69</v>
      </c>
      <c r="F284">
        <v>21.02</v>
      </c>
      <c r="G284">
        <v>-2.58</v>
      </c>
      <c r="H284">
        <v>20.32</v>
      </c>
      <c r="I284">
        <v>-16.68</v>
      </c>
      <c r="J284">
        <v>-14.01</v>
      </c>
      <c r="K284">
        <v>-13.38</v>
      </c>
      <c r="L284">
        <v>-10.63</v>
      </c>
      <c r="M284">
        <v>1.02</v>
      </c>
      <c r="N284">
        <v>10.1</v>
      </c>
    </row>
    <row r="285" spans="1:14">
      <c r="A285" s="2" t="s">
        <v>313</v>
      </c>
      <c r="B285" t="s">
        <v>4107</v>
      </c>
      <c r="C285">
        <v>-4.18</v>
      </c>
      <c r="D285">
        <v>-1.24</v>
      </c>
      <c r="E285">
        <v>9.33</v>
      </c>
      <c r="F285">
        <v>-2.63</v>
      </c>
      <c r="G285">
        <v>3.79</v>
      </c>
      <c r="I285">
        <v>-15.32</v>
      </c>
      <c r="J285">
        <v>-17.16</v>
      </c>
      <c r="K285">
        <v>-3.41</v>
      </c>
      <c r="L285">
        <v>-3.03</v>
      </c>
      <c r="M285">
        <v>-16.809999999999999</v>
      </c>
    </row>
    <row r="286" spans="1:14">
      <c r="A286" s="2" t="s">
        <v>314</v>
      </c>
      <c r="B286" t="s">
        <v>4108</v>
      </c>
      <c r="C286">
        <v>-8.16</v>
      </c>
      <c r="D286">
        <v>16.04</v>
      </c>
      <c r="E286">
        <v>-8.68</v>
      </c>
      <c r="F286">
        <v>9.6</v>
      </c>
      <c r="G286">
        <v>9.7200000000000006</v>
      </c>
      <c r="H286">
        <v>31.92</v>
      </c>
      <c r="I286">
        <v>23.6</v>
      </c>
      <c r="J286">
        <v>-1.18</v>
      </c>
      <c r="K286">
        <v>3.13</v>
      </c>
      <c r="L286">
        <v>22.39</v>
      </c>
      <c r="M286">
        <v>22.3</v>
      </c>
      <c r="N286">
        <v>47.49</v>
      </c>
    </row>
    <row r="287" spans="1:14">
      <c r="A287" s="2" t="s">
        <v>315</v>
      </c>
      <c r="B287" t="s">
        <v>4109</v>
      </c>
      <c r="C287">
        <v>-14.87</v>
      </c>
      <c r="D287">
        <v>3.65</v>
      </c>
      <c r="E287">
        <v>-0.35</v>
      </c>
      <c r="F287">
        <v>-6.94</v>
      </c>
      <c r="G287">
        <v>3.81</v>
      </c>
      <c r="I287">
        <v>-2.5499999999999998</v>
      </c>
      <c r="J287">
        <v>-5.48</v>
      </c>
      <c r="K287">
        <v>3.45</v>
      </c>
      <c r="L287">
        <v>1.6</v>
      </c>
      <c r="M287">
        <v>-3.42</v>
      </c>
    </row>
    <row r="288" spans="1:14">
      <c r="A288" s="2" t="s">
        <v>316</v>
      </c>
      <c r="B288" t="s">
        <v>4110</v>
      </c>
      <c r="C288">
        <v>-6.37</v>
      </c>
      <c r="D288">
        <v>-12.51</v>
      </c>
      <c r="E288">
        <v>16.010000000000002</v>
      </c>
      <c r="F288">
        <v>-6.01</v>
      </c>
      <c r="G288">
        <v>-4.37</v>
      </c>
      <c r="I288">
        <v>15.09</v>
      </c>
      <c r="J288">
        <v>3.82</v>
      </c>
      <c r="K288">
        <v>7.13</v>
      </c>
      <c r="L288">
        <v>-3.87</v>
      </c>
      <c r="M288">
        <v>-6.57</v>
      </c>
    </row>
    <row r="289" spans="1:14">
      <c r="A289" s="2" t="s">
        <v>317</v>
      </c>
      <c r="B289" t="s">
        <v>4111</v>
      </c>
      <c r="C289">
        <v>8.86</v>
      </c>
      <c r="D289">
        <v>11.83</v>
      </c>
      <c r="E289">
        <v>-28.48</v>
      </c>
      <c r="F289">
        <v>-2.4900000000000002</v>
      </c>
      <c r="G289">
        <v>61.73</v>
      </c>
      <c r="H289">
        <v>32.29</v>
      </c>
      <c r="I289">
        <v>10.63</v>
      </c>
      <c r="J289">
        <v>61.8</v>
      </c>
      <c r="K289">
        <v>29.22</v>
      </c>
      <c r="L289">
        <v>-25.86</v>
      </c>
      <c r="M289">
        <v>71.540000000000006</v>
      </c>
      <c r="N289">
        <v>74.86</v>
      </c>
    </row>
    <row r="290" spans="1:14">
      <c r="A290" s="2" t="s">
        <v>318</v>
      </c>
      <c r="B290" t="s">
        <v>4112</v>
      </c>
      <c r="C290">
        <v>19.78</v>
      </c>
      <c r="D290">
        <v>33.5</v>
      </c>
      <c r="E290">
        <v>-14.4</v>
      </c>
      <c r="F290">
        <v>-17.18</v>
      </c>
      <c r="G290">
        <v>-1.89</v>
      </c>
      <c r="I290">
        <v>9.6</v>
      </c>
      <c r="J290">
        <v>45.08</v>
      </c>
      <c r="K290">
        <v>36.93</v>
      </c>
      <c r="L290">
        <v>1.1000000000000001</v>
      </c>
      <c r="M290">
        <v>-3.57</v>
      </c>
    </row>
    <row r="291" spans="1:14">
      <c r="A291" s="2" t="s">
        <v>319</v>
      </c>
      <c r="B291" t="s">
        <v>4113</v>
      </c>
      <c r="C291">
        <v>8.64</v>
      </c>
      <c r="D291">
        <v>18.39</v>
      </c>
      <c r="E291">
        <v>-21.61</v>
      </c>
      <c r="F291">
        <v>22.6</v>
      </c>
      <c r="G291">
        <v>-4.47</v>
      </c>
      <c r="H291">
        <v>12.43</v>
      </c>
      <c r="I291">
        <v>-21.42</v>
      </c>
      <c r="J291">
        <v>-3.25</v>
      </c>
      <c r="K291">
        <v>-17.07</v>
      </c>
      <c r="L291">
        <v>-7.89</v>
      </c>
      <c r="M291">
        <v>-13.13</v>
      </c>
      <c r="N291">
        <v>34.72</v>
      </c>
    </row>
    <row r="292" spans="1:14">
      <c r="A292" s="2" t="s">
        <v>320</v>
      </c>
      <c r="B292" t="s">
        <v>4114</v>
      </c>
      <c r="C292">
        <v>-8.35</v>
      </c>
      <c r="D292">
        <v>10.45</v>
      </c>
      <c r="E292">
        <v>4.6900000000000004</v>
      </c>
      <c r="F292">
        <v>1.48</v>
      </c>
      <c r="G292">
        <v>-34.880000000000003</v>
      </c>
      <c r="H292">
        <v>53.33</v>
      </c>
      <c r="I292">
        <v>-20.25</v>
      </c>
      <c r="J292">
        <v>-38.119999999999997</v>
      </c>
      <c r="K292">
        <v>-28.71</v>
      </c>
      <c r="L292">
        <v>-16.239999999999998</v>
      </c>
      <c r="M292">
        <v>-18.93</v>
      </c>
      <c r="N292">
        <v>-33.22</v>
      </c>
    </row>
    <row r="293" spans="1:14">
      <c r="A293" s="2" t="s">
        <v>321</v>
      </c>
      <c r="B293" t="s">
        <v>4115</v>
      </c>
      <c r="C293">
        <v>-8.92</v>
      </c>
      <c r="D293">
        <v>4.97</v>
      </c>
      <c r="E293">
        <v>-0.69</v>
      </c>
      <c r="F293">
        <v>-7.42</v>
      </c>
      <c r="G293">
        <v>3.09</v>
      </c>
      <c r="H293">
        <v>6.96</v>
      </c>
      <c r="I293">
        <v>-10.77</v>
      </c>
      <c r="J293">
        <v>-13.13</v>
      </c>
      <c r="K293">
        <v>-6.3</v>
      </c>
      <c r="L293">
        <v>-7.38</v>
      </c>
      <c r="M293">
        <v>1.41</v>
      </c>
      <c r="N293">
        <v>-6.83</v>
      </c>
    </row>
    <row r="294" spans="1:14">
      <c r="A294" s="2" t="s">
        <v>322</v>
      </c>
      <c r="B294" t="s">
        <v>4116</v>
      </c>
      <c r="C294">
        <v>121.08</v>
      </c>
      <c r="D294">
        <v>-29.11</v>
      </c>
      <c r="E294">
        <v>-48.58</v>
      </c>
      <c r="F294">
        <v>255.07</v>
      </c>
      <c r="G294">
        <v>-7.87</v>
      </c>
      <c r="H294">
        <v>-13.31</v>
      </c>
      <c r="I294">
        <v>83.01</v>
      </c>
      <c r="J294">
        <v>-2.2000000000000002</v>
      </c>
      <c r="K294">
        <v>-66.069999999999993</v>
      </c>
      <c r="L294">
        <v>-8.74</v>
      </c>
      <c r="M294">
        <v>-8.99</v>
      </c>
      <c r="N294">
        <v>7.73</v>
      </c>
    </row>
    <row r="295" spans="1:14">
      <c r="A295" s="2" t="s">
        <v>323</v>
      </c>
      <c r="B295" t="s">
        <v>4117</v>
      </c>
      <c r="C295">
        <v>4.74</v>
      </c>
      <c r="D295">
        <v>5.37</v>
      </c>
      <c r="E295">
        <v>-0.31</v>
      </c>
      <c r="F295">
        <v>-7.3</v>
      </c>
      <c r="G295">
        <v>51.96</v>
      </c>
      <c r="H295">
        <v>-28.47</v>
      </c>
      <c r="I295">
        <v>-24</v>
      </c>
      <c r="J295">
        <v>-26.03</v>
      </c>
      <c r="K295">
        <v>-37.590000000000003</v>
      </c>
      <c r="L295">
        <v>-43.82</v>
      </c>
      <c r="M295">
        <v>-0.84</v>
      </c>
      <c r="N295">
        <v>2.4700000000000002</v>
      </c>
    </row>
    <row r="296" spans="1:14">
      <c r="A296" s="2" t="s">
        <v>324</v>
      </c>
      <c r="B296" t="s">
        <v>4118</v>
      </c>
      <c r="C296">
        <v>-16.829999999999998</v>
      </c>
      <c r="D296">
        <v>17.8</v>
      </c>
      <c r="E296">
        <v>-5.35</v>
      </c>
      <c r="F296">
        <v>-5.49</v>
      </c>
      <c r="G296">
        <v>3.78</v>
      </c>
      <c r="H296">
        <v>5.98</v>
      </c>
      <c r="I296">
        <v>-22.53</v>
      </c>
      <c r="J296">
        <v>-10.67</v>
      </c>
      <c r="K296">
        <v>-11.51</v>
      </c>
      <c r="L296">
        <v>-21.39</v>
      </c>
      <c r="M296">
        <v>-7.98</v>
      </c>
      <c r="N296">
        <v>-3.09</v>
      </c>
    </row>
    <row r="297" spans="1:14">
      <c r="A297" s="2" t="s">
        <v>325</v>
      </c>
      <c r="B297" t="s">
        <v>4119</v>
      </c>
      <c r="C297">
        <v>-1.0900000000000001</v>
      </c>
      <c r="D297">
        <v>-15.7</v>
      </c>
      <c r="E297">
        <v>11.93</v>
      </c>
      <c r="F297">
        <v>-4.84</v>
      </c>
      <c r="G297">
        <v>-5.85</v>
      </c>
      <c r="H297">
        <v>22.1</v>
      </c>
      <c r="I297">
        <v>-20.350000000000001</v>
      </c>
      <c r="J297">
        <v>-30.82</v>
      </c>
      <c r="K297">
        <v>-21.28</v>
      </c>
      <c r="L297">
        <v>-7.92</v>
      </c>
      <c r="M297">
        <v>-12.46</v>
      </c>
      <c r="N297">
        <v>45.05</v>
      </c>
    </row>
    <row r="298" spans="1:14">
      <c r="A298" s="2" t="s">
        <v>326</v>
      </c>
      <c r="B298" t="s">
        <v>4120</v>
      </c>
      <c r="C298">
        <v>24</v>
      </c>
      <c r="D298">
        <v>-21.15</v>
      </c>
      <c r="E298">
        <v>13.97</v>
      </c>
      <c r="F298">
        <v>-0.19</v>
      </c>
      <c r="G298">
        <v>-18.5</v>
      </c>
      <c r="I298">
        <v>510.18</v>
      </c>
      <c r="J298">
        <v>421.81</v>
      </c>
      <c r="K298">
        <v>446.7</v>
      </c>
      <c r="L298">
        <v>416.65</v>
      </c>
      <c r="M298">
        <v>203.15</v>
      </c>
    </row>
    <row r="299" spans="1:14">
      <c r="A299" s="2" t="s">
        <v>327</v>
      </c>
      <c r="B299" t="s">
        <v>4121</v>
      </c>
      <c r="C299">
        <v>-11.7</v>
      </c>
      <c r="D299">
        <v>-4.6100000000000003</v>
      </c>
      <c r="E299">
        <v>-1.07</v>
      </c>
      <c r="F299">
        <v>20.97</v>
      </c>
      <c r="G299">
        <v>27.25</v>
      </c>
      <c r="I299">
        <v>-2.4300000000000002</v>
      </c>
      <c r="J299">
        <v>-18.579999999999998</v>
      </c>
      <c r="K299">
        <v>-8.23</v>
      </c>
      <c r="L299">
        <v>-7.71</v>
      </c>
      <c r="M299">
        <v>1.74</v>
      </c>
    </row>
    <row r="300" spans="1:14">
      <c r="A300" s="2" t="s">
        <v>328</v>
      </c>
      <c r="B300" t="s">
        <v>4122</v>
      </c>
      <c r="C300">
        <v>4.9800000000000004</v>
      </c>
      <c r="D300">
        <v>20.71</v>
      </c>
      <c r="E300">
        <v>6.55</v>
      </c>
      <c r="F300">
        <v>27.61</v>
      </c>
      <c r="G300">
        <v>5.34</v>
      </c>
      <c r="H300">
        <v>-31.11</v>
      </c>
      <c r="I300">
        <v>-5.99</v>
      </c>
      <c r="J300">
        <v>32.97</v>
      </c>
      <c r="K300">
        <v>42.89</v>
      </c>
      <c r="L300">
        <v>75.290000000000006</v>
      </c>
      <c r="M300">
        <v>67.94</v>
      </c>
      <c r="N300">
        <v>27.15</v>
      </c>
    </row>
    <row r="301" spans="1:14">
      <c r="A301" s="2" t="s">
        <v>329</v>
      </c>
      <c r="B301" t="s">
        <v>4123</v>
      </c>
      <c r="C301">
        <v>-18.329999999999998</v>
      </c>
      <c r="D301">
        <v>56.54</v>
      </c>
      <c r="E301">
        <v>-33.979999999999997</v>
      </c>
      <c r="F301">
        <v>83.16</v>
      </c>
      <c r="G301">
        <v>89.97</v>
      </c>
      <c r="H301">
        <v>-60.46</v>
      </c>
      <c r="I301">
        <v>-46</v>
      </c>
      <c r="J301">
        <v>78.23</v>
      </c>
      <c r="K301">
        <v>-13.08</v>
      </c>
      <c r="L301">
        <v>105.39</v>
      </c>
      <c r="M301">
        <v>-25.98</v>
      </c>
      <c r="N301">
        <v>97.56</v>
      </c>
    </row>
    <row r="302" spans="1:14">
      <c r="A302" s="2" t="s">
        <v>330</v>
      </c>
      <c r="B302" t="s">
        <v>4124</v>
      </c>
      <c r="C302">
        <v>-21.39</v>
      </c>
      <c r="D302">
        <v>17.21</v>
      </c>
      <c r="E302">
        <v>14.46</v>
      </c>
      <c r="F302">
        <v>-10.9</v>
      </c>
      <c r="G302">
        <v>-1.35</v>
      </c>
      <c r="H302">
        <v>6.82</v>
      </c>
      <c r="I302">
        <v>-7.78</v>
      </c>
      <c r="J302">
        <v>-29.65</v>
      </c>
      <c r="K302">
        <v>6.29</v>
      </c>
      <c r="L302">
        <v>-29.81</v>
      </c>
      <c r="M302">
        <v>-10.39</v>
      </c>
      <c r="N302">
        <v>-21.57</v>
      </c>
    </row>
    <row r="303" spans="1:14">
      <c r="A303" s="2" t="s">
        <v>331</v>
      </c>
      <c r="B303" t="s">
        <v>4125</v>
      </c>
      <c r="C303">
        <v>4.0999999999999996</v>
      </c>
      <c r="D303">
        <v>38.31</v>
      </c>
      <c r="E303">
        <v>-11.99</v>
      </c>
      <c r="F303">
        <v>20.64</v>
      </c>
      <c r="G303">
        <v>11.53</v>
      </c>
      <c r="H303">
        <v>-22.04</v>
      </c>
      <c r="I303">
        <v>-8.25</v>
      </c>
      <c r="J303">
        <v>4.72</v>
      </c>
      <c r="K303">
        <v>-5.62</v>
      </c>
      <c r="L303">
        <v>15.04</v>
      </c>
      <c r="M303">
        <v>18.239999999999998</v>
      </c>
      <c r="N303">
        <v>16.77</v>
      </c>
    </row>
    <row r="304" spans="1:14">
      <c r="A304" s="2" t="s">
        <v>332</v>
      </c>
      <c r="B304" t="s">
        <v>4126</v>
      </c>
      <c r="C304">
        <v>-11.93</v>
      </c>
      <c r="D304">
        <v>11.25</v>
      </c>
      <c r="E304">
        <v>1.33</v>
      </c>
      <c r="F304">
        <v>-13.44</v>
      </c>
      <c r="G304">
        <v>16.29</v>
      </c>
      <c r="H304">
        <v>1</v>
      </c>
      <c r="I304">
        <v>-17.34</v>
      </c>
      <c r="J304">
        <v>-9.94</v>
      </c>
      <c r="K304">
        <v>-15.23</v>
      </c>
      <c r="L304">
        <v>-23.46</v>
      </c>
      <c r="M304">
        <v>-3.14</v>
      </c>
      <c r="N304">
        <v>2.08</v>
      </c>
    </row>
    <row r="305" spans="1:14">
      <c r="A305" s="2" t="s">
        <v>333</v>
      </c>
      <c r="B305" t="s">
        <v>4127</v>
      </c>
      <c r="C305">
        <v>63.42</v>
      </c>
      <c r="D305">
        <v>-42.93</v>
      </c>
      <c r="E305">
        <v>-59.58</v>
      </c>
      <c r="F305">
        <v>67.88</v>
      </c>
      <c r="G305">
        <v>6.75</v>
      </c>
      <c r="H305">
        <v>-45.28</v>
      </c>
      <c r="I305">
        <v>-30.23</v>
      </c>
      <c r="J305">
        <v>51.81</v>
      </c>
      <c r="K305">
        <v>-72.67</v>
      </c>
      <c r="L305">
        <v>-58.67</v>
      </c>
      <c r="M305">
        <v>-68.36</v>
      </c>
      <c r="N305">
        <v>-80.959999999999994</v>
      </c>
    </row>
    <row r="306" spans="1:14">
      <c r="A306" s="2" t="s">
        <v>334</v>
      </c>
      <c r="B306" t="s">
        <v>4128</v>
      </c>
      <c r="C306">
        <v>-60.52</v>
      </c>
      <c r="D306">
        <v>119.18</v>
      </c>
      <c r="E306">
        <v>-53.08</v>
      </c>
      <c r="F306">
        <v>135.12</v>
      </c>
      <c r="G306">
        <v>-28.19</v>
      </c>
      <c r="H306">
        <v>-94.29</v>
      </c>
      <c r="I306">
        <v>-85.04</v>
      </c>
      <c r="J306">
        <v>-67.67</v>
      </c>
      <c r="K306">
        <v>-85.19</v>
      </c>
      <c r="L306">
        <v>-47.56</v>
      </c>
      <c r="M306">
        <v>-38.99</v>
      </c>
      <c r="N306">
        <v>-98.45</v>
      </c>
    </row>
    <row r="307" spans="1:14">
      <c r="A307" s="2" t="s">
        <v>335</v>
      </c>
      <c r="B307" t="s">
        <v>4129</v>
      </c>
      <c r="C307">
        <v>13.3</v>
      </c>
      <c r="D307">
        <v>-1.39</v>
      </c>
      <c r="E307">
        <v>-1.47</v>
      </c>
      <c r="F307">
        <v>-6.3</v>
      </c>
      <c r="G307">
        <v>4.6399999999999997</v>
      </c>
      <c r="H307">
        <v>-5.33</v>
      </c>
      <c r="I307">
        <v>29.82</v>
      </c>
      <c r="J307">
        <v>30.22</v>
      </c>
      <c r="K307">
        <v>22.65</v>
      </c>
      <c r="L307">
        <v>13.86</v>
      </c>
      <c r="M307">
        <v>11.35</v>
      </c>
      <c r="N307">
        <v>16.18</v>
      </c>
    </row>
    <row r="308" spans="1:14">
      <c r="A308" s="2" t="s">
        <v>336</v>
      </c>
      <c r="B308" t="s">
        <v>4130</v>
      </c>
      <c r="C308">
        <v>6.67</v>
      </c>
      <c r="D308">
        <v>18.12</v>
      </c>
      <c r="E308">
        <v>-12.55</v>
      </c>
      <c r="F308">
        <v>-19.64</v>
      </c>
      <c r="G308">
        <v>29.32</v>
      </c>
      <c r="H308">
        <v>-4.7300000000000004</v>
      </c>
      <c r="I308">
        <v>5.65</v>
      </c>
      <c r="J308">
        <v>24.46</v>
      </c>
      <c r="K308">
        <v>11.24</v>
      </c>
      <c r="L308">
        <v>-16.48</v>
      </c>
      <c r="M308">
        <v>15.23</v>
      </c>
      <c r="N308">
        <v>-0.62</v>
      </c>
    </row>
    <row r="309" spans="1:14">
      <c r="A309" s="2" t="s">
        <v>337</v>
      </c>
      <c r="B309" t="s">
        <v>4131</v>
      </c>
      <c r="C309">
        <v>-4.3899999999999997</v>
      </c>
      <c r="D309">
        <v>4.01</v>
      </c>
      <c r="E309">
        <v>6.86</v>
      </c>
      <c r="F309">
        <v>-0.28999999999999998</v>
      </c>
      <c r="G309">
        <v>-9.1999999999999993</v>
      </c>
      <c r="H309">
        <v>8.1999999999999993</v>
      </c>
      <c r="I309">
        <v>-7.2</v>
      </c>
      <c r="J309">
        <v>5.2</v>
      </c>
      <c r="K309">
        <v>-0.36</v>
      </c>
      <c r="L309">
        <v>5.91</v>
      </c>
      <c r="M309">
        <v>1.66</v>
      </c>
      <c r="N309">
        <v>5.33</v>
      </c>
    </row>
    <row r="310" spans="1:14">
      <c r="A310" s="2" t="s">
        <v>338</v>
      </c>
      <c r="B310" t="s">
        <v>4132</v>
      </c>
      <c r="C310">
        <v>-11.1</v>
      </c>
      <c r="D310">
        <v>17.89</v>
      </c>
      <c r="E310">
        <v>4.24</v>
      </c>
      <c r="F310">
        <v>2.8</v>
      </c>
      <c r="G310">
        <v>26.7</v>
      </c>
      <c r="H310">
        <v>-10.88</v>
      </c>
      <c r="I310">
        <v>-20.12</v>
      </c>
      <c r="J310">
        <v>-5.1100000000000003</v>
      </c>
      <c r="K310">
        <v>3.8</v>
      </c>
      <c r="L310">
        <v>42.97</v>
      </c>
      <c r="M310">
        <v>18.38</v>
      </c>
      <c r="N310">
        <v>41.57</v>
      </c>
    </row>
    <row r="311" spans="1:14">
      <c r="A311" s="2" t="s">
        <v>339</v>
      </c>
      <c r="B311" t="s">
        <v>4133</v>
      </c>
      <c r="C311">
        <v>5.42</v>
      </c>
      <c r="D311">
        <v>19.22</v>
      </c>
      <c r="E311">
        <v>0.56999999999999995</v>
      </c>
      <c r="F311">
        <v>-11.92</v>
      </c>
      <c r="G311">
        <v>6.22</v>
      </c>
      <c r="H311">
        <v>-7.47</v>
      </c>
      <c r="I311">
        <v>26.71</v>
      </c>
      <c r="J311">
        <v>53.83</v>
      </c>
      <c r="K311">
        <v>47.83</v>
      </c>
      <c r="L311">
        <v>37.92</v>
      </c>
      <c r="M311">
        <v>38.590000000000003</v>
      </c>
      <c r="N311">
        <v>32.869999999999997</v>
      </c>
    </row>
    <row r="312" spans="1:14">
      <c r="A312" s="2" t="s">
        <v>340</v>
      </c>
      <c r="B312" t="s">
        <v>4134</v>
      </c>
      <c r="C312">
        <v>2.38</v>
      </c>
      <c r="D312">
        <v>77.930000000000007</v>
      </c>
      <c r="E312">
        <v>-20.02</v>
      </c>
      <c r="F312">
        <v>-13.3</v>
      </c>
      <c r="G312">
        <v>-0.36</v>
      </c>
      <c r="H312">
        <v>-3.34</v>
      </c>
      <c r="I312">
        <v>-20.16</v>
      </c>
      <c r="J312">
        <v>5.46</v>
      </c>
      <c r="K312">
        <v>-6.33</v>
      </c>
      <c r="L312">
        <v>-14.19</v>
      </c>
      <c r="M312">
        <v>3.32</v>
      </c>
      <c r="N312">
        <v>-13.06</v>
      </c>
    </row>
    <row r="313" spans="1:14">
      <c r="A313" s="2" t="s">
        <v>341</v>
      </c>
      <c r="B313" t="s">
        <v>4135</v>
      </c>
      <c r="C313">
        <v>9.44</v>
      </c>
      <c r="D313">
        <v>14.18</v>
      </c>
      <c r="E313">
        <v>-6.02</v>
      </c>
      <c r="F313">
        <v>-4.18</v>
      </c>
      <c r="G313">
        <v>7.13</v>
      </c>
      <c r="H313">
        <v>2.4300000000000002</v>
      </c>
      <c r="I313">
        <v>-6.33</v>
      </c>
      <c r="J313">
        <v>15.92</v>
      </c>
      <c r="K313">
        <v>6.04</v>
      </c>
      <c r="L313">
        <v>-0.8</v>
      </c>
      <c r="M313">
        <v>13.09</v>
      </c>
      <c r="N313">
        <v>40.200000000000003</v>
      </c>
    </row>
    <row r="314" spans="1:14">
      <c r="A314" s="2" t="s">
        <v>342</v>
      </c>
      <c r="B314" t="s">
        <v>4136</v>
      </c>
      <c r="C314">
        <v>10.02</v>
      </c>
      <c r="D314">
        <v>53.72</v>
      </c>
      <c r="E314">
        <v>72.37</v>
      </c>
      <c r="F314">
        <v>-38.22</v>
      </c>
      <c r="G314">
        <v>-40.020000000000003</v>
      </c>
      <c r="H314">
        <v>18.440000000000001</v>
      </c>
      <c r="I314">
        <v>8.66</v>
      </c>
      <c r="J314">
        <v>79.7</v>
      </c>
      <c r="K314">
        <v>207.18</v>
      </c>
      <c r="L314">
        <v>38.159999999999997</v>
      </c>
      <c r="M314">
        <v>0.53</v>
      </c>
      <c r="N314">
        <v>58.07</v>
      </c>
    </row>
    <row r="315" spans="1:14">
      <c r="A315" s="2" t="s">
        <v>343</v>
      </c>
      <c r="B315" t="s">
        <v>4137</v>
      </c>
      <c r="C315">
        <v>-1.0900000000000001</v>
      </c>
      <c r="D315">
        <v>35.450000000000003</v>
      </c>
      <c r="E315">
        <v>-7.54</v>
      </c>
      <c r="F315">
        <v>5.69</v>
      </c>
      <c r="G315">
        <v>-0.04</v>
      </c>
      <c r="I315">
        <v>-12.75</v>
      </c>
      <c r="J315">
        <v>61.73</v>
      </c>
      <c r="K315">
        <v>5.3</v>
      </c>
      <c r="L315">
        <v>41.15</v>
      </c>
      <c r="M315">
        <v>24.41</v>
      </c>
    </row>
    <row r="316" spans="1:14">
      <c r="A316" s="2" t="s">
        <v>344</v>
      </c>
      <c r="B316" t="s">
        <v>4138</v>
      </c>
      <c r="C316">
        <v>-1.2</v>
      </c>
      <c r="D316">
        <v>38.01</v>
      </c>
      <c r="E316">
        <v>7.01</v>
      </c>
      <c r="F316">
        <v>-5.74</v>
      </c>
      <c r="G316">
        <v>2.2000000000000002</v>
      </c>
      <c r="H316">
        <v>-15.39</v>
      </c>
      <c r="I316">
        <v>10.61</v>
      </c>
      <c r="J316">
        <v>14.19</v>
      </c>
      <c r="K316">
        <v>11.29</v>
      </c>
      <c r="L316">
        <v>25.53</v>
      </c>
      <c r="M316">
        <v>31.77</v>
      </c>
      <c r="N316">
        <v>35.53</v>
      </c>
    </row>
    <row r="317" spans="1:14">
      <c r="A317" s="2" t="s">
        <v>345</v>
      </c>
      <c r="B317" t="s">
        <v>4139</v>
      </c>
      <c r="C317">
        <v>0.71</v>
      </c>
      <c r="D317">
        <v>17.489999999999998</v>
      </c>
      <c r="E317">
        <v>-12.33</v>
      </c>
      <c r="F317">
        <v>7.84</v>
      </c>
      <c r="G317">
        <v>-26.4</v>
      </c>
      <c r="I317">
        <v>47.41</v>
      </c>
      <c r="J317">
        <v>36.380000000000003</v>
      </c>
      <c r="K317">
        <v>8.83</v>
      </c>
      <c r="L317">
        <v>25.79</v>
      </c>
      <c r="M317">
        <v>-16.760000000000002</v>
      </c>
    </row>
    <row r="318" spans="1:14">
      <c r="A318" s="2" t="s">
        <v>346</v>
      </c>
      <c r="B318" t="s">
        <v>4140</v>
      </c>
      <c r="C318">
        <v>-5.67</v>
      </c>
      <c r="D318">
        <v>7.34</v>
      </c>
      <c r="E318">
        <v>0.28999999999999998</v>
      </c>
      <c r="F318">
        <v>5.33</v>
      </c>
      <c r="G318">
        <v>-9.0399999999999991</v>
      </c>
      <c r="H318">
        <v>23.53</v>
      </c>
      <c r="I318">
        <v>-4.41</v>
      </c>
      <c r="J318">
        <v>-0.36</v>
      </c>
      <c r="K318">
        <v>-10.9</v>
      </c>
      <c r="L318">
        <v>12.38</v>
      </c>
      <c r="M318">
        <v>-0.73</v>
      </c>
      <c r="N318">
        <v>27.8</v>
      </c>
    </row>
    <row r="319" spans="1:14">
      <c r="A319" s="2" t="s">
        <v>347</v>
      </c>
      <c r="B319" t="s">
        <v>4141</v>
      </c>
      <c r="C319">
        <v>0.37</v>
      </c>
      <c r="D319">
        <v>18.55</v>
      </c>
      <c r="E319">
        <v>-11.19</v>
      </c>
      <c r="F319">
        <v>1.69</v>
      </c>
      <c r="G319">
        <v>4.76</v>
      </c>
      <c r="H319">
        <v>-10</v>
      </c>
      <c r="I319">
        <v>-30.08</v>
      </c>
      <c r="J319">
        <v>-16.77</v>
      </c>
      <c r="K319">
        <v>-27.54</v>
      </c>
      <c r="L319">
        <v>-20.96</v>
      </c>
      <c r="M319">
        <v>2.98</v>
      </c>
      <c r="N319">
        <v>7.29</v>
      </c>
    </row>
    <row r="320" spans="1:14">
      <c r="A320" s="2" t="s">
        <v>348</v>
      </c>
      <c r="B320" t="s">
        <v>4142</v>
      </c>
      <c r="C320">
        <v>1.05</v>
      </c>
      <c r="D320">
        <v>8.57</v>
      </c>
      <c r="E320">
        <v>-2.81</v>
      </c>
      <c r="F320">
        <v>8.0399999999999991</v>
      </c>
      <c r="G320">
        <v>0.7</v>
      </c>
      <c r="H320">
        <v>5.5</v>
      </c>
      <c r="I320">
        <v>4.28</v>
      </c>
      <c r="J320">
        <v>12.15</v>
      </c>
      <c r="K320">
        <v>8.4700000000000006</v>
      </c>
      <c r="L320">
        <v>22.4</v>
      </c>
      <c r="M320">
        <v>29.74</v>
      </c>
      <c r="N320">
        <v>27.13</v>
      </c>
    </row>
    <row r="321" spans="1:14">
      <c r="A321" s="2" t="s">
        <v>349</v>
      </c>
      <c r="B321" t="s">
        <v>4143</v>
      </c>
      <c r="C321">
        <v>2.77</v>
      </c>
      <c r="D321">
        <v>0.41</v>
      </c>
      <c r="E321">
        <v>-14.07</v>
      </c>
      <c r="F321">
        <v>2.96</v>
      </c>
      <c r="G321">
        <v>10.84</v>
      </c>
      <c r="H321">
        <v>-13.61</v>
      </c>
      <c r="I321">
        <v>-14.19</v>
      </c>
      <c r="J321">
        <v>-8.01</v>
      </c>
      <c r="K321">
        <v>-16.25</v>
      </c>
      <c r="L321">
        <v>-8.4700000000000006</v>
      </c>
      <c r="M321">
        <v>-15.2</v>
      </c>
      <c r="N321">
        <v>-14.57</v>
      </c>
    </row>
    <row r="322" spans="1:14">
      <c r="A322" s="2" t="s">
        <v>350</v>
      </c>
      <c r="B322" t="s">
        <v>4144</v>
      </c>
      <c r="C322">
        <v>-3.99</v>
      </c>
      <c r="D322">
        <v>3.21</v>
      </c>
      <c r="E322">
        <v>-1.42</v>
      </c>
      <c r="F322">
        <v>-0.69</v>
      </c>
      <c r="G322">
        <v>1.48</v>
      </c>
      <c r="H322">
        <v>-3.03</v>
      </c>
      <c r="I322">
        <v>26.03</v>
      </c>
      <c r="J322">
        <v>31.05</v>
      </c>
      <c r="K322">
        <v>30.53</v>
      </c>
      <c r="L322">
        <v>21.7</v>
      </c>
      <c r="M322">
        <v>22.78</v>
      </c>
      <c r="N322">
        <v>38.53</v>
      </c>
    </row>
    <row r="323" spans="1:14">
      <c r="A323" s="2" t="s">
        <v>351</v>
      </c>
      <c r="B323" t="s">
        <v>4145</v>
      </c>
      <c r="C323">
        <v>3.9</v>
      </c>
      <c r="D323">
        <v>-1.43</v>
      </c>
      <c r="E323">
        <v>11.03</v>
      </c>
      <c r="F323">
        <v>-6.49</v>
      </c>
      <c r="G323">
        <v>-2.5099999999999998</v>
      </c>
      <c r="H323">
        <v>19.78</v>
      </c>
      <c r="I323">
        <v>33.840000000000003</v>
      </c>
      <c r="J323">
        <v>31.41</v>
      </c>
      <c r="K323">
        <v>16.940000000000001</v>
      </c>
      <c r="L323">
        <v>24.47</v>
      </c>
      <c r="M323">
        <v>20.43</v>
      </c>
      <c r="N323">
        <v>36.81</v>
      </c>
    </row>
    <row r="324" spans="1:14">
      <c r="A324" s="2" t="s">
        <v>352</v>
      </c>
      <c r="B324" t="s">
        <v>4146</v>
      </c>
      <c r="C324">
        <v>6.69</v>
      </c>
      <c r="D324">
        <v>0.24</v>
      </c>
      <c r="E324">
        <v>-19.100000000000001</v>
      </c>
      <c r="F324">
        <v>32.68</v>
      </c>
      <c r="G324">
        <v>-6.05</v>
      </c>
      <c r="H324">
        <v>-9.58</v>
      </c>
      <c r="I324">
        <v>22.96</v>
      </c>
      <c r="J324">
        <v>31.57</v>
      </c>
      <c r="K324">
        <v>25.83</v>
      </c>
      <c r="L324">
        <v>58.19</v>
      </c>
      <c r="M324">
        <v>9.35</v>
      </c>
      <c r="N324">
        <v>34.01</v>
      </c>
    </row>
    <row r="325" spans="1:14">
      <c r="A325" s="2" t="s">
        <v>353</v>
      </c>
      <c r="B325" t="s">
        <v>4147</v>
      </c>
      <c r="C325">
        <v>1.1599999999999999</v>
      </c>
      <c r="D325">
        <v>9.49</v>
      </c>
      <c r="E325">
        <v>-6.58</v>
      </c>
      <c r="F325">
        <v>-4.26</v>
      </c>
      <c r="G325">
        <v>9.7200000000000006</v>
      </c>
      <c r="I325">
        <v>-9.44</v>
      </c>
      <c r="J325">
        <v>-2.78</v>
      </c>
      <c r="K325">
        <v>2.36</v>
      </c>
      <c r="L325">
        <v>-5.86</v>
      </c>
      <c r="M325">
        <v>4.1100000000000003</v>
      </c>
    </row>
    <row r="326" spans="1:14">
      <c r="A326" s="2" t="s">
        <v>354</v>
      </c>
      <c r="B326" t="s">
        <v>4148</v>
      </c>
      <c r="C326">
        <v>-7.15</v>
      </c>
      <c r="D326">
        <v>13.52</v>
      </c>
      <c r="E326">
        <v>-8.6300000000000008</v>
      </c>
      <c r="F326">
        <v>-7.85</v>
      </c>
      <c r="G326">
        <v>7.69</v>
      </c>
      <c r="H326">
        <v>14.61</v>
      </c>
      <c r="I326">
        <v>-5.15</v>
      </c>
      <c r="J326">
        <v>9.42</v>
      </c>
      <c r="K326">
        <v>24.22</v>
      </c>
      <c r="L326">
        <v>24.62</v>
      </c>
      <c r="M326">
        <v>44.94</v>
      </c>
      <c r="N326">
        <v>51.41</v>
      </c>
    </row>
    <row r="327" spans="1:14">
      <c r="A327" s="2" t="s">
        <v>355</v>
      </c>
      <c r="B327" t="s">
        <v>4149</v>
      </c>
      <c r="C327">
        <v>12.2</v>
      </c>
      <c r="D327">
        <v>-22.02</v>
      </c>
      <c r="E327">
        <v>2.37</v>
      </c>
      <c r="F327">
        <v>5.87</v>
      </c>
      <c r="G327">
        <v>4.05</v>
      </c>
      <c r="H327">
        <v>12.4</v>
      </c>
      <c r="I327">
        <v>-2.64</v>
      </c>
      <c r="J327">
        <v>-33.69</v>
      </c>
      <c r="K327">
        <v>-31.94</v>
      </c>
      <c r="L327">
        <v>-27.02</v>
      </c>
      <c r="M327">
        <v>-26.79</v>
      </c>
      <c r="N327">
        <v>-1.57</v>
      </c>
    </row>
    <row r="328" spans="1:14">
      <c r="A328" s="2" t="s">
        <v>356</v>
      </c>
      <c r="B328" t="s">
        <v>4150</v>
      </c>
      <c r="C328">
        <v>0.84</v>
      </c>
      <c r="D328">
        <v>-4.8099999999999996</v>
      </c>
      <c r="E328">
        <v>1.27</v>
      </c>
      <c r="F328">
        <v>-2.91</v>
      </c>
      <c r="G328">
        <v>-11.1</v>
      </c>
      <c r="H328">
        <v>-1.69</v>
      </c>
      <c r="I328">
        <v>-3.35</v>
      </c>
      <c r="J328">
        <v>-9.76</v>
      </c>
      <c r="K328">
        <v>-1.23</v>
      </c>
      <c r="L328">
        <v>1.05</v>
      </c>
      <c r="M328">
        <v>-12.12</v>
      </c>
      <c r="N328">
        <v>12.49</v>
      </c>
    </row>
    <row r="329" spans="1:14">
      <c r="A329" s="2" t="s">
        <v>357</v>
      </c>
      <c r="B329" t="s">
        <v>4151</v>
      </c>
      <c r="C329">
        <v>5.31</v>
      </c>
      <c r="D329">
        <v>-0.01</v>
      </c>
      <c r="E329">
        <v>-4.34</v>
      </c>
      <c r="F329">
        <v>-15.89</v>
      </c>
      <c r="G329">
        <v>0.83</v>
      </c>
      <c r="H329">
        <v>17.690000000000001</v>
      </c>
      <c r="I329">
        <v>-0.39</v>
      </c>
      <c r="J329">
        <v>-0.9</v>
      </c>
      <c r="K329">
        <v>-7.57</v>
      </c>
      <c r="L329">
        <v>-23.9</v>
      </c>
      <c r="M329">
        <v>-20.67</v>
      </c>
      <c r="N329">
        <v>-9.1199999999999992</v>
      </c>
    </row>
    <row r="330" spans="1:14">
      <c r="A330" s="2" t="s">
        <v>358</v>
      </c>
      <c r="B330" t="s">
        <v>4152</v>
      </c>
      <c r="C330">
        <v>2.56</v>
      </c>
      <c r="D330">
        <v>12.94</v>
      </c>
      <c r="E330">
        <v>3.85</v>
      </c>
      <c r="F330">
        <v>4.92</v>
      </c>
      <c r="G330">
        <v>13.22</v>
      </c>
      <c r="H330">
        <v>20.55</v>
      </c>
      <c r="I330">
        <v>0.21</v>
      </c>
      <c r="J330">
        <v>9.52</v>
      </c>
      <c r="K330">
        <v>34.880000000000003</v>
      </c>
      <c r="L330">
        <v>38.700000000000003</v>
      </c>
      <c r="M330">
        <v>53.33</v>
      </c>
      <c r="N330">
        <v>94.16</v>
      </c>
    </row>
    <row r="331" spans="1:14">
      <c r="A331" s="2" t="s">
        <v>359</v>
      </c>
      <c r="B331" t="s">
        <v>4153</v>
      </c>
      <c r="C331">
        <v>11.51</v>
      </c>
      <c r="D331">
        <v>-5.15</v>
      </c>
      <c r="E331">
        <v>-3.92</v>
      </c>
      <c r="F331">
        <v>-3.47</v>
      </c>
      <c r="G331">
        <v>15.51</v>
      </c>
      <c r="H331">
        <v>-17.37</v>
      </c>
      <c r="I331">
        <v>172.25</v>
      </c>
      <c r="J331">
        <v>142.04</v>
      </c>
      <c r="K331">
        <v>114.7</v>
      </c>
      <c r="L331">
        <v>79.73</v>
      </c>
      <c r="M331">
        <v>67.650000000000006</v>
      </c>
      <c r="N331">
        <v>71.87</v>
      </c>
    </row>
    <row r="332" spans="1:14">
      <c r="A332" s="2" t="s">
        <v>360</v>
      </c>
      <c r="B332" t="s">
        <v>4154</v>
      </c>
      <c r="C332">
        <v>5.77</v>
      </c>
      <c r="D332">
        <v>4.32</v>
      </c>
      <c r="E332">
        <v>6.46</v>
      </c>
      <c r="F332">
        <v>11.48</v>
      </c>
      <c r="G332">
        <v>13.57</v>
      </c>
      <c r="H332">
        <v>-13.46</v>
      </c>
      <c r="I332">
        <v>-2.91</v>
      </c>
      <c r="J332">
        <v>-9.41</v>
      </c>
      <c r="K332">
        <v>3.04</v>
      </c>
      <c r="L332">
        <v>15.64</v>
      </c>
      <c r="M332">
        <v>13.84</v>
      </c>
      <c r="N332">
        <v>39.33</v>
      </c>
    </row>
    <row r="333" spans="1:14">
      <c r="A333" s="2" t="s">
        <v>361</v>
      </c>
      <c r="B333" t="s">
        <v>4155</v>
      </c>
      <c r="C333">
        <v>15.9</v>
      </c>
      <c r="D333">
        <v>239.14</v>
      </c>
      <c r="E333">
        <v>73.099999999999994</v>
      </c>
      <c r="F333">
        <v>-35.24</v>
      </c>
      <c r="G333">
        <v>-2.5499999999999998</v>
      </c>
      <c r="H333">
        <v>-77.459999999999994</v>
      </c>
      <c r="I333">
        <v>-65.59</v>
      </c>
      <c r="J333">
        <v>19.04</v>
      </c>
      <c r="K333">
        <v>-51.52</v>
      </c>
      <c r="L333">
        <v>-19.71</v>
      </c>
      <c r="M333">
        <v>81.11</v>
      </c>
      <c r="N333">
        <v>-62.61</v>
      </c>
    </row>
    <row r="334" spans="1:14">
      <c r="A334" s="2" t="s">
        <v>362</v>
      </c>
      <c r="B334" t="s">
        <v>4156</v>
      </c>
      <c r="C334">
        <v>-33.450000000000003</v>
      </c>
      <c r="D334">
        <v>-0.57999999999999996</v>
      </c>
      <c r="E334">
        <v>-17.239999999999998</v>
      </c>
      <c r="F334">
        <v>41.09</v>
      </c>
      <c r="G334">
        <v>-16.61</v>
      </c>
      <c r="H334">
        <v>5.23</v>
      </c>
      <c r="I334">
        <v>-7.95</v>
      </c>
      <c r="J334">
        <v>-7.14</v>
      </c>
      <c r="K334">
        <v>-13.54</v>
      </c>
      <c r="L334">
        <v>28.8</v>
      </c>
      <c r="M334">
        <v>-5.72</v>
      </c>
      <c r="N334">
        <v>19.440000000000001</v>
      </c>
    </row>
    <row r="335" spans="1:14">
      <c r="A335" s="2" t="s">
        <v>363</v>
      </c>
      <c r="B335" t="s">
        <v>4157</v>
      </c>
      <c r="C335">
        <v>-0.39</v>
      </c>
      <c r="D335">
        <v>6</v>
      </c>
      <c r="E335">
        <v>-9.19</v>
      </c>
      <c r="F335">
        <v>10.95</v>
      </c>
      <c r="G335">
        <v>2.15</v>
      </c>
      <c r="H335">
        <v>5.08</v>
      </c>
      <c r="I335">
        <v>-16.88</v>
      </c>
      <c r="J335">
        <v>-4.66</v>
      </c>
      <c r="K335">
        <v>-7.19</v>
      </c>
      <c r="L335">
        <v>-5.0199999999999996</v>
      </c>
      <c r="M335">
        <v>-6.38</v>
      </c>
      <c r="N335">
        <v>19.22</v>
      </c>
    </row>
    <row r="336" spans="1:14">
      <c r="A336" s="2" t="s">
        <v>364</v>
      </c>
      <c r="B336" t="s">
        <v>4158</v>
      </c>
      <c r="C336">
        <v>-3.71</v>
      </c>
      <c r="D336">
        <v>8.3800000000000008</v>
      </c>
      <c r="E336">
        <v>-6.29</v>
      </c>
      <c r="F336">
        <v>-4.3600000000000003</v>
      </c>
      <c r="G336">
        <v>16.43</v>
      </c>
      <c r="H336">
        <v>-7.3</v>
      </c>
      <c r="I336">
        <v>-0.09</v>
      </c>
      <c r="J336">
        <v>3.24</v>
      </c>
      <c r="K336">
        <v>-5.12</v>
      </c>
      <c r="L336">
        <v>-5.13</v>
      </c>
      <c r="M336">
        <v>0.88</v>
      </c>
      <c r="N336">
        <v>6.66</v>
      </c>
    </row>
    <row r="337" spans="1:14">
      <c r="A337" s="2" t="s">
        <v>365</v>
      </c>
      <c r="B337" t="s">
        <v>4159</v>
      </c>
      <c r="C337">
        <v>-1.18</v>
      </c>
      <c r="D337">
        <v>35.43</v>
      </c>
      <c r="E337">
        <v>-28.1</v>
      </c>
      <c r="F337">
        <v>15.87</v>
      </c>
      <c r="G337">
        <v>16.010000000000002</v>
      </c>
      <c r="H337">
        <v>-26.15</v>
      </c>
      <c r="I337">
        <v>-4.46</v>
      </c>
      <c r="J337">
        <v>12.24</v>
      </c>
      <c r="K337">
        <v>12.82</v>
      </c>
      <c r="L337">
        <v>8.14</v>
      </c>
      <c r="M337">
        <v>16.36</v>
      </c>
      <c r="N337">
        <v>39.83</v>
      </c>
    </row>
    <row r="338" spans="1:14">
      <c r="A338" s="2" t="s">
        <v>366</v>
      </c>
      <c r="B338" t="s">
        <v>4160</v>
      </c>
      <c r="C338">
        <v>-11.43</v>
      </c>
      <c r="D338">
        <v>-6.09</v>
      </c>
      <c r="E338">
        <v>15.08</v>
      </c>
      <c r="F338">
        <v>-7.29</v>
      </c>
      <c r="G338">
        <v>0.15</v>
      </c>
      <c r="H338">
        <v>-3.32</v>
      </c>
      <c r="I338">
        <v>103.48</v>
      </c>
      <c r="J338">
        <v>131.26</v>
      </c>
      <c r="K338">
        <v>127.01</v>
      </c>
      <c r="L338">
        <v>20.76</v>
      </c>
      <c r="M338">
        <v>-8.56</v>
      </c>
      <c r="N338">
        <v>57.49</v>
      </c>
    </row>
    <row r="339" spans="1:14">
      <c r="A339" s="2" t="s">
        <v>367</v>
      </c>
      <c r="B339" t="s">
        <v>4161</v>
      </c>
      <c r="C339">
        <v>1.91</v>
      </c>
      <c r="D339">
        <v>0.13</v>
      </c>
      <c r="E339">
        <v>7.4</v>
      </c>
      <c r="F339">
        <v>-10.75</v>
      </c>
      <c r="G339">
        <v>6.6</v>
      </c>
      <c r="H339">
        <v>6.77</v>
      </c>
      <c r="I339">
        <v>-6.44</v>
      </c>
      <c r="J339">
        <v>-5.57</v>
      </c>
      <c r="K339">
        <v>-0.99</v>
      </c>
      <c r="L339">
        <v>-10.17</v>
      </c>
      <c r="M339">
        <v>7.68</v>
      </c>
      <c r="N339">
        <v>14.49</v>
      </c>
    </row>
    <row r="340" spans="1:14">
      <c r="A340" s="2" t="s">
        <v>368</v>
      </c>
      <c r="B340" t="s">
        <v>4162</v>
      </c>
      <c r="C340">
        <v>12.65</v>
      </c>
      <c r="D340">
        <v>-1.21</v>
      </c>
      <c r="E340">
        <v>-9.57</v>
      </c>
      <c r="F340">
        <v>-4.76</v>
      </c>
      <c r="G340">
        <v>23.38</v>
      </c>
      <c r="H340">
        <v>-3.94</v>
      </c>
      <c r="I340">
        <v>17.829999999999998</v>
      </c>
      <c r="J340">
        <v>7.66</v>
      </c>
      <c r="K340">
        <v>-15.33</v>
      </c>
      <c r="L340">
        <v>-14.3</v>
      </c>
      <c r="M340">
        <v>-10.95</v>
      </c>
      <c r="N340">
        <v>34.840000000000003</v>
      </c>
    </row>
    <row r="341" spans="1:14">
      <c r="A341" s="2" t="s">
        <v>369</v>
      </c>
      <c r="B341" t="s">
        <v>4163</v>
      </c>
      <c r="C341">
        <v>14.48</v>
      </c>
      <c r="D341">
        <v>31.49</v>
      </c>
      <c r="E341">
        <v>-19.690000000000001</v>
      </c>
      <c r="F341">
        <v>0.84</v>
      </c>
      <c r="G341">
        <v>4.2300000000000004</v>
      </c>
      <c r="H341">
        <v>-2.5499999999999998</v>
      </c>
      <c r="I341">
        <v>9.93</v>
      </c>
      <c r="J341">
        <v>33.020000000000003</v>
      </c>
      <c r="K341">
        <v>32.840000000000003</v>
      </c>
      <c r="L341">
        <v>20.61</v>
      </c>
      <c r="M341">
        <v>43.63</v>
      </c>
      <c r="N341">
        <v>79.97</v>
      </c>
    </row>
    <row r="342" spans="1:14">
      <c r="A342" s="2" t="s">
        <v>370</v>
      </c>
      <c r="B342" t="s">
        <v>4164</v>
      </c>
      <c r="C342">
        <v>11.66</v>
      </c>
      <c r="D342">
        <v>-17.41</v>
      </c>
      <c r="E342">
        <v>41.05</v>
      </c>
      <c r="F342">
        <v>-11.04</v>
      </c>
      <c r="G342">
        <v>-5.38</v>
      </c>
      <c r="H342">
        <v>9.68</v>
      </c>
      <c r="I342">
        <v>14.45</v>
      </c>
      <c r="J342">
        <v>-16.79</v>
      </c>
      <c r="K342">
        <v>25.81</v>
      </c>
      <c r="L342">
        <v>-10.44</v>
      </c>
      <c r="M342">
        <v>17.920000000000002</v>
      </c>
      <c r="N342">
        <v>12.66</v>
      </c>
    </row>
    <row r="343" spans="1:14">
      <c r="A343" s="2" t="s">
        <v>371</v>
      </c>
      <c r="B343" t="s">
        <v>4165</v>
      </c>
      <c r="C343">
        <v>11.31</v>
      </c>
      <c r="D343">
        <v>1.85</v>
      </c>
      <c r="E343">
        <v>6.14</v>
      </c>
      <c r="F343">
        <v>7.67</v>
      </c>
      <c r="G343">
        <v>42.56</v>
      </c>
      <c r="H343">
        <v>4.93</v>
      </c>
      <c r="I343">
        <v>6.02</v>
      </c>
      <c r="J343">
        <v>26.52</v>
      </c>
      <c r="K343">
        <v>31.88</v>
      </c>
      <c r="L343">
        <v>31.28</v>
      </c>
      <c r="M343">
        <v>59.29</v>
      </c>
      <c r="N343">
        <v>72.099999999999994</v>
      </c>
    </row>
    <row r="344" spans="1:14">
      <c r="A344" s="2" t="s">
        <v>372</v>
      </c>
      <c r="B344" t="s">
        <v>4166</v>
      </c>
      <c r="C344">
        <v>-9.0399999999999991</v>
      </c>
      <c r="D344">
        <v>-3.74</v>
      </c>
      <c r="E344">
        <v>0.51</v>
      </c>
      <c r="F344">
        <v>4.24</v>
      </c>
      <c r="G344">
        <v>-12.42</v>
      </c>
      <c r="H344">
        <v>16.82</v>
      </c>
      <c r="I344">
        <v>-27.68</v>
      </c>
      <c r="J344">
        <v>-29.31</v>
      </c>
      <c r="K344">
        <v>-36.96</v>
      </c>
      <c r="L344">
        <v>-27.86</v>
      </c>
      <c r="M344">
        <v>-23.21</v>
      </c>
      <c r="N344">
        <v>37.74</v>
      </c>
    </row>
    <row r="345" spans="1:14">
      <c r="A345" s="2" t="s">
        <v>373</v>
      </c>
      <c r="B345" t="s">
        <v>4167</v>
      </c>
      <c r="C345">
        <v>20.350000000000001</v>
      </c>
      <c r="D345">
        <v>32.840000000000003</v>
      </c>
      <c r="E345">
        <v>-13.87</v>
      </c>
      <c r="F345">
        <v>-25.25</v>
      </c>
      <c r="G345">
        <v>5.55</v>
      </c>
      <c r="H345">
        <v>66.23</v>
      </c>
      <c r="I345">
        <v>1204.9100000000001</v>
      </c>
      <c r="J345">
        <v>112.46</v>
      </c>
      <c r="K345">
        <v>130.13999999999999</v>
      </c>
      <c r="L345">
        <v>19.64</v>
      </c>
      <c r="M345">
        <v>159.51</v>
      </c>
      <c r="N345">
        <v>171.58</v>
      </c>
    </row>
    <row r="346" spans="1:14">
      <c r="A346" s="2" t="s">
        <v>374</v>
      </c>
      <c r="B346" t="s">
        <v>4168</v>
      </c>
      <c r="C346">
        <v>8.57</v>
      </c>
      <c r="D346">
        <v>2.77</v>
      </c>
      <c r="E346">
        <v>-7.99</v>
      </c>
      <c r="F346">
        <v>-4.53</v>
      </c>
      <c r="G346">
        <v>-26.35</v>
      </c>
      <c r="H346">
        <v>30.45</v>
      </c>
      <c r="I346">
        <v>2.5299999999999998</v>
      </c>
      <c r="J346">
        <v>14.79</v>
      </c>
      <c r="K346">
        <v>27.5</v>
      </c>
      <c r="L346">
        <v>7.64</v>
      </c>
      <c r="M346">
        <v>-17.7</v>
      </c>
      <c r="N346">
        <v>-14.16</v>
      </c>
    </row>
    <row r="347" spans="1:14">
      <c r="A347" s="2" t="s">
        <v>375</v>
      </c>
      <c r="B347" t="s">
        <v>4169</v>
      </c>
      <c r="C347">
        <v>-10.39</v>
      </c>
      <c r="D347">
        <v>-8.9600000000000009</v>
      </c>
      <c r="E347">
        <v>-19.54</v>
      </c>
      <c r="F347">
        <v>28.57</v>
      </c>
      <c r="G347">
        <v>40.200000000000003</v>
      </c>
      <c r="H347">
        <v>-32.21</v>
      </c>
      <c r="I347">
        <v>-18.13</v>
      </c>
      <c r="J347">
        <v>-1.46</v>
      </c>
      <c r="K347">
        <v>-8.77</v>
      </c>
      <c r="L347">
        <v>7.73</v>
      </c>
      <c r="M347">
        <v>20.21</v>
      </c>
      <c r="N347">
        <v>9.24</v>
      </c>
    </row>
    <row r="348" spans="1:14">
      <c r="A348" s="2" t="s">
        <v>376</v>
      </c>
      <c r="B348" t="s">
        <v>4170</v>
      </c>
      <c r="C348">
        <v>-11.34</v>
      </c>
      <c r="D348">
        <v>23.49</v>
      </c>
      <c r="E348">
        <v>-3.85</v>
      </c>
      <c r="F348">
        <v>-24.17</v>
      </c>
      <c r="G348">
        <v>23.94</v>
      </c>
      <c r="H348">
        <v>9.1300000000000008</v>
      </c>
      <c r="I348">
        <v>-27.97</v>
      </c>
      <c r="J348">
        <v>-6.64</v>
      </c>
      <c r="K348">
        <v>-5.58</v>
      </c>
      <c r="L348">
        <v>-30.73</v>
      </c>
      <c r="M348">
        <v>-15.02</v>
      </c>
      <c r="N348">
        <v>5.54</v>
      </c>
    </row>
    <row r="349" spans="1:14">
      <c r="A349" s="2" t="s">
        <v>377</v>
      </c>
      <c r="B349" t="s">
        <v>4171</v>
      </c>
      <c r="C349">
        <v>4.2699999999999996</v>
      </c>
      <c r="D349">
        <v>1.83</v>
      </c>
      <c r="E349">
        <v>-6.14</v>
      </c>
      <c r="F349">
        <v>-3.08</v>
      </c>
      <c r="G349">
        <v>-3.8</v>
      </c>
      <c r="H349">
        <v>14.66</v>
      </c>
      <c r="I349">
        <v>64.819999999999993</v>
      </c>
      <c r="J349">
        <v>79.84</v>
      </c>
      <c r="K349">
        <v>83.63</v>
      </c>
      <c r="L349">
        <v>71.510000000000005</v>
      </c>
      <c r="M349">
        <v>46.34</v>
      </c>
      <c r="N349">
        <v>68.540000000000006</v>
      </c>
    </row>
    <row r="350" spans="1:14">
      <c r="A350" s="2" t="s">
        <v>378</v>
      </c>
      <c r="B350" t="s">
        <v>4172</v>
      </c>
      <c r="C350">
        <v>1.01</v>
      </c>
      <c r="D350">
        <v>-1.19</v>
      </c>
      <c r="E350">
        <v>-1.32</v>
      </c>
      <c r="F350">
        <v>5.56</v>
      </c>
      <c r="G350">
        <v>15.64</v>
      </c>
      <c r="H350">
        <v>3.39</v>
      </c>
      <c r="I350">
        <v>3.82</v>
      </c>
      <c r="J350">
        <v>8.43</v>
      </c>
      <c r="K350">
        <v>10.83</v>
      </c>
      <c r="L350">
        <v>15.36</v>
      </c>
      <c r="M350">
        <v>36.770000000000003</v>
      </c>
      <c r="N350">
        <v>61.87</v>
      </c>
    </row>
    <row r="351" spans="1:14">
      <c r="A351" s="2" t="s">
        <v>379</v>
      </c>
      <c r="B351" t="s">
        <v>4173</v>
      </c>
      <c r="C351">
        <v>15.6</v>
      </c>
      <c r="D351">
        <v>-14.13</v>
      </c>
      <c r="E351">
        <v>-13.23</v>
      </c>
      <c r="F351">
        <v>31.2</v>
      </c>
      <c r="G351">
        <v>-0.78</v>
      </c>
      <c r="I351">
        <v>22.8</v>
      </c>
      <c r="J351">
        <v>8.61</v>
      </c>
      <c r="K351">
        <v>4.49</v>
      </c>
      <c r="L351">
        <v>19.5</v>
      </c>
      <c r="M351">
        <v>12.14</v>
      </c>
    </row>
    <row r="352" spans="1:14">
      <c r="A352" s="2" t="s">
        <v>380</v>
      </c>
      <c r="B352" t="s">
        <v>4174</v>
      </c>
      <c r="C352">
        <v>-4.97</v>
      </c>
      <c r="D352">
        <v>-5.19</v>
      </c>
      <c r="E352">
        <v>4.63</v>
      </c>
      <c r="F352">
        <v>-4.74</v>
      </c>
      <c r="G352">
        <v>9.2899999999999991</v>
      </c>
      <c r="H352">
        <v>8.92</v>
      </c>
      <c r="I352">
        <v>7.33</v>
      </c>
      <c r="J352">
        <v>-12.08</v>
      </c>
      <c r="K352">
        <v>3.32</v>
      </c>
      <c r="L352">
        <v>-13.37</v>
      </c>
      <c r="M352">
        <v>-3.57</v>
      </c>
      <c r="N352">
        <v>9.5500000000000007</v>
      </c>
    </row>
    <row r="353" spans="1:14">
      <c r="A353" s="2" t="s">
        <v>381</v>
      </c>
      <c r="B353" t="s">
        <v>4175</v>
      </c>
      <c r="C353">
        <v>37.94</v>
      </c>
      <c r="D353">
        <v>8.98</v>
      </c>
      <c r="E353">
        <v>9.0399999999999991</v>
      </c>
      <c r="F353">
        <v>-10.83</v>
      </c>
      <c r="G353">
        <v>11.06</v>
      </c>
      <c r="H353">
        <v>-6.42</v>
      </c>
      <c r="I353">
        <v>69.81</v>
      </c>
      <c r="J353">
        <v>84.82</v>
      </c>
      <c r="K353">
        <v>114.96</v>
      </c>
      <c r="L353">
        <v>75.95</v>
      </c>
      <c r="M353">
        <v>108.28</v>
      </c>
      <c r="N353">
        <v>109.5</v>
      </c>
    </row>
    <row r="354" spans="1:14">
      <c r="A354" s="2" t="s">
        <v>382</v>
      </c>
      <c r="B354" t="s">
        <v>4176</v>
      </c>
      <c r="C354">
        <v>5.53</v>
      </c>
      <c r="D354">
        <v>7.15</v>
      </c>
      <c r="E354">
        <v>-20.59</v>
      </c>
      <c r="F354">
        <v>14.09</v>
      </c>
      <c r="G354">
        <v>2.86</v>
      </c>
      <c r="H354">
        <v>13.66</v>
      </c>
      <c r="I354">
        <v>4.8499999999999996</v>
      </c>
      <c r="J354">
        <v>7.46</v>
      </c>
      <c r="K354">
        <v>-1.1399999999999999</v>
      </c>
      <c r="L354">
        <v>8.83</v>
      </c>
      <c r="M354">
        <v>9.3699999999999992</v>
      </c>
      <c r="N354">
        <v>26.09</v>
      </c>
    </row>
    <row r="355" spans="1:14">
      <c r="A355" s="2" t="s">
        <v>383</v>
      </c>
      <c r="B355" t="s">
        <v>4177</v>
      </c>
      <c r="C355">
        <v>-13.73</v>
      </c>
      <c r="D355">
        <v>17.16</v>
      </c>
      <c r="E355">
        <v>1.18</v>
      </c>
      <c r="F355">
        <v>8.52</v>
      </c>
      <c r="G355">
        <v>-1.38</v>
      </c>
      <c r="H355">
        <v>9.2799999999999994</v>
      </c>
      <c r="I355">
        <v>-3.14</v>
      </c>
      <c r="J355">
        <v>4.68</v>
      </c>
      <c r="K355">
        <v>9.8800000000000008</v>
      </c>
      <c r="L355">
        <v>38.159999999999997</v>
      </c>
      <c r="M355">
        <v>72.22</v>
      </c>
      <c r="N355">
        <v>57.02</v>
      </c>
    </row>
    <row r="356" spans="1:14">
      <c r="A356" s="2" t="s">
        <v>384</v>
      </c>
      <c r="B356" t="s">
        <v>4178</v>
      </c>
      <c r="C356">
        <v>-2.65</v>
      </c>
      <c r="D356">
        <v>3.81</v>
      </c>
      <c r="E356">
        <v>5.49</v>
      </c>
      <c r="F356">
        <v>-2.4500000000000002</v>
      </c>
      <c r="G356">
        <v>-16.170000000000002</v>
      </c>
      <c r="H356">
        <v>32.06</v>
      </c>
      <c r="I356">
        <v>14.68</v>
      </c>
      <c r="J356">
        <v>-1.31</v>
      </c>
      <c r="K356">
        <v>2.78</v>
      </c>
      <c r="L356">
        <v>6.86</v>
      </c>
      <c r="M356">
        <v>33.92</v>
      </c>
      <c r="N356">
        <v>33.729999999999997</v>
      </c>
    </row>
    <row r="357" spans="1:14">
      <c r="A357" s="2" t="s">
        <v>385</v>
      </c>
      <c r="B357" t="s">
        <v>4179</v>
      </c>
      <c r="C357">
        <v>-0.02</v>
      </c>
      <c r="D357">
        <v>3.15</v>
      </c>
      <c r="E357">
        <v>-9.68</v>
      </c>
      <c r="F357">
        <v>-1.99</v>
      </c>
      <c r="G357">
        <v>-6.19</v>
      </c>
      <c r="H357">
        <v>62.94</v>
      </c>
      <c r="I357">
        <v>-4.75</v>
      </c>
      <c r="J357">
        <v>2.08</v>
      </c>
      <c r="K357">
        <v>1.3</v>
      </c>
      <c r="L357">
        <v>1.84</v>
      </c>
      <c r="M357">
        <v>-3.95</v>
      </c>
      <c r="N357">
        <v>14.4</v>
      </c>
    </row>
    <row r="358" spans="1:14">
      <c r="A358" s="2" t="s">
        <v>386</v>
      </c>
      <c r="B358" t="s">
        <v>4180</v>
      </c>
      <c r="C358">
        <v>-2.79</v>
      </c>
      <c r="D358">
        <v>41.11</v>
      </c>
      <c r="E358">
        <v>-21.22</v>
      </c>
      <c r="F358">
        <v>14.06</v>
      </c>
      <c r="G358">
        <v>11.01</v>
      </c>
      <c r="H358">
        <v>-35.96</v>
      </c>
      <c r="I358">
        <v>38.32</v>
      </c>
      <c r="J358">
        <v>69.97</v>
      </c>
      <c r="K358">
        <v>-3.7</v>
      </c>
      <c r="L358">
        <v>33.31</v>
      </c>
      <c r="M358">
        <v>67.31</v>
      </c>
      <c r="N358">
        <v>27.8</v>
      </c>
    </row>
    <row r="359" spans="1:14">
      <c r="A359" s="2" t="s">
        <v>387</v>
      </c>
      <c r="B359" t="s">
        <v>4181</v>
      </c>
      <c r="C359">
        <v>-3.5</v>
      </c>
      <c r="D359">
        <v>20.48</v>
      </c>
      <c r="E359">
        <v>-5.93</v>
      </c>
      <c r="F359">
        <v>11.4</v>
      </c>
      <c r="G359">
        <v>41.23</v>
      </c>
      <c r="H359">
        <v>-15.29</v>
      </c>
      <c r="I359">
        <v>5.26</v>
      </c>
      <c r="J359">
        <v>18.7</v>
      </c>
      <c r="K359">
        <v>27.45</v>
      </c>
      <c r="L359">
        <v>36.5</v>
      </c>
      <c r="M359">
        <v>94.55</v>
      </c>
      <c r="N359">
        <v>61.92</v>
      </c>
    </row>
    <row r="360" spans="1:14">
      <c r="A360" s="2" t="s">
        <v>388</v>
      </c>
      <c r="B360" t="s">
        <v>4182</v>
      </c>
      <c r="C360">
        <v>4.6900000000000004</v>
      </c>
      <c r="D360">
        <v>-8.6300000000000008</v>
      </c>
      <c r="E360">
        <v>0.83</v>
      </c>
      <c r="F360">
        <v>0.67</v>
      </c>
      <c r="G360">
        <v>7.08</v>
      </c>
      <c r="H360">
        <v>24.79</v>
      </c>
      <c r="I360">
        <v>52.66</v>
      </c>
      <c r="J360">
        <v>34.81</v>
      </c>
      <c r="K360">
        <v>38.79</v>
      </c>
      <c r="L360">
        <v>28.3</v>
      </c>
      <c r="M360">
        <v>35.79</v>
      </c>
      <c r="N360">
        <v>55.49</v>
      </c>
    </row>
    <row r="361" spans="1:14">
      <c r="A361" s="2" t="s">
        <v>389</v>
      </c>
      <c r="B361" t="s">
        <v>4183</v>
      </c>
      <c r="C361">
        <v>5.49</v>
      </c>
      <c r="D361">
        <v>-2.34</v>
      </c>
      <c r="E361">
        <v>-10.29</v>
      </c>
      <c r="F361">
        <v>4.08</v>
      </c>
      <c r="G361">
        <v>2.2799999999999998</v>
      </c>
      <c r="H361">
        <v>-2.72</v>
      </c>
      <c r="I361">
        <v>-12.43</v>
      </c>
      <c r="J361">
        <v>-14.18</v>
      </c>
      <c r="K361">
        <v>-19.989999999999998</v>
      </c>
      <c r="L361">
        <v>-10.4</v>
      </c>
      <c r="M361">
        <v>-4.88</v>
      </c>
      <c r="N361">
        <v>2.36</v>
      </c>
    </row>
    <row r="362" spans="1:14">
      <c r="A362" s="2" t="s">
        <v>390</v>
      </c>
      <c r="B362" t="s">
        <v>4184</v>
      </c>
      <c r="C362">
        <v>0.91</v>
      </c>
      <c r="D362">
        <v>1.28</v>
      </c>
      <c r="E362">
        <v>-22.47</v>
      </c>
      <c r="F362">
        <v>3.47</v>
      </c>
      <c r="G362">
        <v>10.02</v>
      </c>
      <c r="H362">
        <v>6.2</v>
      </c>
      <c r="I362">
        <v>-23.13</v>
      </c>
      <c r="J362">
        <v>-18.11</v>
      </c>
      <c r="K362">
        <v>-29.18</v>
      </c>
      <c r="L362">
        <v>-27.34</v>
      </c>
      <c r="M362">
        <v>-18.91</v>
      </c>
      <c r="N362">
        <v>0.02</v>
      </c>
    </row>
    <row r="363" spans="1:14">
      <c r="A363" s="2" t="s">
        <v>391</v>
      </c>
      <c r="B363" t="s">
        <v>4185</v>
      </c>
      <c r="C363">
        <v>-34.33</v>
      </c>
      <c r="D363">
        <v>93.55</v>
      </c>
      <c r="E363">
        <v>25.37</v>
      </c>
      <c r="F363">
        <v>-37.56</v>
      </c>
      <c r="G363">
        <v>26.38</v>
      </c>
      <c r="H363">
        <v>-58.87</v>
      </c>
      <c r="I363">
        <v>-71.64</v>
      </c>
      <c r="J363">
        <v>-61.97</v>
      </c>
      <c r="K363">
        <v>-22.73</v>
      </c>
      <c r="L363">
        <v>-65.73</v>
      </c>
      <c r="M363">
        <v>-36.35</v>
      </c>
      <c r="N363">
        <v>-46.5</v>
      </c>
    </row>
    <row r="364" spans="1:14">
      <c r="A364" s="2" t="s">
        <v>392</v>
      </c>
      <c r="B364" t="s">
        <v>4186</v>
      </c>
      <c r="C364">
        <v>-11.8</v>
      </c>
      <c r="D364">
        <v>3.84</v>
      </c>
      <c r="E364">
        <v>0.22</v>
      </c>
      <c r="F364">
        <v>0.7</v>
      </c>
      <c r="G364">
        <v>26.46</v>
      </c>
      <c r="H364">
        <v>-20.03</v>
      </c>
      <c r="I364">
        <v>-4.55</v>
      </c>
      <c r="J364">
        <v>-9.9700000000000006</v>
      </c>
      <c r="K364">
        <v>-25.16</v>
      </c>
      <c r="L364">
        <v>-14.91</v>
      </c>
      <c r="M364">
        <v>-9.5399999999999991</v>
      </c>
      <c r="N364">
        <v>1.46</v>
      </c>
    </row>
    <row r="365" spans="1:14">
      <c r="A365" s="2" t="s">
        <v>393</v>
      </c>
      <c r="B365" t="s">
        <v>4187</v>
      </c>
      <c r="C365">
        <v>2.3199999999999998</v>
      </c>
      <c r="D365">
        <v>86.39</v>
      </c>
      <c r="E365">
        <v>-20.96</v>
      </c>
      <c r="F365">
        <v>-28.27</v>
      </c>
      <c r="G365">
        <v>7.29</v>
      </c>
      <c r="I365">
        <v>-17.32</v>
      </c>
      <c r="J365">
        <v>62.19</v>
      </c>
      <c r="K365">
        <v>-15.63</v>
      </c>
      <c r="L365">
        <v>-28.92</v>
      </c>
      <c r="M365">
        <v>-28.08</v>
      </c>
    </row>
    <row r="366" spans="1:14">
      <c r="A366" s="2" t="s">
        <v>394</v>
      </c>
      <c r="B366" t="s">
        <v>4188</v>
      </c>
      <c r="C366">
        <v>-2.89</v>
      </c>
      <c r="D366">
        <v>-0.61</v>
      </c>
      <c r="E366">
        <v>-10.16</v>
      </c>
      <c r="F366">
        <v>7.25</v>
      </c>
      <c r="G366">
        <v>2.4900000000000002</v>
      </c>
      <c r="H366">
        <v>12.62</v>
      </c>
      <c r="I366">
        <v>-15.19</v>
      </c>
      <c r="J366">
        <v>-7.48</v>
      </c>
      <c r="K366">
        <v>-15.54</v>
      </c>
      <c r="L366">
        <v>-3.94</v>
      </c>
      <c r="M366">
        <v>0.41</v>
      </c>
      <c r="N366">
        <v>11.86</v>
      </c>
    </row>
    <row r="367" spans="1:14">
      <c r="A367" s="2" t="s">
        <v>395</v>
      </c>
      <c r="B367" t="s">
        <v>4189</v>
      </c>
      <c r="C367">
        <v>-7.54</v>
      </c>
      <c r="D367">
        <v>11.73</v>
      </c>
      <c r="E367">
        <v>-3.09</v>
      </c>
      <c r="F367">
        <v>-1.6</v>
      </c>
      <c r="G367">
        <v>1.1000000000000001</v>
      </c>
      <c r="H367">
        <v>17.95</v>
      </c>
      <c r="I367">
        <v>11.86</v>
      </c>
      <c r="J367">
        <v>25.4</v>
      </c>
      <c r="K367">
        <v>8.6999999999999993</v>
      </c>
      <c r="L367">
        <v>9.5399999999999991</v>
      </c>
      <c r="M367">
        <v>11.35</v>
      </c>
      <c r="N367">
        <v>23.14</v>
      </c>
    </row>
    <row r="368" spans="1:14">
      <c r="A368" s="2" t="s">
        <v>396</v>
      </c>
      <c r="B368" t="s">
        <v>4190</v>
      </c>
      <c r="C368">
        <v>-0.01</v>
      </c>
      <c r="D368">
        <v>13.57</v>
      </c>
      <c r="E368">
        <v>-3.44</v>
      </c>
      <c r="F368">
        <v>-6.27</v>
      </c>
      <c r="G368">
        <v>11.28</v>
      </c>
      <c r="H368">
        <v>8.18</v>
      </c>
      <c r="I368">
        <v>-4.41</v>
      </c>
      <c r="J368">
        <v>14.01</v>
      </c>
      <c r="K368">
        <v>0.12</v>
      </c>
      <c r="L368">
        <v>-10.98</v>
      </c>
      <c r="M368">
        <v>1.54</v>
      </c>
      <c r="N368">
        <v>18.16</v>
      </c>
    </row>
    <row r="369" spans="1:14">
      <c r="A369" s="2" t="s">
        <v>397</v>
      </c>
      <c r="B369" t="s">
        <v>4191</v>
      </c>
      <c r="C369">
        <v>-18.579999999999998</v>
      </c>
      <c r="D369">
        <v>5.1100000000000003</v>
      </c>
      <c r="E369">
        <v>-46.23</v>
      </c>
      <c r="F369">
        <v>33.32</v>
      </c>
      <c r="G369">
        <v>23.19</v>
      </c>
      <c r="H369">
        <v>7.95</v>
      </c>
      <c r="I369">
        <v>7.49</v>
      </c>
      <c r="J369">
        <v>-17.239999999999998</v>
      </c>
      <c r="K369">
        <v>-35.130000000000003</v>
      </c>
      <c r="L369">
        <v>9.6199999999999992</v>
      </c>
      <c r="M369">
        <v>-12.75</v>
      </c>
      <c r="N369">
        <v>-18.03</v>
      </c>
    </row>
    <row r="370" spans="1:14">
      <c r="A370" s="2" t="s">
        <v>398</v>
      </c>
      <c r="B370" t="s">
        <v>4192</v>
      </c>
      <c r="C370">
        <v>-9.94</v>
      </c>
      <c r="D370">
        <v>8.1999999999999993</v>
      </c>
      <c r="E370">
        <v>-9.81</v>
      </c>
      <c r="F370">
        <v>1.84</v>
      </c>
      <c r="G370">
        <v>10.33</v>
      </c>
      <c r="I370">
        <v>-21.26</v>
      </c>
      <c r="J370">
        <v>-3.58</v>
      </c>
      <c r="K370">
        <v>-6.78</v>
      </c>
      <c r="L370">
        <v>-1.25</v>
      </c>
      <c r="M370">
        <v>4.8099999999999996</v>
      </c>
    </row>
    <row r="371" spans="1:14">
      <c r="A371" s="2" t="s">
        <v>399</v>
      </c>
      <c r="B371" t="s">
        <v>4193</v>
      </c>
      <c r="C371">
        <v>1.65</v>
      </c>
      <c r="D371">
        <v>3.31</v>
      </c>
      <c r="E371">
        <v>-4.75</v>
      </c>
      <c r="F371">
        <v>-7.39</v>
      </c>
      <c r="G371">
        <v>4.67</v>
      </c>
      <c r="H371">
        <v>6.74</v>
      </c>
      <c r="I371">
        <v>7.13</v>
      </c>
      <c r="J371">
        <v>13.47</v>
      </c>
      <c r="K371">
        <v>8.67</v>
      </c>
      <c r="L371">
        <v>1.59</v>
      </c>
      <c r="M371">
        <v>15.22</v>
      </c>
      <c r="N371">
        <v>22.64</v>
      </c>
    </row>
    <row r="372" spans="1:14">
      <c r="A372" s="2" t="s">
        <v>400</v>
      </c>
      <c r="B372" t="s">
        <v>4194</v>
      </c>
      <c r="C372">
        <v>-2.76</v>
      </c>
      <c r="D372">
        <v>22.89</v>
      </c>
      <c r="E372">
        <v>-13.64</v>
      </c>
      <c r="F372">
        <v>11.61</v>
      </c>
      <c r="G372">
        <v>4.07</v>
      </c>
      <c r="I372">
        <v>65.27</v>
      </c>
      <c r="J372">
        <v>102.35</v>
      </c>
      <c r="K372">
        <v>56.62</v>
      </c>
      <c r="L372">
        <v>100.39</v>
      </c>
      <c r="M372">
        <v>41.31</v>
      </c>
    </row>
    <row r="373" spans="1:14">
      <c r="A373" s="2" t="s">
        <v>401</v>
      </c>
      <c r="B373" t="s">
        <v>4195</v>
      </c>
      <c r="C373">
        <v>11.6</v>
      </c>
      <c r="D373">
        <v>5.52</v>
      </c>
      <c r="E373">
        <v>-8.74</v>
      </c>
      <c r="F373">
        <v>18.940000000000001</v>
      </c>
      <c r="G373">
        <v>-20.61</v>
      </c>
      <c r="H373">
        <v>-1.46</v>
      </c>
      <c r="I373">
        <v>22.62</v>
      </c>
      <c r="J373">
        <v>26.45</v>
      </c>
      <c r="K373">
        <v>3.75</v>
      </c>
      <c r="L373">
        <v>28.74</v>
      </c>
      <c r="M373">
        <v>10.62</v>
      </c>
      <c r="N373">
        <v>14.47</v>
      </c>
    </row>
    <row r="374" spans="1:14">
      <c r="A374" s="2" t="s">
        <v>402</v>
      </c>
      <c r="B374" t="s">
        <v>4196</v>
      </c>
      <c r="C374">
        <v>-13.14</v>
      </c>
      <c r="D374">
        <v>2.37</v>
      </c>
      <c r="E374">
        <v>12.51</v>
      </c>
      <c r="F374">
        <v>34.18</v>
      </c>
      <c r="G374">
        <v>15.13</v>
      </c>
      <c r="I374">
        <v>-10.4</v>
      </c>
      <c r="J374">
        <v>-9.33</v>
      </c>
      <c r="K374">
        <v>78.930000000000007</v>
      </c>
      <c r="L374">
        <v>162.66</v>
      </c>
      <c r="M374">
        <v>188.21</v>
      </c>
    </row>
    <row r="375" spans="1:14">
      <c r="A375" s="2" t="s">
        <v>403</v>
      </c>
      <c r="B375" t="s">
        <v>4197</v>
      </c>
      <c r="C375">
        <v>26.35</v>
      </c>
      <c r="D375">
        <v>-1.45</v>
      </c>
      <c r="E375">
        <v>18.66</v>
      </c>
      <c r="F375">
        <v>28.59</v>
      </c>
      <c r="G375">
        <v>18.18</v>
      </c>
      <c r="H375">
        <v>27.4</v>
      </c>
      <c r="I375">
        <v>141.32</v>
      </c>
      <c r="J375">
        <v>157.81</v>
      </c>
      <c r="K375">
        <v>262.37</v>
      </c>
      <c r="L375">
        <v>364.89</v>
      </c>
      <c r="M375">
        <v>444.87</v>
      </c>
      <c r="N375">
        <v>608.02</v>
      </c>
    </row>
    <row r="376" spans="1:14">
      <c r="A376" s="2" t="s">
        <v>404</v>
      </c>
      <c r="B376" t="s">
        <v>4198</v>
      </c>
      <c r="C376">
        <v>17.29</v>
      </c>
      <c r="D376">
        <v>-0.38</v>
      </c>
      <c r="E376">
        <v>-14.44</v>
      </c>
      <c r="F376">
        <v>14.92</v>
      </c>
      <c r="G376">
        <v>4.8</v>
      </c>
      <c r="H376">
        <v>-10.66</v>
      </c>
      <c r="I376">
        <v>-9.16</v>
      </c>
      <c r="J376">
        <v>-5.51</v>
      </c>
      <c r="K376">
        <v>0.2</v>
      </c>
      <c r="L376">
        <v>3.35</v>
      </c>
      <c r="M376">
        <v>2.42</v>
      </c>
      <c r="N376">
        <v>3.98</v>
      </c>
    </row>
    <row r="377" spans="1:14">
      <c r="A377" s="2" t="s">
        <v>405</v>
      </c>
      <c r="B377" t="s">
        <v>4199</v>
      </c>
      <c r="C377">
        <v>-3.24</v>
      </c>
      <c r="D377">
        <v>8.7899999999999991</v>
      </c>
      <c r="E377">
        <v>3.69</v>
      </c>
      <c r="F377">
        <v>2.4900000000000002</v>
      </c>
      <c r="G377">
        <v>8.44</v>
      </c>
      <c r="I377">
        <v>1.0900000000000001</v>
      </c>
      <c r="J377">
        <v>3.6</v>
      </c>
      <c r="K377">
        <v>4.05</v>
      </c>
      <c r="L377">
        <v>6.07</v>
      </c>
      <c r="M377">
        <v>-6.76</v>
      </c>
    </row>
    <row r="378" spans="1:14">
      <c r="A378" s="2" t="s">
        <v>406</v>
      </c>
      <c r="B378" t="s">
        <v>4200</v>
      </c>
      <c r="C378">
        <v>8.6300000000000008</v>
      </c>
      <c r="D378">
        <v>-12.81</v>
      </c>
      <c r="E378">
        <v>1.45</v>
      </c>
      <c r="F378">
        <v>0.56000000000000005</v>
      </c>
      <c r="G378">
        <v>6.33</v>
      </c>
      <c r="H378">
        <v>-0.38</v>
      </c>
      <c r="I378">
        <v>49.89</v>
      </c>
      <c r="J378">
        <v>14.15</v>
      </c>
      <c r="K378">
        <v>-4.62</v>
      </c>
      <c r="L378">
        <v>-19.239999999999998</v>
      </c>
      <c r="M378">
        <v>4.46</v>
      </c>
      <c r="N378">
        <v>12.16</v>
      </c>
    </row>
    <row r="379" spans="1:14">
      <c r="A379" s="2" t="s">
        <v>407</v>
      </c>
      <c r="B379" t="s">
        <v>4201</v>
      </c>
      <c r="C379">
        <v>-1.36</v>
      </c>
      <c r="D379">
        <v>-1.58</v>
      </c>
      <c r="E379">
        <v>-5.71</v>
      </c>
      <c r="F379">
        <v>-2.1800000000000002</v>
      </c>
      <c r="G379">
        <v>-3.37</v>
      </c>
      <c r="H379">
        <v>34.17</v>
      </c>
      <c r="I379">
        <v>15.95</v>
      </c>
      <c r="J379">
        <v>15.1</v>
      </c>
      <c r="K379">
        <v>-3.48</v>
      </c>
      <c r="L379">
        <v>8.09</v>
      </c>
      <c r="M379">
        <v>7.51</v>
      </c>
      <c r="N379">
        <v>54.11</v>
      </c>
    </row>
    <row r="380" spans="1:14">
      <c r="A380" s="2" t="s">
        <v>408</v>
      </c>
      <c r="B380" t="s">
        <v>4202</v>
      </c>
      <c r="C380">
        <v>13.45</v>
      </c>
      <c r="D380">
        <v>-21.38</v>
      </c>
      <c r="E380">
        <v>10.039999999999999</v>
      </c>
      <c r="F380">
        <v>-0.28999999999999998</v>
      </c>
      <c r="G380">
        <v>9.99</v>
      </c>
      <c r="H380">
        <v>3</v>
      </c>
      <c r="I380">
        <v>12.4</v>
      </c>
      <c r="J380">
        <v>7.46</v>
      </c>
      <c r="K380">
        <v>25.62</v>
      </c>
      <c r="L380">
        <v>11.38</v>
      </c>
      <c r="M380">
        <v>18.420000000000002</v>
      </c>
      <c r="N380">
        <v>16.12</v>
      </c>
    </row>
    <row r="381" spans="1:14">
      <c r="A381" s="2" t="s">
        <v>409</v>
      </c>
      <c r="B381" t="s">
        <v>4203</v>
      </c>
      <c r="C381">
        <v>8.33</v>
      </c>
      <c r="D381">
        <v>-6.55</v>
      </c>
      <c r="E381">
        <v>-16.64</v>
      </c>
      <c r="F381">
        <v>16.59</v>
      </c>
      <c r="G381">
        <v>37.81</v>
      </c>
      <c r="H381">
        <v>-33.26</v>
      </c>
      <c r="I381">
        <v>0.52</v>
      </c>
      <c r="J381">
        <v>4.63</v>
      </c>
      <c r="K381">
        <v>-1.01</v>
      </c>
      <c r="L381">
        <v>7.31</v>
      </c>
      <c r="M381">
        <v>42.79</v>
      </c>
      <c r="N381">
        <v>3.66</v>
      </c>
    </row>
    <row r="382" spans="1:14">
      <c r="A382" s="2" t="s">
        <v>410</v>
      </c>
      <c r="B382" t="s">
        <v>4204</v>
      </c>
      <c r="C382">
        <v>-15.83</v>
      </c>
      <c r="D382">
        <v>34.340000000000003</v>
      </c>
      <c r="E382">
        <v>-30.72</v>
      </c>
      <c r="F382">
        <v>28.83</v>
      </c>
      <c r="G382">
        <v>85.93</v>
      </c>
      <c r="H382">
        <v>-56.44</v>
      </c>
      <c r="I382">
        <v>4.7300000000000004</v>
      </c>
      <c r="J382">
        <v>0.26</v>
      </c>
      <c r="K382">
        <v>-34.909999999999997</v>
      </c>
      <c r="L382">
        <v>18.809999999999999</v>
      </c>
      <c r="M382">
        <v>11.84</v>
      </c>
      <c r="N382">
        <v>-19.91</v>
      </c>
    </row>
    <row r="383" spans="1:14">
      <c r="A383" s="2" t="s">
        <v>411</v>
      </c>
      <c r="B383" t="s">
        <v>4205</v>
      </c>
      <c r="C383">
        <v>-22.92</v>
      </c>
      <c r="D383">
        <v>8.4600000000000009</v>
      </c>
      <c r="E383">
        <v>1.08</v>
      </c>
      <c r="F383">
        <v>-0.35</v>
      </c>
      <c r="G383">
        <v>9.44</v>
      </c>
      <c r="H383">
        <v>2.94</v>
      </c>
      <c r="I383">
        <v>-26.34</v>
      </c>
      <c r="J383">
        <v>0.26</v>
      </c>
      <c r="K383">
        <v>-6.4</v>
      </c>
      <c r="L383">
        <v>-5.24</v>
      </c>
      <c r="M383">
        <v>4.6500000000000004</v>
      </c>
      <c r="N383">
        <v>9.67</v>
      </c>
    </row>
    <row r="384" spans="1:14">
      <c r="A384" s="2" t="s">
        <v>412</v>
      </c>
      <c r="B384" t="s">
        <v>4206</v>
      </c>
      <c r="C384">
        <v>-2.7</v>
      </c>
      <c r="D384">
        <v>12.24</v>
      </c>
      <c r="E384">
        <v>-9.36</v>
      </c>
      <c r="F384">
        <v>-3.75</v>
      </c>
      <c r="G384">
        <v>16.75</v>
      </c>
      <c r="H384">
        <v>-0.69</v>
      </c>
      <c r="I384">
        <v>15.14</v>
      </c>
      <c r="J384">
        <v>38.020000000000003</v>
      </c>
      <c r="K384">
        <v>35.56</v>
      </c>
      <c r="L384">
        <v>17.600000000000001</v>
      </c>
      <c r="M384">
        <v>30.08</v>
      </c>
      <c r="N384">
        <v>36.479999999999997</v>
      </c>
    </row>
    <row r="385" spans="1:14">
      <c r="A385" s="2" t="s">
        <v>413</v>
      </c>
      <c r="B385" t="s">
        <v>4207</v>
      </c>
      <c r="C385">
        <v>-2.34</v>
      </c>
      <c r="D385">
        <v>0.53</v>
      </c>
      <c r="E385">
        <v>12.53</v>
      </c>
      <c r="F385">
        <v>4.5599999999999996</v>
      </c>
      <c r="G385">
        <v>14.25</v>
      </c>
      <c r="H385">
        <v>-26.85</v>
      </c>
      <c r="I385">
        <v>1.1000000000000001</v>
      </c>
      <c r="J385">
        <v>8.7200000000000006</v>
      </c>
      <c r="K385">
        <v>1.73</v>
      </c>
      <c r="L385">
        <v>27.38</v>
      </c>
      <c r="M385">
        <v>-0.35</v>
      </c>
      <c r="N385">
        <v>46.67</v>
      </c>
    </row>
    <row r="386" spans="1:14">
      <c r="A386" s="2" t="s">
        <v>414</v>
      </c>
      <c r="B386" t="s">
        <v>4208</v>
      </c>
      <c r="C386">
        <v>-41.23</v>
      </c>
      <c r="D386">
        <v>86.44</v>
      </c>
      <c r="E386">
        <v>27.89</v>
      </c>
      <c r="F386">
        <v>-66.03</v>
      </c>
      <c r="G386">
        <v>470.89</v>
      </c>
      <c r="H386">
        <v>-72.989999999999995</v>
      </c>
      <c r="I386">
        <v>-34.67</v>
      </c>
      <c r="J386">
        <v>24.88</v>
      </c>
      <c r="K386">
        <v>124.18</v>
      </c>
      <c r="L386">
        <v>-24.18</v>
      </c>
      <c r="M386">
        <v>-40.200000000000003</v>
      </c>
      <c r="N386">
        <v>53.64</v>
      </c>
    </row>
    <row r="387" spans="1:14">
      <c r="A387" s="2" t="s">
        <v>415</v>
      </c>
      <c r="B387" t="s">
        <v>4209</v>
      </c>
      <c r="C387">
        <v>15.79</v>
      </c>
      <c r="D387">
        <v>-44.11</v>
      </c>
      <c r="E387">
        <v>-12.89</v>
      </c>
      <c r="F387">
        <v>80.11</v>
      </c>
      <c r="G387">
        <v>25.83</v>
      </c>
      <c r="H387">
        <v>-37.380000000000003</v>
      </c>
      <c r="I387">
        <v>46.79</v>
      </c>
      <c r="J387">
        <v>0.15</v>
      </c>
      <c r="K387">
        <v>-23.12</v>
      </c>
      <c r="L387">
        <v>52.17</v>
      </c>
      <c r="M387">
        <v>26.62</v>
      </c>
      <c r="N387">
        <v>43.93</v>
      </c>
    </row>
    <row r="388" spans="1:14">
      <c r="A388" s="2" t="s">
        <v>416</v>
      </c>
      <c r="B388" t="s">
        <v>4210</v>
      </c>
      <c r="C388">
        <v>-2.4500000000000002</v>
      </c>
      <c r="D388">
        <v>-1.85</v>
      </c>
      <c r="E388">
        <v>-7.13</v>
      </c>
      <c r="F388">
        <v>3.65</v>
      </c>
      <c r="G388">
        <v>1.53</v>
      </c>
      <c r="H388">
        <v>12.47</v>
      </c>
      <c r="I388">
        <v>-14.7</v>
      </c>
      <c r="J388">
        <v>-12.05</v>
      </c>
      <c r="K388">
        <v>-10.97</v>
      </c>
      <c r="L388">
        <v>-8.19</v>
      </c>
      <c r="M388">
        <v>-3.5</v>
      </c>
      <c r="N388">
        <v>-0.49</v>
      </c>
    </row>
    <row r="389" spans="1:14">
      <c r="A389" s="2" t="s">
        <v>417</v>
      </c>
      <c r="B389" t="s">
        <v>4211</v>
      </c>
      <c r="C389">
        <v>-19.149999999999999</v>
      </c>
      <c r="D389">
        <v>40.1</v>
      </c>
      <c r="E389">
        <v>298.82</v>
      </c>
      <c r="F389">
        <v>-72.739999999999995</v>
      </c>
      <c r="G389">
        <v>132.83000000000001</v>
      </c>
      <c r="H389">
        <v>77.36</v>
      </c>
      <c r="I389">
        <v>0.36</v>
      </c>
      <c r="J389">
        <v>-37.229999999999997</v>
      </c>
      <c r="K389">
        <v>224.52</v>
      </c>
      <c r="L389">
        <v>52.29</v>
      </c>
      <c r="M389">
        <v>-1.84</v>
      </c>
      <c r="N389">
        <v>362.99</v>
      </c>
    </row>
    <row r="390" spans="1:14">
      <c r="A390" s="2" t="s">
        <v>418</v>
      </c>
      <c r="B390" t="s">
        <v>4212</v>
      </c>
      <c r="C390">
        <v>-5.54</v>
      </c>
      <c r="D390">
        <v>14.28</v>
      </c>
      <c r="E390">
        <v>-3.84</v>
      </c>
      <c r="F390">
        <v>-3.18</v>
      </c>
      <c r="G390">
        <v>11.99</v>
      </c>
      <c r="H390">
        <v>8.2799999999999994</v>
      </c>
      <c r="I390">
        <v>-4.22</v>
      </c>
      <c r="J390">
        <v>7.03</v>
      </c>
      <c r="K390">
        <v>11.68</v>
      </c>
      <c r="L390">
        <v>2.31</v>
      </c>
      <c r="M390">
        <v>-3.54</v>
      </c>
      <c r="N390">
        <v>22.45</v>
      </c>
    </row>
    <row r="391" spans="1:14">
      <c r="A391" s="2" t="s">
        <v>419</v>
      </c>
      <c r="B391" t="s">
        <v>4213</v>
      </c>
      <c r="C391">
        <v>-38.590000000000003</v>
      </c>
      <c r="D391">
        <v>21.27</v>
      </c>
      <c r="E391">
        <v>26.76</v>
      </c>
      <c r="F391">
        <v>17.71</v>
      </c>
      <c r="G391">
        <v>14.86</v>
      </c>
      <c r="H391">
        <v>-25.33</v>
      </c>
      <c r="I391">
        <v>21.49</v>
      </c>
      <c r="J391">
        <v>20.36</v>
      </c>
      <c r="K391">
        <v>40.950000000000003</v>
      </c>
      <c r="L391">
        <v>68.97</v>
      </c>
      <c r="M391">
        <v>68.13</v>
      </c>
      <c r="N391">
        <v>-3.96</v>
      </c>
    </row>
    <row r="392" spans="1:14">
      <c r="A392" s="2" t="s">
        <v>420</v>
      </c>
      <c r="B392" t="s">
        <v>4214</v>
      </c>
      <c r="C392">
        <v>-4.05</v>
      </c>
      <c r="D392">
        <v>-7.0000000000000007E-2</v>
      </c>
      <c r="E392">
        <v>0.23</v>
      </c>
      <c r="F392">
        <v>-3.06</v>
      </c>
      <c r="G392">
        <v>-3.88</v>
      </c>
      <c r="H392">
        <v>16.68</v>
      </c>
      <c r="I392">
        <v>-7.51</v>
      </c>
      <c r="J392">
        <v>-8.44</v>
      </c>
      <c r="K392">
        <v>-5.15</v>
      </c>
      <c r="L392">
        <v>-6.05</v>
      </c>
      <c r="M392">
        <v>-8.83</v>
      </c>
      <c r="N392">
        <v>-6.01</v>
      </c>
    </row>
    <row r="393" spans="1:14">
      <c r="A393" s="2" t="s">
        <v>421</v>
      </c>
      <c r="B393" t="s">
        <v>4215</v>
      </c>
      <c r="C393">
        <v>-11.36</v>
      </c>
      <c r="D393">
        <v>-18.62</v>
      </c>
      <c r="E393">
        <v>3.02</v>
      </c>
      <c r="F393">
        <v>-24.54</v>
      </c>
      <c r="G393">
        <v>40.71</v>
      </c>
      <c r="H393">
        <v>-1.37</v>
      </c>
      <c r="I393">
        <v>-8.48</v>
      </c>
      <c r="J393">
        <v>-43.31</v>
      </c>
      <c r="K393">
        <v>-41.65</v>
      </c>
      <c r="L393">
        <v>-46.82</v>
      </c>
      <c r="M393">
        <v>-10.08</v>
      </c>
      <c r="N393">
        <v>21.4</v>
      </c>
    </row>
    <row r="394" spans="1:14">
      <c r="A394" s="2" t="s">
        <v>422</v>
      </c>
      <c r="B394" t="s">
        <v>4216</v>
      </c>
      <c r="C394">
        <v>-5.8</v>
      </c>
      <c r="D394">
        <v>37.85</v>
      </c>
      <c r="E394">
        <v>-25.53</v>
      </c>
      <c r="F394">
        <v>15.61</v>
      </c>
      <c r="G394">
        <v>40.01</v>
      </c>
      <c r="H394">
        <v>-33.06</v>
      </c>
      <c r="I394">
        <v>17.78</v>
      </c>
      <c r="J394">
        <v>16.11</v>
      </c>
      <c r="K394">
        <v>46.05</v>
      </c>
      <c r="L394">
        <v>29.39</v>
      </c>
      <c r="M394">
        <v>25.02</v>
      </c>
      <c r="N394">
        <v>20.78</v>
      </c>
    </row>
    <row r="395" spans="1:14">
      <c r="A395" s="2" t="s">
        <v>423</v>
      </c>
      <c r="B395" t="s">
        <v>4217</v>
      </c>
      <c r="C395">
        <v>-2.76</v>
      </c>
      <c r="D395">
        <v>0.39</v>
      </c>
      <c r="E395">
        <v>1.06</v>
      </c>
      <c r="F395">
        <v>0.87</v>
      </c>
      <c r="G395">
        <v>3.14</v>
      </c>
      <c r="H395">
        <v>0.72</v>
      </c>
      <c r="I395">
        <v>0.17</v>
      </c>
      <c r="J395">
        <v>-0.62</v>
      </c>
      <c r="K395">
        <v>-1.35</v>
      </c>
      <c r="L395">
        <v>0.56000000000000005</v>
      </c>
      <c r="M395">
        <v>-3.26</v>
      </c>
      <c r="N395">
        <v>3.19</v>
      </c>
    </row>
    <row r="396" spans="1:14">
      <c r="A396" s="2" t="s">
        <v>424</v>
      </c>
      <c r="B396" t="s">
        <v>4218</v>
      </c>
      <c r="C396">
        <v>-32.01</v>
      </c>
      <c r="D396">
        <v>64.39</v>
      </c>
      <c r="E396">
        <v>-15.35</v>
      </c>
      <c r="F396">
        <v>-27.37</v>
      </c>
      <c r="G396">
        <v>37.92</v>
      </c>
      <c r="I396">
        <v>-20.87</v>
      </c>
      <c r="J396">
        <v>27.89</v>
      </c>
      <c r="K396">
        <v>7.25</v>
      </c>
      <c r="L396">
        <v>-39.99</v>
      </c>
      <c r="M396">
        <v>-4.82</v>
      </c>
    </row>
    <row r="397" spans="1:14">
      <c r="A397" s="2" t="s">
        <v>425</v>
      </c>
      <c r="B397" t="s">
        <v>4219</v>
      </c>
      <c r="C397">
        <v>14.94</v>
      </c>
      <c r="D397">
        <v>-3.77</v>
      </c>
      <c r="E397">
        <v>-10.4</v>
      </c>
      <c r="F397">
        <v>22.95</v>
      </c>
      <c r="G397">
        <v>-12.41</v>
      </c>
      <c r="H397">
        <v>37.520000000000003</v>
      </c>
      <c r="I397">
        <v>17.87</v>
      </c>
      <c r="J397">
        <v>7.51</v>
      </c>
      <c r="K397">
        <v>0.13</v>
      </c>
      <c r="L397">
        <v>20.83</v>
      </c>
      <c r="M397">
        <v>10.84</v>
      </c>
      <c r="N397">
        <v>60.61</v>
      </c>
    </row>
    <row r="398" spans="1:14">
      <c r="A398" s="2" t="s">
        <v>426</v>
      </c>
      <c r="B398" t="s">
        <v>4220</v>
      </c>
      <c r="C398">
        <v>-38.549999999999997</v>
      </c>
      <c r="D398">
        <v>-18.05</v>
      </c>
      <c r="E398">
        <v>43.84</v>
      </c>
      <c r="F398">
        <v>-5.1100000000000003</v>
      </c>
      <c r="G398">
        <v>76.41</v>
      </c>
      <c r="I398">
        <v>-22.53</v>
      </c>
      <c r="J398">
        <v>-28.05</v>
      </c>
      <c r="K398">
        <v>-5.67</v>
      </c>
      <c r="L398">
        <v>-20.239999999999998</v>
      </c>
      <c r="M398">
        <v>3.47</v>
      </c>
    </row>
    <row r="399" spans="1:14">
      <c r="A399" s="2" t="s">
        <v>427</v>
      </c>
      <c r="B399" t="s">
        <v>4221</v>
      </c>
      <c r="C399">
        <v>20.65</v>
      </c>
      <c r="D399">
        <v>13.07</v>
      </c>
      <c r="E399">
        <v>-0.42</v>
      </c>
      <c r="F399">
        <v>0</v>
      </c>
      <c r="G399">
        <v>-14.34</v>
      </c>
      <c r="H399">
        <v>-7.88</v>
      </c>
      <c r="I399">
        <v>-2</v>
      </c>
      <c r="J399">
        <v>9.7100000000000009</v>
      </c>
      <c r="K399">
        <v>20.72</v>
      </c>
      <c r="L399">
        <v>14.28</v>
      </c>
      <c r="M399">
        <v>9.5399999999999991</v>
      </c>
      <c r="N399">
        <v>31.27</v>
      </c>
    </row>
    <row r="400" spans="1:14">
      <c r="A400" s="2" t="s">
        <v>428</v>
      </c>
      <c r="B400" t="s">
        <v>4222</v>
      </c>
      <c r="C400">
        <v>-0.11</v>
      </c>
      <c r="D400">
        <v>4.63</v>
      </c>
      <c r="E400">
        <v>-9.1</v>
      </c>
      <c r="F400">
        <v>20.55</v>
      </c>
      <c r="G400">
        <v>6.17</v>
      </c>
      <c r="H400">
        <v>21.33</v>
      </c>
      <c r="I400">
        <v>-8.8000000000000007</v>
      </c>
      <c r="J400">
        <v>-7.94</v>
      </c>
      <c r="K400">
        <v>-22.4</v>
      </c>
      <c r="L400">
        <v>-20.85</v>
      </c>
      <c r="M400">
        <v>-16.52</v>
      </c>
      <c r="N400">
        <v>69.53</v>
      </c>
    </row>
    <row r="401" spans="1:14">
      <c r="A401" s="2" t="s">
        <v>429</v>
      </c>
      <c r="B401" t="s">
        <v>4223</v>
      </c>
      <c r="C401">
        <v>2.0099999999999998</v>
      </c>
      <c r="D401">
        <v>-2.62</v>
      </c>
      <c r="E401">
        <v>5.21</v>
      </c>
      <c r="F401">
        <v>-3.06</v>
      </c>
      <c r="G401">
        <v>-2.56</v>
      </c>
      <c r="H401">
        <v>15.03</v>
      </c>
      <c r="I401">
        <v>9.34</v>
      </c>
      <c r="J401">
        <v>11.87</v>
      </c>
      <c r="K401">
        <v>16.920000000000002</v>
      </c>
      <c r="L401">
        <v>11.29</v>
      </c>
      <c r="M401">
        <v>3.73</v>
      </c>
      <c r="N401">
        <v>31.65</v>
      </c>
    </row>
    <row r="402" spans="1:14">
      <c r="A402" s="2" t="s">
        <v>430</v>
      </c>
      <c r="B402" t="s">
        <v>4224</v>
      </c>
      <c r="C402">
        <v>42.72</v>
      </c>
      <c r="D402">
        <v>187.82</v>
      </c>
      <c r="E402">
        <v>-62.43</v>
      </c>
      <c r="F402">
        <v>13.13</v>
      </c>
      <c r="G402">
        <v>39299.879999999997</v>
      </c>
      <c r="H402">
        <v>-99.13</v>
      </c>
      <c r="I402">
        <v>-78.430000000000007</v>
      </c>
      <c r="J402">
        <v>270.63</v>
      </c>
      <c r="K402">
        <v>25.77</v>
      </c>
      <c r="L402">
        <v>46.95</v>
      </c>
      <c r="M402">
        <v>2031.99</v>
      </c>
      <c r="N402">
        <v>-58.05</v>
      </c>
    </row>
    <row r="403" spans="1:14">
      <c r="A403" s="2" t="s">
        <v>431</v>
      </c>
      <c r="B403" t="s">
        <v>4225</v>
      </c>
      <c r="C403">
        <v>-1.74</v>
      </c>
      <c r="D403">
        <v>20.79</v>
      </c>
      <c r="E403">
        <v>-26.86</v>
      </c>
      <c r="F403">
        <v>-28.47</v>
      </c>
      <c r="G403">
        <v>151.24</v>
      </c>
      <c r="H403">
        <v>-42.27</v>
      </c>
      <c r="I403">
        <v>-43.65</v>
      </c>
      <c r="J403">
        <v>-10.19</v>
      </c>
      <c r="K403">
        <v>-52.69</v>
      </c>
      <c r="L403">
        <v>-60.35</v>
      </c>
      <c r="M403">
        <v>31.22</v>
      </c>
      <c r="N403">
        <v>-20.41</v>
      </c>
    </row>
    <row r="404" spans="1:14">
      <c r="A404" s="2" t="s">
        <v>432</v>
      </c>
      <c r="B404" t="s">
        <v>4226</v>
      </c>
      <c r="C404">
        <v>6.26</v>
      </c>
      <c r="D404">
        <v>5.5</v>
      </c>
      <c r="E404">
        <v>4.51</v>
      </c>
      <c r="F404">
        <v>-3.69</v>
      </c>
      <c r="G404">
        <v>-1.1599999999999999</v>
      </c>
      <c r="H404">
        <v>3.54</v>
      </c>
      <c r="I404">
        <v>31.89</v>
      </c>
      <c r="J404">
        <v>39.619999999999997</v>
      </c>
      <c r="K404">
        <v>41.83</v>
      </c>
      <c r="L404">
        <v>34.93</v>
      </c>
      <c r="M404">
        <v>33.04</v>
      </c>
      <c r="N404">
        <v>41.28</v>
      </c>
    </row>
    <row r="405" spans="1:14">
      <c r="A405" s="2" t="s">
        <v>433</v>
      </c>
      <c r="B405" t="s">
        <v>4227</v>
      </c>
      <c r="C405">
        <v>3.92</v>
      </c>
      <c r="D405">
        <v>23.44</v>
      </c>
      <c r="E405">
        <v>21.13</v>
      </c>
      <c r="F405">
        <v>-0.68</v>
      </c>
      <c r="G405">
        <v>-19.89</v>
      </c>
      <c r="H405">
        <v>4.09</v>
      </c>
      <c r="I405">
        <v>-6.13</v>
      </c>
      <c r="J405">
        <v>10.76</v>
      </c>
      <c r="K405">
        <v>10.47</v>
      </c>
      <c r="L405">
        <v>19.86</v>
      </c>
      <c r="M405">
        <v>17.09</v>
      </c>
      <c r="N405">
        <v>31.49</v>
      </c>
    </row>
    <row r="406" spans="1:14">
      <c r="A406" s="2" t="s">
        <v>434</v>
      </c>
      <c r="B406" t="s">
        <v>4228</v>
      </c>
      <c r="C406">
        <v>1.0900000000000001</v>
      </c>
      <c r="D406">
        <v>19.989999999999998</v>
      </c>
      <c r="E406">
        <v>11.47</v>
      </c>
      <c r="F406">
        <v>17.39</v>
      </c>
      <c r="G406">
        <v>51.16</v>
      </c>
      <c r="H406">
        <v>55.68</v>
      </c>
      <c r="I406">
        <v>41.77</v>
      </c>
      <c r="J406">
        <v>88.62</v>
      </c>
      <c r="K406">
        <v>119.63</v>
      </c>
      <c r="L406">
        <v>145.59</v>
      </c>
      <c r="M406">
        <v>241.98</v>
      </c>
      <c r="N406">
        <v>440.61</v>
      </c>
    </row>
    <row r="407" spans="1:14">
      <c r="A407" s="2" t="s">
        <v>435</v>
      </c>
      <c r="B407" t="s">
        <v>4229</v>
      </c>
      <c r="C407">
        <v>1.42</v>
      </c>
      <c r="D407">
        <v>28.44</v>
      </c>
      <c r="E407">
        <v>-13.02</v>
      </c>
      <c r="F407">
        <v>22.56</v>
      </c>
      <c r="G407">
        <v>28.34</v>
      </c>
      <c r="H407">
        <v>-53.65</v>
      </c>
      <c r="I407">
        <v>9.7100000000000009</v>
      </c>
      <c r="J407">
        <v>8.3800000000000008</v>
      </c>
      <c r="K407">
        <v>5.58</v>
      </c>
      <c r="L407">
        <v>4.8499999999999996</v>
      </c>
      <c r="M407">
        <v>6.43</v>
      </c>
      <c r="N407">
        <v>8.68</v>
      </c>
    </row>
    <row r="408" spans="1:14">
      <c r="A408" s="2" t="s">
        <v>436</v>
      </c>
      <c r="B408" t="s">
        <v>4230</v>
      </c>
      <c r="C408">
        <v>3.07</v>
      </c>
      <c r="D408">
        <v>21.96</v>
      </c>
      <c r="E408">
        <v>-4.24</v>
      </c>
      <c r="F408">
        <v>-9.86</v>
      </c>
      <c r="G408">
        <v>9.32</v>
      </c>
      <c r="I408">
        <v>7.27</v>
      </c>
      <c r="J408">
        <v>21.61</v>
      </c>
      <c r="K408">
        <v>1.78</v>
      </c>
      <c r="L408">
        <v>3.65</v>
      </c>
      <c r="M408">
        <v>22.99</v>
      </c>
    </row>
    <row r="409" spans="1:14">
      <c r="A409" s="2" t="s">
        <v>437</v>
      </c>
      <c r="B409" t="s">
        <v>4231</v>
      </c>
      <c r="C409">
        <v>-5.41</v>
      </c>
      <c r="D409">
        <v>26.05</v>
      </c>
      <c r="E409">
        <v>2.41</v>
      </c>
      <c r="F409">
        <v>-19.71</v>
      </c>
      <c r="G409">
        <v>11.94</v>
      </c>
      <c r="H409">
        <v>6.6</v>
      </c>
      <c r="I409">
        <v>0.43</v>
      </c>
      <c r="J409">
        <v>28.78</v>
      </c>
      <c r="K409">
        <v>50.33</v>
      </c>
      <c r="L409">
        <v>20.16</v>
      </c>
      <c r="M409">
        <v>28.28</v>
      </c>
      <c r="N409">
        <v>30.26</v>
      </c>
    </row>
    <row r="410" spans="1:14">
      <c r="A410" s="2" t="s">
        <v>438</v>
      </c>
      <c r="B410" t="s">
        <v>4232</v>
      </c>
      <c r="C410">
        <v>-6.24</v>
      </c>
      <c r="D410">
        <v>-9.92</v>
      </c>
      <c r="E410">
        <v>-6.05</v>
      </c>
      <c r="F410">
        <v>-4.26</v>
      </c>
      <c r="G410">
        <v>6.38</v>
      </c>
      <c r="H410">
        <v>-10.88</v>
      </c>
      <c r="I410">
        <v>-12.24</v>
      </c>
      <c r="J410">
        <v>2.34</v>
      </c>
      <c r="K410">
        <v>1.86</v>
      </c>
      <c r="L410">
        <v>-28.85</v>
      </c>
      <c r="M410">
        <v>-30.27</v>
      </c>
      <c r="N410">
        <v>-3.37</v>
      </c>
    </row>
    <row r="411" spans="1:14">
      <c r="A411" s="2" t="s">
        <v>439</v>
      </c>
      <c r="B411" t="s">
        <v>4233</v>
      </c>
      <c r="C411">
        <v>15.67</v>
      </c>
      <c r="D411">
        <v>-3.17</v>
      </c>
      <c r="E411">
        <v>-12.04</v>
      </c>
      <c r="F411">
        <v>-5.08</v>
      </c>
      <c r="G411">
        <v>-3.15</v>
      </c>
      <c r="H411">
        <v>16.5</v>
      </c>
      <c r="I411">
        <v>-1.54</v>
      </c>
      <c r="J411">
        <v>1.67</v>
      </c>
      <c r="K411">
        <v>-8.01</v>
      </c>
      <c r="L411">
        <v>-3.5</v>
      </c>
      <c r="M411">
        <v>-5.65</v>
      </c>
      <c r="N411">
        <v>2.37</v>
      </c>
    </row>
    <row r="412" spans="1:14">
      <c r="A412" s="2" t="s">
        <v>440</v>
      </c>
      <c r="B412" t="s">
        <v>4234</v>
      </c>
      <c r="C412">
        <v>-9.09</v>
      </c>
      <c r="D412">
        <v>9.14</v>
      </c>
      <c r="E412">
        <v>-6.76</v>
      </c>
      <c r="F412">
        <v>14.87</v>
      </c>
      <c r="G412">
        <v>-1.57</v>
      </c>
      <c r="H412">
        <v>7.87</v>
      </c>
      <c r="I412">
        <v>-8.4</v>
      </c>
      <c r="J412">
        <v>0.48</v>
      </c>
      <c r="K412">
        <v>-2.52</v>
      </c>
      <c r="L412">
        <v>5.73</v>
      </c>
      <c r="M412">
        <v>17.79</v>
      </c>
      <c r="N412">
        <v>19.670000000000002</v>
      </c>
    </row>
    <row r="413" spans="1:14">
      <c r="A413" s="2" t="s">
        <v>441</v>
      </c>
      <c r="B413" t="s">
        <v>4235</v>
      </c>
      <c r="C413">
        <v>-1.24</v>
      </c>
      <c r="D413">
        <v>-2.33</v>
      </c>
      <c r="E413">
        <v>2.54</v>
      </c>
      <c r="F413">
        <v>32.5</v>
      </c>
      <c r="G413">
        <v>12.22</v>
      </c>
      <c r="H413">
        <v>13.44</v>
      </c>
      <c r="I413">
        <v>-8.4499999999999993</v>
      </c>
      <c r="J413">
        <v>-5.54</v>
      </c>
      <c r="K413">
        <v>0.92</v>
      </c>
      <c r="L413">
        <v>4.03</v>
      </c>
      <c r="M413">
        <v>14.55</v>
      </c>
      <c r="N413">
        <v>138.55000000000001</v>
      </c>
    </row>
    <row r="414" spans="1:14">
      <c r="A414" s="2" t="s">
        <v>442</v>
      </c>
      <c r="B414" t="s">
        <v>4236</v>
      </c>
      <c r="C414">
        <v>-6.33</v>
      </c>
      <c r="D414">
        <v>-6.38</v>
      </c>
      <c r="E414">
        <v>-0.99</v>
      </c>
      <c r="F414">
        <v>-5.09</v>
      </c>
      <c r="G414">
        <v>34.380000000000003</v>
      </c>
      <c r="H414">
        <v>7.69</v>
      </c>
      <c r="I414">
        <v>3.26</v>
      </c>
      <c r="J414">
        <v>-5.7</v>
      </c>
      <c r="K414">
        <v>-6.76</v>
      </c>
      <c r="L414">
        <v>-4.24</v>
      </c>
      <c r="M414">
        <v>7.5</v>
      </c>
      <c r="N414">
        <v>25.43</v>
      </c>
    </row>
    <row r="415" spans="1:14">
      <c r="A415" s="2" t="s">
        <v>443</v>
      </c>
      <c r="B415" t="s">
        <v>4237</v>
      </c>
      <c r="C415">
        <v>-2.0299999999999998</v>
      </c>
      <c r="D415">
        <v>3.4</v>
      </c>
      <c r="E415">
        <v>-15.99</v>
      </c>
      <c r="F415">
        <v>-0.63</v>
      </c>
      <c r="G415">
        <v>0.88</v>
      </c>
      <c r="H415">
        <v>16.72</v>
      </c>
      <c r="I415">
        <v>-5.32</v>
      </c>
      <c r="J415">
        <v>-1.52</v>
      </c>
      <c r="K415">
        <v>-5.72</v>
      </c>
      <c r="L415">
        <v>-15.98</v>
      </c>
      <c r="M415">
        <v>-15.69</v>
      </c>
      <c r="N415">
        <v>18.2</v>
      </c>
    </row>
    <row r="416" spans="1:14">
      <c r="A416" s="2" t="s">
        <v>444</v>
      </c>
      <c r="B416" t="s">
        <v>4238</v>
      </c>
      <c r="C416">
        <v>0.37</v>
      </c>
      <c r="D416">
        <v>4.93</v>
      </c>
      <c r="E416">
        <v>0.53</v>
      </c>
      <c r="F416">
        <v>-0.49</v>
      </c>
      <c r="G416">
        <v>0.54</v>
      </c>
      <c r="H416">
        <v>4.6500000000000004</v>
      </c>
      <c r="I416">
        <v>-27.95</v>
      </c>
      <c r="J416">
        <v>-29.57</v>
      </c>
      <c r="K416">
        <v>-26.1</v>
      </c>
      <c r="L416">
        <v>-15.33</v>
      </c>
      <c r="M416">
        <v>-21.41</v>
      </c>
      <c r="N416">
        <v>7.85</v>
      </c>
    </row>
    <row r="417" spans="1:14">
      <c r="A417" s="2" t="s">
        <v>445</v>
      </c>
      <c r="B417" t="s">
        <v>4239</v>
      </c>
      <c r="C417">
        <v>-13.09</v>
      </c>
      <c r="D417">
        <v>483.82</v>
      </c>
      <c r="E417">
        <v>-81.78</v>
      </c>
      <c r="F417">
        <v>18.329999999999998</v>
      </c>
      <c r="G417">
        <v>17.329999999999998</v>
      </c>
      <c r="H417">
        <v>29.36</v>
      </c>
      <c r="I417">
        <v>-42.83</v>
      </c>
      <c r="J417">
        <v>337.69</v>
      </c>
      <c r="K417">
        <v>-25.47</v>
      </c>
      <c r="L417">
        <v>-9.8000000000000007</v>
      </c>
      <c r="M417">
        <v>-61.58</v>
      </c>
      <c r="N417">
        <v>73.400000000000006</v>
      </c>
    </row>
    <row r="418" spans="1:14">
      <c r="A418" s="2" t="s">
        <v>446</v>
      </c>
      <c r="B418" t="s">
        <v>4240</v>
      </c>
      <c r="C418">
        <v>-34.619999999999997</v>
      </c>
      <c r="D418">
        <v>-79.790000000000006</v>
      </c>
      <c r="E418">
        <v>31.36</v>
      </c>
      <c r="F418">
        <v>25.79</v>
      </c>
      <c r="G418">
        <v>-33.35</v>
      </c>
      <c r="H418">
        <v>112.39</v>
      </c>
      <c r="I418">
        <v>-10.83</v>
      </c>
      <c r="J418">
        <v>-47.53</v>
      </c>
      <c r="K418">
        <v>-59.91</v>
      </c>
      <c r="L418">
        <v>-24.81</v>
      </c>
      <c r="M418">
        <v>-46.77</v>
      </c>
      <c r="N418">
        <v>54.54</v>
      </c>
    </row>
    <row r="419" spans="1:14">
      <c r="A419" s="2" t="s">
        <v>447</v>
      </c>
      <c r="B419" t="s">
        <v>4241</v>
      </c>
      <c r="C419">
        <v>7.38</v>
      </c>
      <c r="D419">
        <v>-7.97</v>
      </c>
      <c r="E419">
        <v>13.13</v>
      </c>
      <c r="F419">
        <v>3.84</v>
      </c>
      <c r="G419">
        <v>3.66</v>
      </c>
      <c r="H419">
        <v>64.599999999999994</v>
      </c>
      <c r="I419">
        <v>50.77</v>
      </c>
      <c r="J419">
        <v>48.78</v>
      </c>
      <c r="K419">
        <v>50.99</v>
      </c>
      <c r="L419">
        <v>9.76</v>
      </c>
      <c r="M419">
        <v>39.200000000000003</v>
      </c>
      <c r="N419">
        <v>124.1</v>
      </c>
    </row>
    <row r="420" spans="1:14">
      <c r="A420" s="2" t="s">
        <v>448</v>
      </c>
      <c r="B420" t="s">
        <v>4242</v>
      </c>
      <c r="C420">
        <v>84.35</v>
      </c>
      <c r="D420">
        <v>-34.42</v>
      </c>
      <c r="E420">
        <v>-3.94</v>
      </c>
      <c r="F420">
        <v>12.14</v>
      </c>
      <c r="G420">
        <v>36.71</v>
      </c>
      <c r="H420">
        <v>-8.36</v>
      </c>
      <c r="I420">
        <v>89.6</v>
      </c>
      <c r="J420">
        <v>-11.14</v>
      </c>
      <c r="K420">
        <v>28.55</v>
      </c>
      <c r="L420">
        <v>12.94</v>
      </c>
      <c r="M420">
        <v>-10.33</v>
      </c>
      <c r="N420">
        <v>-14.07</v>
      </c>
    </row>
    <row r="421" spans="1:14">
      <c r="A421" s="2" t="s">
        <v>449</v>
      </c>
      <c r="B421" t="s">
        <v>4243</v>
      </c>
      <c r="C421">
        <v>0.63</v>
      </c>
      <c r="D421">
        <v>9.76</v>
      </c>
      <c r="E421">
        <v>-4.93</v>
      </c>
      <c r="F421">
        <v>4.5999999999999996</v>
      </c>
      <c r="G421">
        <v>67.959999999999994</v>
      </c>
      <c r="I421">
        <v>5.25</v>
      </c>
      <c r="J421">
        <v>18.440000000000001</v>
      </c>
      <c r="K421">
        <v>0.28000000000000003</v>
      </c>
      <c r="L421">
        <v>0.47</v>
      </c>
      <c r="M421">
        <v>27.89</v>
      </c>
    </row>
    <row r="422" spans="1:14">
      <c r="A422" s="2" t="s">
        <v>450</v>
      </c>
      <c r="B422" t="s">
        <v>4244</v>
      </c>
      <c r="C422">
        <v>-11.07</v>
      </c>
      <c r="D422">
        <v>10.71</v>
      </c>
      <c r="E422">
        <v>-10.51</v>
      </c>
      <c r="F422">
        <v>17.25</v>
      </c>
      <c r="G422">
        <v>1.26</v>
      </c>
      <c r="H422">
        <v>-0.22</v>
      </c>
      <c r="I422">
        <v>-7.39</v>
      </c>
      <c r="J422">
        <v>4.09</v>
      </c>
      <c r="K422">
        <v>-5.2</v>
      </c>
      <c r="L422">
        <v>7.69</v>
      </c>
      <c r="M422">
        <v>9.91</v>
      </c>
      <c r="N422">
        <v>17.309999999999999</v>
      </c>
    </row>
    <row r="423" spans="1:14">
      <c r="A423" s="2" t="s">
        <v>451</v>
      </c>
      <c r="B423" t="s">
        <v>4245</v>
      </c>
      <c r="C423">
        <v>4.79</v>
      </c>
      <c r="D423">
        <v>-7.27</v>
      </c>
      <c r="E423">
        <v>-6.97</v>
      </c>
      <c r="F423">
        <v>4.71</v>
      </c>
      <c r="G423">
        <v>-8.84</v>
      </c>
      <c r="I423">
        <v>1.17</v>
      </c>
      <c r="J423">
        <v>6.77</v>
      </c>
      <c r="K423">
        <v>5.83</v>
      </c>
      <c r="L423">
        <v>9.27</v>
      </c>
      <c r="M423">
        <v>-25.86</v>
      </c>
    </row>
    <row r="424" spans="1:14">
      <c r="A424" s="2" t="s">
        <v>452</v>
      </c>
      <c r="B424" t="s">
        <v>4246</v>
      </c>
      <c r="C424">
        <v>7.24</v>
      </c>
      <c r="D424">
        <v>-0.27</v>
      </c>
      <c r="E424">
        <v>-7.29</v>
      </c>
      <c r="F424">
        <v>6.26</v>
      </c>
      <c r="G424">
        <v>9.86</v>
      </c>
      <c r="H424">
        <v>1.35</v>
      </c>
      <c r="I424">
        <v>10.94</v>
      </c>
      <c r="J424">
        <v>10.99</v>
      </c>
      <c r="K424">
        <v>11.65</v>
      </c>
      <c r="L424">
        <v>18.510000000000002</v>
      </c>
      <c r="M424">
        <v>25.98</v>
      </c>
      <c r="N424">
        <v>37.799999999999997</v>
      </c>
    </row>
    <row r="425" spans="1:14">
      <c r="A425" s="2" t="s">
        <v>453</v>
      </c>
      <c r="B425" t="s">
        <v>4247</v>
      </c>
      <c r="C425">
        <v>21.86</v>
      </c>
      <c r="D425">
        <v>-22.88</v>
      </c>
      <c r="E425">
        <v>-10.68</v>
      </c>
      <c r="F425">
        <v>8.6999999999999993</v>
      </c>
      <c r="G425">
        <v>4.46</v>
      </c>
      <c r="H425">
        <v>5.59</v>
      </c>
      <c r="I425">
        <v>-18.59</v>
      </c>
      <c r="J425">
        <v>-31.98</v>
      </c>
      <c r="K425">
        <v>-15.27</v>
      </c>
      <c r="L425">
        <v>-0.74</v>
      </c>
      <c r="M425">
        <v>7.23</v>
      </c>
      <c r="N425">
        <v>2.84</v>
      </c>
    </row>
    <row r="426" spans="1:14">
      <c r="A426" s="2" t="s">
        <v>454</v>
      </c>
      <c r="B426" t="s">
        <v>4248</v>
      </c>
      <c r="C426">
        <v>-1.1000000000000001</v>
      </c>
      <c r="D426">
        <v>2.64</v>
      </c>
      <c r="E426">
        <v>2.5299999999999998</v>
      </c>
      <c r="F426">
        <v>-3.63</v>
      </c>
      <c r="G426">
        <v>4.49</v>
      </c>
      <c r="H426">
        <v>7.12</v>
      </c>
      <c r="I426">
        <v>-4.67</v>
      </c>
      <c r="J426">
        <v>7.99</v>
      </c>
      <c r="K426">
        <v>10.85</v>
      </c>
      <c r="L426">
        <v>-7.52</v>
      </c>
      <c r="M426">
        <v>3.9</v>
      </c>
      <c r="N426">
        <v>37.97</v>
      </c>
    </row>
    <row r="427" spans="1:14">
      <c r="A427" s="2" t="s">
        <v>455</v>
      </c>
      <c r="B427" t="s">
        <v>4249</v>
      </c>
      <c r="C427">
        <v>-3.05</v>
      </c>
      <c r="D427">
        <v>0.74</v>
      </c>
      <c r="E427">
        <v>8.17</v>
      </c>
      <c r="F427">
        <v>-12.58</v>
      </c>
      <c r="G427">
        <v>42.22</v>
      </c>
      <c r="H427">
        <v>8.65</v>
      </c>
      <c r="I427">
        <v>8.5399999999999991</v>
      </c>
      <c r="J427">
        <v>3.8</v>
      </c>
      <c r="K427">
        <v>-3.16</v>
      </c>
      <c r="L427">
        <v>1.04</v>
      </c>
      <c r="M427">
        <v>-3.16</v>
      </c>
      <c r="N427">
        <v>31.32</v>
      </c>
    </row>
    <row r="428" spans="1:14">
      <c r="A428" s="2" t="s">
        <v>456</v>
      </c>
      <c r="B428" t="s">
        <v>4250</v>
      </c>
      <c r="C428">
        <v>-4.04</v>
      </c>
      <c r="D428">
        <v>4.07</v>
      </c>
      <c r="E428">
        <v>-7</v>
      </c>
      <c r="F428">
        <v>16.23</v>
      </c>
      <c r="G428">
        <v>-4.91</v>
      </c>
      <c r="H428">
        <v>9.58</v>
      </c>
      <c r="I428">
        <v>-5.96</v>
      </c>
      <c r="J428">
        <v>-0.49</v>
      </c>
      <c r="K428">
        <v>8.9499999999999993</v>
      </c>
      <c r="L428">
        <v>13.47</v>
      </c>
      <c r="M428">
        <v>11.74</v>
      </c>
      <c r="N428">
        <v>14.68</v>
      </c>
    </row>
    <row r="429" spans="1:14">
      <c r="A429" s="2" t="s">
        <v>457</v>
      </c>
      <c r="B429" t="s">
        <v>4251</v>
      </c>
      <c r="C429">
        <v>-19.71</v>
      </c>
      <c r="D429">
        <v>-0.59</v>
      </c>
      <c r="E429">
        <v>-21.66</v>
      </c>
      <c r="F429">
        <v>9.18</v>
      </c>
      <c r="G429">
        <v>6.31</v>
      </c>
      <c r="H429">
        <v>5.69</v>
      </c>
      <c r="I429">
        <v>-20.86</v>
      </c>
      <c r="J429">
        <v>-19.61</v>
      </c>
      <c r="K429">
        <v>-36.53</v>
      </c>
      <c r="L429">
        <v>-27.31</v>
      </c>
      <c r="M429">
        <v>4.9000000000000004</v>
      </c>
      <c r="N429">
        <v>30.32</v>
      </c>
    </row>
    <row r="430" spans="1:14">
      <c r="A430" s="2" t="s">
        <v>458</v>
      </c>
      <c r="B430" t="s">
        <v>4252</v>
      </c>
      <c r="C430">
        <v>-4.6900000000000004</v>
      </c>
      <c r="D430">
        <v>6.13</v>
      </c>
      <c r="E430">
        <v>-6.54</v>
      </c>
      <c r="F430">
        <v>0.2</v>
      </c>
      <c r="G430">
        <v>14.3</v>
      </c>
      <c r="H430">
        <v>13.64</v>
      </c>
      <c r="I430">
        <v>-2.0299999999999998</v>
      </c>
      <c r="J430">
        <v>4.07</v>
      </c>
      <c r="K430">
        <v>-9.3000000000000007</v>
      </c>
      <c r="L430">
        <v>-9.6999999999999993</v>
      </c>
      <c r="M430">
        <v>1.34</v>
      </c>
      <c r="N430">
        <v>33.020000000000003</v>
      </c>
    </row>
    <row r="431" spans="1:14">
      <c r="A431" s="2" t="s">
        <v>459</v>
      </c>
      <c r="B431" t="s">
        <v>4253</v>
      </c>
      <c r="C431">
        <v>-17.309999999999999</v>
      </c>
      <c r="D431">
        <v>10.8</v>
      </c>
      <c r="E431">
        <v>-1.76</v>
      </c>
      <c r="F431">
        <v>-6.51</v>
      </c>
      <c r="G431">
        <v>-4.93</v>
      </c>
      <c r="H431">
        <v>19.899999999999999</v>
      </c>
      <c r="I431">
        <v>-17.63</v>
      </c>
      <c r="J431">
        <v>0.32</v>
      </c>
      <c r="K431">
        <v>3.75</v>
      </c>
      <c r="L431">
        <v>11.76</v>
      </c>
      <c r="M431">
        <v>0.22</v>
      </c>
      <c r="N431">
        <v>1.02</v>
      </c>
    </row>
    <row r="432" spans="1:14">
      <c r="A432" s="2" t="s">
        <v>460</v>
      </c>
      <c r="B432" t="s">
        <v>4254</v>
      </c>
      <c r="C432">
        <v>34.840000000000003</v>
      </c>
      <c r="D432">
        <v>59.68</v>
      </c>
      <c r="E432">
        <v>34.64</v>
      </c>
      <c r="F432">
        <v>-43.7</v>
      </c>
      <c r="G432">
        <v>50.62</v>
      </c>
      <c r="H432">
        <v>15.73</v>
      </c>
      <c r="I432">
        <v>79.84</v>
      </c>
      <c r="J432">
        <v>216.59</v>
      </c>
      <c r="K432">
        <v>319.75</v>
      </c>
      <c r="L432">
        <v>52.89</v>
      </c>
      <c r="M432">
        <v>128.97999999999999</v>
      </c>
      <c r="N432">
        <v>162.71</v>
      </c>
    </row>
    <row r="433" spans="1:14">
      <c r="A433" s="2" t="s">
        <v>461</v>
      </c>
      <c r="B433" t="s">
        <v>4255</v>
      </c>
      <c r="C433">
        <v>2.5099999999999998</v>
      </c>
      <c r="D433">
        <v>-5.82</v>
      </c>
      <c r="E433">
        <v>0.84</v>
      </c>
      <c r="F433">
        <v>1.83</v>
      </c>
      <c r="G433">
        <v>2.21</v>
      </c>
      <c r="H433">
        <v>6.2</v>
      </c>
      <c r="I433">
        <v>9.17</v>
      </c>
      <c r="J433">
        <v>0.51</v>
      </c>
      <c r="K433">
        <v>-1.99</v>
      </c>
      <c r="L433">
        <v>-2.38</v>
      </c>
      <c r="M433">
        <v>10.5</v>
      </c>
      <c r="N433">
        <v>34.93</v>
      </c>
    </row>
    <row r="434" spans="1:14">
      <c r="A434" s="2" t="s">
        <v>462</v>
      </c>
      <c r="B434" t="s">
        <v>4256</v>
      </c>
      <c r="C434">
        <v>10.23</v>
      </c>
      <c r="D434">
        <v>32.53</v>
      </c>
      <c r="E434">
        <v>-34.08</v>
      </c>
      <c r="F434">
        <v>13.41</v>
      </c>
      <c r="G434">
        <v>-6.05</v>
      </c>
      <c r="H434">
        <v>-6.2</v>
      </c>
      <c r="I434">
        <v>-26.95</v>
      </c>
      <c r="J434">
        <v>3.42</v>
      </c>
      <c r="K434">
        <v>-29.06</v>
      </c>
      <c r="L434">
        <v>-23.39</v>
      </c>
      <c r="M434">
        <v>-36.950000000000003</v>
      </c>
      <c r="N434">
        <v>31.9</v>
      </c>
    </row>
    <row r="435" spans="1:14">
      <c r="A435" s="2" t="s">
        <v>463</v>
      </c>
      <c r="B435" t="s">
        <v>4257</v>
      </c>
      <c r="C435">
        <v>8.39</v>
      </c>
      <c r="D435">
        <v>17.920000000000002</v>
      </c>
      <c r="E435">
        <v>-11.49</v>
      </c>
      <c r="F435">
        <v>-16.649999999999999</v>
      </c>
      <c r="G435">
        <v>-3.07</v>
      </c>
      <c r="H435">
        <v>-1.57</v>
      </c>
      <c r="I435">
        <v>-15.89</v>
      </c>
      <c r="J435">
        <v>5.65</v>
      </c>
      <c r="K435">
        <v>22.31</v>
      </c>
      <c r="L435">
        <v>8.3699999999999992</v>
      </c>
      <c r="M435">
        <v>-4.6900000000000004</v>
      </c>
      <c r="N435">
        <v>9.34</v>
      </c>
    </row>
    <row r="436" spans="1:14">
      <c r="A436" s="2" t="s">
        <v>464</v>
      </c>
      <c r="B436" t="s">
        <v>4258</v>
      </c>
      <c r="C436">
        <v>-10.62</v>
      </c>
      <c r="D436">
        <v>4.9000000000000004</v>
      </c>
      <c r="E436">
        <v>-0.13</v>
      </c>
      <c r="F436">
        <v>6.17</v>
      </c>
      <c r="G436">
        <v>26.48</v>
      </c>
      <c r="H436">
        <v>-31.93</v>
      </c>
      <c r="I436">
        <v>-17.760000000000002</v>
      </c>
      <c r="J436">
        <v>-21.25</v>
      </c>
      <c r="K436">
        <v>-16.579999999999998</v>
      </c>
      <c r="L436">
        <v>-8.93</v>
      </c>
      <c r="M436">
        <v>14.26</v>
      </c>
      <c r="N436">
        <v>3.46</v>
      </c>
    </row>
    <row r="437" spans="1:14">
      <c r="A437" s="2" t="s">
        <v>465</v>
      </c>
      <c r="B437" t="s">
        <v>4259</v>
      </c>
      <c r="C437">
        <v>0.27</v>
      </c>
      <c r="D437">
        <v>1.18</v>
      </c>
      <c r="E437">
        <v>-10.42</v>
      </c>
      <c r="F437">
        <v>7.05</v>
      </c>
      <c r="G437">
        <v>-5.56</v>
      </c>
      <c r="H437">
        <v>21.17</v>
      </c>
      <c r="I437">
        <v>2.04</v>
      </c>
      <c r="J437">
        <v>-0.19</v>
      </c>
      <c r="K437">
        <v>2.63</v>
      </c>
      <c r="L437">
        <v>6.16</v>
      </c>
      <c r="M437">
        <v>7.12</v>
      </c>
      <c r="N437">
        <v>20.41</v>
      </c>
    </row>
    <row r="438" spans="1:14">
      <c r="A438" s="2" t="s">
        <v>466</v>
      </c>
      <c r="B438" t="s">
        <v>4260</v>
      </c>
      <c r="C438">
        <v>-1.61</v>
      </c>
      <c r="D438">
        <v>-1.49</v>
      </c>
      <c r="E438">
        <v>6.75</v>
      </c>
      <c r="F438">
        <v>-3.91</v>
      </c>
      <c r="G438">
        <v>12.12</v>
      </c>
      <c r="H438">
        <v>-9.58</v>
      </c>
      <c r="I438">
        <v>1.28</v>
      </c>
      <c r="J438">
        <v>-10.94</v>
      </c>
      <c r="K438">
        <v>9.59</v>
      </c>
      <c r="L438">
        <v>0.76</v>
      </c>
      <c r="M438">
        <v>11.59</v>
      </c>
      <c r="N438">
        <v>9.41</v>
      </c>
    </row>
    <row r="439" spans="1:14">
      <c r="A439" s="2" t="s">
        <v>467</v>
      </c>
      <c r="B439" t="s">
        <v>4261</v>
      </c>
      <c r="C439">
        <v>-14.11</v>
      </c>
      <c r="D439">
        <v>53.84</v>
      </c>
      <c r="E439">
        <v>-9.64</v>
      </c>
      <c r="F439">
        <v>3.51</v>
      </c>
      <c r="G439">
        <v>7.63</v>
      </c>
      <c r="I439">
        <v>-27.64</v>
      </c>
      <c r="J439">
        <v>46.06</v>
      </c>
      <c r="K439">
        <v>8.23</v>
      </c>
      <c r="L439">
        <v>-0.75</v>
      </c>
      <c r="M439">
        <v>-6.68</v>
      </c>
    </row>
    <row r="440" spans="1:14">
      <c r="A440" s="2" t="s">
        <v>468</v>
      </c>
      <c r="B440" t="s">
        <v>4262</v>
      </c>
      <c r="C440">
        <v>9.39</v>
      </c>
      <c r="D440">
        <v>-3.48</v>
      </c>
      <c r="E440">
        <v>7.0000000000000007E-2</v>
      </c>
      <c r="F440">
        <v>-3.69</v>
      </c>
      <c r="G440">
        <v>3.53</v>
      </c>
      <c r="H440">
        <v>-16.2</v>
      </c>
      <c r="I440">
        <v>-0.57999999999999996</v>
      </c>
      <c r="J440">
        <v>5.76</v>
      </c>
      <c r="K440">
        <v>4.88</v>
      </c>
      <c r="L440">
        <v>4.5</v>
      </c>
      <c r="M440">
        <v>6.29</v>
      </c>
      <c r="N440">
        <v>1.53</v>
      </c>
    </row>
    <row r="441" spans="1:14">
      <c r="A441" s="2" t="s">
        <v>469</v>
      </c>
      <c r="B441" t="s">
        <v>4263</v>
      </c>
      <c r="C441">
        <v>-10.8</v>
      </c>
      <c r="D441">
        <v>-16.399999999999999</v>
      </c>
      <c r="E441">
        <v>5.83</v>
      </c>
      <c r="F441">
        <v>13.27</v>
      </c>
      <c r="G441">
        <v>-12.77</v>
      </c>
      <c r="H441">
        <v>7.63</v>
      </c>
      <c r="I441">
        <v>-16.53</v>
      </c>
      <c r="J441">
        <v>-23.09</v>
      </c>
      <c r="K441">
        <v>-15.95</v>
      </c>
      <c r="L441">
        <v>-2.74</v>
      </c>
      <c r="M441">
        <v>-20.82</v>
      </c>
      <c r="N441">
        <v>-7.23</v>
      </c>
    </row>
    <row r="442" spans="1:14">
      <c r="A442" s="2" t="s">
        <v>470</v>
      </c>
      <c r="B442" t="s">
        <v>4264</v>
      </c>
      <c r="C442">
        <v>80.849999999999994</v>
      </c>
      <c r="D442">
        <v>13.35</v>
      </c>
      <c r="E442">
        <v>-36.869999999999997</v>
      </c>
      <c r="F442">
        <v>56.28</v>
      </c>
      <c r="G442">
        <v>-2.12</v>
      </c>
      <c r="H442">
        <v>-44.91</v>
      </c>
      <c r="I442">
        <v>31</v>
      </c>
      <c r="J442">
        <v>-10.52</v>
      </c>
      <c r="K442">
        <v>-14.58</v>
      </c>
      <c r="L442">
        <v>-8.68</v>
      </c>
      <c r="M442">
        <v>-26.22</v>
      </c>
      <c r="N442">
        <v>0.04</v>
      </c>
    </row>
    <row r="443" spans="1:14">
      <c r="A443" s="2" t="s">
        <v>471</v>
      </c>
      <c r="B443" t="s">
        <v>4265</v>
      </c>
      <c r="C443">
        <v>-9.9</v>
      </c>
      <c r="D443">
        <v>100.09</v>
      </c>
      <c r="E443">
        <v>-2.77</v>
      </c>
      <c r="F443">
        <v>-12.89</v>
      </c>
      <c r="G443">
        <v>191.46</v>
      </c>
      <c r="I443">
        <v>10.199999999999999</v>
      </c>
      <c r="J443">
        <v>88.28</v>
      </c>
      <c r="K443">
        <v>82.98</v>
      </c>
      <c r="L443">
        <v>-6.77</v>
      </c>
      <c r="M443">
        <v>-21.93</v>
      </c>
    </row>
    <row r="444" spans="1:14">
      <c r="A444" s="2" t="s">
        <v>472</v>
      </c>
      <c r="B444" t="s">
        <v>4266</v>
      </c>
      <c r="C444">
        <v>-2.78</v>
      </c>
      <c r="D444">
        <v>7.73</v>
      </c>
      <c r="E444">
        <v>-7.94</v>
      </c>
      <c r="F444">
        <v>6.58</v>
      </c>
      <c r="G444">
        <v>10.09</v>
      </c>
      <c r="H444">
        <v>-7.23</v>
      </c>
      <c r="I444">
        <v>-6.3</v>
      </c>
      <c r="J444">
        <v>9.68</v>
      </c>
      <c r="K444">
        <v>-0.97</v>
      </c>
      <c r="L444">
        <v>2.06</v>
      </c>
      <c r="M444">
        <v>1.05</v>
      </c>
      <c r="N444">
        <v>2.02</v>
      </c>
    </row>
    <row r="445" spans="1:14">
      <c r="A445" s="2" t="s">
        <v>473</v>
      </c>
      <c r="B445" t="s">
        <v>4267</v>
      </c>
      <c r="C445">
        <v>-18.54</v>
      </c>
      <c r="D445">
        <v>-92.95</v>
      </c>
      <c r="E445">
        <v>-98.8</v>
      </c>
      <c r="F445">
        <v>13376.34</v>
      </c>
      <c r="G445">
        <v>2349.94</v>
      </c>
      <c r="I445">
        <v>87032.44</v>
      </c>
      <c r="J445">
        <v>-39.130000000000003</v>
      </c>
      <c r="K445">
        <v>-99.24</v>
      </c>
      <c r="L445">
        <v>10346.15</v>
      </c>
      <c r="M445">
        <v>2537.9499999999998</v>
      </c>
    </row>
    <row r="446" spans="1:14">
      <c r="A446" s="2" t="s">
        <v>474</v>
      </c>
      <c r="B446" t="s">
        <v>4268</v>
      </c>
      <c r="C446">
        <v>-66.95</v>
      </c>
      <c r="D446">
        <v>57.93</v>
      </c>
      <c r="E446">
        <v>-30.67</v>
      </c>
      <c r="F446">
        <v>-9.93</v>
      </c>
      <c r="G446">
        <v>13.19</v>
      </c>
      <c r="H446">
        <v>-14.74</v>
      </c>
      <c r="I446">
        <v>-1.88</v>
      </c>
      <c r="J446">
        <v>-30.92</v>
      </c>
      <c r="K446">
        <v>11.61</v>
      </c>
      <c r="L446">
        <v>10.33</v>
      </c>
      <c r="M446">
        <v>11.42</v>
      </c>
      <c r="N446">
        <v>-14.56</v>
      </c>
    </row>
    <row r="447" spans="1:14">
      <c r="A447" s="2" t="s">
        <v>475</v>
      </c>
      <c r="B447" t="s">
        <v>4269</v>
      </c>
      <c r="C447">
        <v>2.41</v>
      </c>
      <c r="D447">
        <v>-0.17</v>
      </c>
      <c r="E447">
        <v>0.46</v>
      </c>
      <c r="F447">
        <v>39.17</v>
      </c>
      <c r="G447">
        <v>-28.6</v>
      </c>
      <c r="H447">
        <v>-1.21</v>
      </c>
      <c r="I447">
        <v>-49.06</v>
      </c>
      <c r="J447">
        <v>-68.88</v>
      </c>
      <c r="K447">
        <v>-4.6900000000000004</v>
      </c>
      <c r="L447">
        <v>26.35</v>
      </c>
      <c r="M447">
        <v>-7.42</v>
      </c>
      <c r="N447">
        <v>-9.39</v>
      </c>
    </row>
    <row r="448" spans="1:14">
      <c r="A448" s="2" t="s">
        <v>476</v>
      </c>
      <c r="B448" t="s">
        <v>4270</v>
      </c>
      <c r="C448">
        <v>-25.84</v>
      </c>
      <c r="D448">
        <v>32.9</v>
      </c>
      <c r="E448">
        <v>-12.88</v>
      </c>
      <c r="F448">
        <v>-10.98</v>
      </c>
      <c r="G448">
        <v>249.44</v>
      </c>
      <c r="H448">
        <v>-78.260000000000005</v>
      </c>
      <c r="I448">
        <v>-5.0599999999999996</v>
      </c>
      <c r="J448">
        <v>24.12</v>
      </c>
      <c r="K448">
        <v>27.84</v>
      </c>
      <c r="L448">
        <v>-35.83</v>
      </c>
      <c r="M448">
        <v>80.239999999999995</v>
      </c>
      <c r="N448">
        <v>-17.27</v>
      </c>
    </row>
    <row r="449" spans="1:14">
      <c r="A449" s="2" t="s">
        <v>477</v>
      </c>
      <c r="B449" t="s">
        <v>4271</v>
      </c>
      <c r="C449">
        <v>15.41</v>
      </c>
      <c r="D449">
        <v>-7.27</v>
      </c>
      <c r="E449">
        <v>-12.38</v>
      </c>
      <c r="F449">
        <v>3.38</v>
      </c>
      <c r="G449">
        <v>8.84</v>
      </c>
      <c r="H449">
        <v>-2.06</v>
      </c>
      <c r="I449">
        <v>-0.99</v>
      </c>
      <c r="J449">
        <v>-27</v>
      </c>
      <c r="K449">
        <v>-5.95</v>
      </c>
      <c r="L449">
        <v>-0.27</v>
      </c>
      <c r="M449">
        <v>8.64</v>
      </c>
      <c r="N449">
        <v>18.350000000000001</v>
      </c>
    </row>
    <row r="450" spans="1:14">
      <c r="A450" s="2" t="s">
        <v>478</v>
      </c>
      <c r="B450" t="s">
        <v>4272</v>
      </c>
      <c r="C450">
        <v>-22.89</v>
      </c>
      <c r="D450">
        <v>28.03</v>
      </c>
      <c r="E450">
        <v>-6.31</v>
      </c>
      <c r="F450">
        <v>-16.079999999999998</v>
      </c>
      <c r="G450">
        <v>122.14</v>
      </c>
      <c r="H450">
        <v>15.57</v>
      </c>
      <c r="I450">
        <v>-42.47</v>
      </c>
      <c r="J450">
        <v>-20.36</v>
      </c>
      <c r="K450">
        <v>-14.54</v>
      </c>
      <c r="L450">
        <v>-45.31</v>
      </c>
      <c r="M450">
        <v>3.22</v>
      </c>
      <c r="N450">
        <v>84.64</v>
      </c>
    </row>
    <row r="451" spans="1:14">
      <c r="A451" s="2" t="s">
        <v>479</v>
      </c>
      <c r="B451" t="s">
        <v>4273</v>
      </c>
      <c r="C451">
        <v>11.66</v>
      </c>
      <c r="D451">
        <v>17.29</v>
      </c>
      <c r="E451">
        <v>-9.8000000000000007</v>
      </c>
      <c r="F451">
        <v>-10.86</v>
      </c>
      <c r="G451">
        <v>52.08</v>
      </c>
      <c r="H451">
        <v>-54.35</v>
      </c>
      <c r="I451">
        <v>5.3</v>
      </c>
      <c r="J451">
        <v>26.46</v>
      </c>
      <c r="K451">
        <v>12.37</v>
      </c>
      <c r="L451">
        <v>-1.61</v>
      </c>
      <c r="M451">
        <v>-12.42</v>
      </c>
      <c r="N451">
        <v>-14.66</v>
      </c>
    </row>
    <row r="452" spans="1:14">
      <c r="A452" s="2" t="s">
        <v>480</v>
      </c>
      <c r="B452" t="s">
        <v>4274</v>
      </c>
      <c r="C452">
        <v>32.520000000000003</v>
      </c>
      <c r="D452">
        <v>-24.59</v>
      </c>
      <c r="E452">
        <v>20.83</v>
      </c>
      <c r="F452">
        <v>-17.37</v>
      </c>
      <c r="G452">
        <v>41.96</v>
      </c>
      <c r="H452">
        <v>-27.37</v>
      </c>
      <c r="I452">
        <v>22.4</v>
      </c>
      <c r="J452">
        <v>-21.33</v>
      </c>
      <c r="K452">
        <v>-24.3</v>
      </c>
      <c r="L452">
        <v>4.87</v>
      </c>
      <c r="M452">
        <v>43.38</v>
      </c>
      <c r="N452">
        <v>-4.9000000000000004</v>
      </c>
    </row>
    <row r="453" spans="1:14">
      <c r="A453" s="2" t="s">
        <v>481</v>
      </c>
      <c r="B453" t="s">
        <v>4275</v>
      </c>
      <c r="C453">
        <v>-34.39</v>
      </c>
      <c r="D453">
        <v>155.71</v>
      </c>
      <c r="E453">
        <v>-51.06</v>
      </c>
      <c r="F453">
        <v>1.25</v>
      </c>
      <c r="G453">
        <v>22.38</v>
      </c>
      <c r="H453">
        <v>104.74</v>
      </c>
      <c r="I453">
        <v>-74.23</v>
      </c>
      <c r="J453">
        <v>-52.76</v>
      </c>
      <c r="K453">
        <v>-95.12</v>
      </c>
      <c r="L453">
        <v>-91.09</v>
      </c>
      <c r="M453">
        <v>-91.91</v>
      </c>
      <c r="N453">
        <v>-42.73</v>
      </c>
    </row>
    <row r="454" spans="1:14">
      <c r="A454" s="2" t="s">
        <v>482</v>
      </c>
      <c r="B454" t="s">
        <v>4276</v>
      </c>
      <c r="C454">
        <v>-7.88</v>
      </c>
      <c r="D454">
        <v>-70.7</v>
      </c>
      <c r="E454">
        <v>-3.33</v>
      </c>
      <c r="F454">
        <v>282.33</v>
      </c>
      <c r="G454">
        <v>-70.02</v>
      </c>
      <c r="H454">
        <v>-15.27</v>
      </c>
      <c r="I454">
        <v>-67.52</v>
      </c>
      <c r="J454">
        <v>-77.349999999999994</v>
      </c>
      <c r="K454">
        <v>-99.39</v>
      </c>
      <c r="L454">
        <v>-22.88</v>
      </c>
      <c r="M454">
        <v>-31.55</v>
      </c>
      <c r="N454">
        <v>1.55</v>
      </c>
    </row>
    <row r="455" spans="1:14">
      <c r="A455" s="2" t="s">
        <v>483</v>
      </c>
      <c r="B455" t="s">
        <v>4277</v>
      </c>
      <c r="C455">
        <v>-9.2899999999999991</v>
      </c>
      <c r="D455">
        <v>-9.39</v>
      </c>
      <c r="E455">
        <v>-47.74</v>
      </c>
      <c r="F455">
        <v>-50.33</v>
      </c>
      <c r="G455">
        <v>-77.290000000000006</v>
      </c>
      <c r="H455">
        <v>-89.96</v>
      </c>
      <c r="I455">
        <v>486766.9</v>
      </c>
      <c r="J455">
        <v>7227.45</v>
      </c>
      <c r="K455">
        <v>1597082</v>
      </c>
      <c r="L455">
        <v>807870.4</v>
      </c>
      <c r="M455">
        <v>-98.13</v>
      </c>
      <c r="N455">
        <v>-97.42</v>
      </c>
    </row>
    <row r="456" spans="1:14">
      <c r="A456" s="2" t="s">
        <v>484</v>
      </c>
      <c r="B456" t="s">
        <v>4278</v>
      </c>
      <c r="C456">
        <v>-74.52</v>
      </c>
      <c r="D456">
        <v>-84.71</v>
      </c>
      <c r="E456">
        <v>-28.21</v>
      </c>
      <c r="F456">
        <v>-62.73</v>
      </c>
      <c r="G456">
        <v>213.51</v>
      </c>
      <c r="H456">
        <v>-45.55</v>
      </c>
      <c r="I456">
        <v>-9.66</v>
      </c>
      <c r="J456">
        <v>-80.819999999999993</v>
      </c>
      <c r="K456">
        <v>-72.12</v>
      </c>
      <c r="L456">
        <v>-86.08</v>
      </c>
      <c r="M456">
        <v>-94.57</v>
      </c>
      <c r="N456">
        <v>-67.25</v>
      </c>
    </row>
    <row r="457" spans="1:14">
      <c r="A457" s="2" t="s">
        <v>485</v>
      </c>
      <c r="B457" t="s">
        <v>4279</v>
      </c>
      <c r="C457">
        <v>-10.29</v>
      </c>
      <c r="D457">
        <v>-52.33</v>
      </c>
      <c r="E457">
        <v>195.37</v>
      </c>
      <c r="F457">
        <v>-48.18</v>
      </c>
      <c r="G457">
        <v>32.44</v>
      </c>
      <c r="H457">
        <v>-58.28</v>
      </c>
      <c r="I457">
        <v>19.09</v>
      </c>
      <c r="J457">
        <v>-15.5</v>
      </c>
      <c r="K457">
        <v>52.93</v>
      </c>
      <c r="L457">
        <v>7.52</v>
      </c>
      <c r="M457">
        <v>-88.23</v>
      </c>
      <c r="N457">
        <v>-90.13</v>
      </c>
    </row>
    <row r="458" spans="1:14">
      <c r="A458" s="2" t="s">
        <v>486</v>
      </c>
      <c r="B458" t="s">
        <v>4280</v>
      </c>
      <c r="C458">
        <v>-10.79</v>
      </c>
      <c r="D458">
        <v>-0.23</v>
      </c>
      <c r="E458">
        <v>-19.989999999999998</v>
      </c>
      <c r="F458">
        <v>20.99</v>
      </c>
      <c r="G458">
        <v>40.869999999999997</v>
      </c>
      <c r="I458">
        <v>54.2</v>
      </c>
      <c r="J458">
        <v>59.15</v>
      </c>
      <c r="K458">
        <v>55.06</v>
      </c>
      <c r="L458">
        <v>31.34</v>
      </c>
      <c r="M458">
        <v>88.53</v>
      </c>
    </row>
    <row r="459" spans="1:14">
      <c r="A459" s="2" t="s">
        <v>487</v>
      </c>
      <c r="B459" t="s">
        <v>4281</v>
      </c>
      <c r="C459">
        <v>-63.88</v>
      </c>
      <c r="D459">
        <v>9.02</v>
      </c>
      <c r="E459">
        <v>2331.56</v>
      </c>
      <c r="F459">
        <v>-26.51</v>
      </c>
      <c r="G459">
        <v>-43.69</v>
      </c>
      <c r="H459">
        <v>-48.75</v>
      </c>
      <c r="I459">
        <v>635.09</v>
      </c>
      <c r="J459">
        <v>701.48</v>
      </c>
      <c r="K459">
        <v>9196.01</v>
      </c>
      <c r="L459">
        <v>14221.93</v>
      </c>
      <c r="M459">
        <v>-33.32</v>
      </c>
      <c r="N459">
        <v>175.16</v>
      </c>
    </row>
    <row r="460" spans="1:14">
      <c r="A460" s="2" t="s">
        <v>488</v>
      </c>
      <c r="B460" t="s">
        <v>4282</v>
      </c>
      <c r="C460">
        <v>-99.07</v>
      </c>
      <c r="D460">
        <v>15764.55</v>
      </c>
      <c r="E460">
        <v>-99.43</v>
      </c>
      <c r="F460">
        <v>-25.58</v>
      </c>
      <c r="G460">
        <v>157957</v>
      </c>
      <c r="H460">
        <v>-0.94</v>
      </c>
      <c r="I460">
        <v>-0.65</v>
      </c>
      <c r="J460">
        <v>19374.45</v>
      </c>
      <c r="K460">
        <v>11.58</v>
      </c>
      <c r="L460">
        <v>-99.75</v>
      </c>
      <c r="M460">
        <v>22.54</v>
      </c>
      <c r="N460">
        <v>177.71</v>
      </c>
    </row>
    <row r="461" spans="1:14">
      <c r="A461" s="2" t="s">
        <v>489</v>
      </c>
      <c r="B461" t="s">
        <v>4283</v>
      </c>
      <c r="C461">
        <v>1</v>
      </c>
      <c r="D461">
        <v>30.77</v>
      </c>
      <c r="E461">
        <v>1.42</v>
      </c>
      <c r="F461">
        <v>17.86</v>
      </c>
      <c r="G461">
        <v>15.75</v>
      </c>
      <c r="H461">
        <v>-15.05</v>
      </c>
      <c r="I461">
        <v>-86.47</v>
      </c>
      <c r="J461">
        <v>34.78</v>
      </c>
      <c r="K461">
        <v>24.1</v>
      </c>
      <c r="L461">
        <v>34.82</v>
      </c>
      <c r="M461">
        <v>-60.04</v>
      </c>
      <c r="N461">
        <v>-34.36</v>
      </c>
    </row>
    <row r="462" spans="1:14">
      <c r="A462" s="2" t="s">
        <v>490</v>
      </c>
      <c r="B462" t="s">
        <v>4284</v>
      </c>
      <c r="C462">
        <v>-22.4</v>
      </c>
      <c r="D462">
        <v>277.52</v>
      </c>
      <c r="E462">
        <v>-51.45</v>
      </c>
      <c r="F462">
        <v>-81.75</v>
      </c>
      <c r="G462">
        <v>1775.67</v>
      </c>
      <c r="I462">
        <v>5955.98</v>
      </c>
      <c r="K462">
        <v>-84.57</v>
      </c>
      <c r="L462">
        <v>-58.99</v>
      </c>
      <c r="M462">
        <v>180.25</v>
      </c>
    </row>
    <row r="463" spans="1:14">
      <c r="A463" s="2" t="s">
        <v>491</v>
      </c>
      <c r="B463" t="s">
        <v>4285</v>
      </c>
      <c r="C463">
        <v>-25.01</v>
      </c>
      <c r="D463">
        <v>25.78</v>
      </c>
      <c r="E463">
        <v>-43.62</v>
      </c>
      <c r="F463">
        <v>6.8</v>
      </c>
      <c r="G463">
        <v>25.81</v>
      </c>
      <c r="H463">
        <v>-27.17</v>
      </c>
      <c r="I463">
        <v>-11.81</v>
      </c>
      <c r="J463">
        <v>-3.06</v>
      </c>
      <c r="K463">
        <v>-69.98</v>
      </c>
      <c r="L463">
        <v>-8.43</v>
      </c>
      <c r="M463">
        <v>-39.92</v>
      </c>
      <c r="N463">
        <v>-31.76</v>
      </c>
    </row>
    <row r="464" spans="1:14">
      <c r="A464" s="2" t="s">
        <v>492</v>
      </c>
      <c r="B464" t="s">
        <v>4286</v>
      </c>
      <c r="C464">
        <v>135.78</v>
      </c>
      <c r="D464">
        <v>-21.38</v>
      </c>
      <c r="E464">
        <v>33.35</v>
      </c>
      <c r="F464">
        <v>11.31</v>
      </c>
      <c r="G464">
        <v>78.47</v>
      </c>
      <c r="H464">
        <v>-40.200000000000003</v>
      </c>
      <c r="I464">
        <v>8.44</v>
      </c>
      <c r="J464">
        <v>-1.5</v>
      </c>
      <c r="K464">
        <v>-36.46</v>
      </c>
      <c r="L464">
        <v>43.32</v>
      </c>
      <c r="M464">
        <v>233.76</v>
      </c>
      <c r="N464">
        <v>2480.63</v>
      </c>
    </row>
    <row r="465" spans="1:14">
      <c r="A465" s="2" t="s">
        <v>493</v>
      </c>
      <c r="B465" t="s">
        <v>4287</v>
      </c>
      <c r="C465">
        <v>15.98</v>
      </c>
      <c r="D465">
        <v>14.95</v>
      </c>
      <c r="E465">
        <v>-0.37</v>
      </c>
      <c r="F465">
        <v>-6.08</v>
      </c>
      <c r="G465">
        <v>14.74</v>
      </c>
      <c r="H465">
        <v>-20.14</v>
      </c>
      <c r="I465">
        <v>17.04</v>
      </c>
      <c r="J465">
        <v>19.54</v>
      </c>
      <c r="K465">
        <v>19.420000000000002</v>
      </c>
      <c r="L465">
        <v>1.1200000000000001</v>
      </c>
      <c r="M465">
        <v>22.22</v>
      </c>
      <c r="N465">
        <v>34.97</v>
      </c>
    </row>
    <row r="466" spans="1:14">
      <c r="A466" s="2" t="s">
        <v>494</v>
      </c>
      <c r="B466" t="s">
        <v>4288</v>
      </c>
      <c r="C466">
        <v>23.17</v>
      </c>
      <c r="D466">
        <v>-63.58</v>
      </c>
      <c r="E466">
        <v>-28.45</v>
      </c>
      <c r="F466">
        <v>10.07</v>
      </c>
      <c r="G466">
        <v>229.07</v>
      </c>
      <c r="H466">
        <v>-67.239999999999995</v>
      </c>
      <c r="I466">
        <v>-88.72</v>
      </c>
      <c r="J466">
        <v>-91.06</v>
      </c>
      <c r="K466">
        <v>-93.49</v>
      </c>
      <c r="L466">
        <v>-86.8</v>
      </c>
      <c r="M466">
        <v>-58.19</v>
      </c>
      <c r="N466">
        <v>-55.57</v>
      </c>
    </row>
    <row r="467" spans="1:14">
      <c r="A467" s="2" t="s">
        <v>495</v>
      </c>
      <c r="B467" t="s">
        <v>4289</v>
      </c>
      <c r="C467">
        <v>33.43</v>
      </c>
      <c r="D467">
        <v>-1.33</v>
      </c>
      <c r="E467">
        <v>-13.6</v>
      </c>
      <c r="F467">
        <v>-15.68</v>
      </c>
      <c r="G467">
        <v>25.21</v>
      </c>
      <c r="H467">
        <v>-10.19</v>
      </c>
      <c r="I467">
        <v>102.58</v>
      </c>
      <c r="J467">
        <v>81.27</v>
      </c>
      <c r="K467">
        <v>39.86</v>
      </c>
      <c r="L467">
        <v>30.31</v>
      </c>
      <c r="M467">
        <v>31.69</v>
      </c>
      <c r="N467">
        <v>55.02</v>
      </c>
    </row>
    <row r="468" spans="1:14">
      <c r="A468" s="2" t="s">
        <v>496</v>
      </c>
      <c r="B468" t="s">
        <v>4290</v>
      </c>
      <c r="C468">
        <v>21.58</v>
      </c>
      <c r="D468">
        <v>-26.76</v>
      </c>
      <c r="E468">
        <v>6.35</v>
      </c>
      <c r="F468">
        <v>13.8</v>
      </c>
      <c r="G468">
        <v>87.72</v>
      </c>
      <c r="H468">
        <v>-54.29</v>
      </c>
      <c r="I468">
        <v>3.58</v>
      </c>
      <c r="J468">
        <v>-16.89</v>
      </c>
      <c r="K468">
        <v>-11.53</v>
      </c>
      <c r="L468">
        <v>-21.14</v>
      </c>
      <c r="M468">
        <v>5.86</v>
      </c>
      <c r="N468">
        <v>17.95</v>
      </c>
    </row>
    <row r="469" spans="1:14">
      <c r="A469" s="2" t="s">
        <v>497</v>
      </c>
      <c r="B469" t="s">
        <v>4291</v>
      </c>
      <c r="C469">
        <v>-68.14</v>
      </c>
      <c r="D469">
        <v>555.69000000000005</v>
      </c>
      <c r="E469">
        <v>-17.100000000000001</v>
      </c>
      <c r="F469">
        <v>702.41</v>
      </c>
      <c r="G469">
        <v>-96.78</v>
      </c>
      <c r="H469">
        <v>195.97</v>
      </c>
      <c r="I469">
        <v>-86.72</v>
      </c>
      <c r="J469">
        <v>364.48</v>
      </c>
      <c r="K469">
        <v>12003.17</v>
      </c>
      <c r="L469">
        <v>37447.01</v>
      </c>
      <c r="M469">
        <v>11586.99</v>
      </c>
      <c r="N469">
        <v>34609.57</v>
      </c>
    </row>
    <row r="470" spans="1:14">
      <c r="A470" s="2" t="s">
        <v>498</v>
      </c>
      <c r="B470" t="s">
        <v>4292</v>
      </c>
      <c r="C470">
        <v>39.36</v>
      </c>
      <c r="D470">
        <v>-39.200000000000003</v>
      </c>
      <c r="E470">
        <v>-12.72</v>
      </c>
      <c r="F470">
        <v>-55.13</v>
      </c>
      <c r="G470">
        <v>5116.0600000000004</v>
      </c>
      <c r="I470">
        <v>-27.81</v>
      </c>
      <c r="J470">
        <v>-23.33</v>
      </c>
      <c r="K470">
        <v>-38.200000000000003</v>
      </c>
      <c r="L470">
        <v>-85.15</v>
      </c>
      <c r="M470">
        <v>-10.96</v>
      </c>
    </row>
    <row r="471" spans="1:14">
      <c r="A471" s="2" t="s">
        <v>499</v>
      </c>
      <c r="B471" t="s">
        <v>4293</v>
      </c>
      <c r="C471">
        <v>-13.19</v>
      </c>
      <c r="D471">
        <v>29.05</v>
      </c>
      <c r="E471">
        <v>-14.45</v>
      </c>
      <c r="F471">
        <v>8.82</v>
      </c>
      <c r="G471">
        <v>23.77</v>
      </c>
      <c r="H471">
        <v>-9.41</v>
      </c>
      <c r="I471">
        <v>-4.92</v>
      </c>
      <c r="J471">
        <v>38.61</v>
      </c>
      <c r="K471">
        <v>19.489999999999998</v>
      </c>
      <c r="L471">
        <v>15.76</v>
      </c>
      <c r="M471">
        <v>39.729999999999997</v>
      </c>
      <c r="N471">
        <v>62.65</v>
      </c>
    </row>
    <row r="472" spans="1:14">
      <c r="A472" s="2" t="s">
        <v>500</v>
      </c>
      <c r="B472" t="s">
        <v>4294</v>
      </c>
      <c r="C472">
        <v>10.57</v>
      </c>
      <c r="D472">
        <v>-8.06</v>
      </c>
      <c r="E472">
        <v>16.66</v>
      </c>
      <c r="F472">
        <v>-1.48</v>
      </c>
      <c r="G472">
        <v>-11.09</v>
      </c>
      <c r="I472">
        <v>-11.18</v>
      </c>
      <c r="J472">
        <v>-9.84</v>
      </c>
      <c r="K472">
        <v>-14.97</v>
      </c>
      <c r="L472">
        <v>-6.46</v>
      </c>
      <c r="M472">
        <v>-22.08</v>
      </c>
    </row>
    <row r="473" spans="1:14">
      <c r="A473" s="2" t="s">
        <v>501</v>
      </c>
      <c r="B473" t="s">
        <v>4295</v>
      </c>
      <c r="C473">
        <v>-1.93</v>
      </c>
      <c r="D473">
        <v>-8.6</v>
      </c>
      <c r="E473">
        <v>-9.27</v>
      </c>
      <c r="F473">
        <v>1.1100000000000001</v>
      </c>
      <c r="G473">
        <v>11.12</v>
      </c>
      <c r="H473">
        <v>3.88</v>
      </c>
      <c r="I473">
        <v>-38.69</v>
      </c>
      <c r="J473">
        <v>-32.520000000000003</v>
      </c>
      <c r="K473">
        <v>-34.19</v>
      </c>
      <c r="L473">
        <v>-23.44</v>
      </c>
      <c r="M473">
        <v>-19.600000000000001</v>
      </c>
      <c r="N473">
        <v>-24.5</v>
      </c>
    </row>
    <row r="474" spans="1:14">
      <c r="A474" s="2" t="s">
        <v>502</v>
      </c>
      <c r="B474" t="s">
        <v>4296</v>
      </c>
      <c r="C474">
        <v>-8.9700000000000006</v>
      </c>
      <c r="D474">
        <v>15.9</v>
      </c>
      <c r="E474">
        <v>10.9</v>
      </c>
      <c r="F474">
        <v>17.28</v>
      </c>
      <c r="G474">
        <v>2.0699999999999998</v>
      </c>
      <c r="H474">
        <v>-19.190000000000001</v>
      </c>
      <c r="I474">
        <v>-8.2100000000000009</v>
      </c>
      <c r="J474">
        <v>6.85</v>
      </c>
      <c r="K474">
        <v>33.590000000000003</v>
      </c>
      <c r="L474">
        <v>49.16</v>
      </c>
      <c r="M474">
        <v>28.5</v>
      </c>
      <c r="N474">
        <v>24.38</v>
      </c>
    </row>
    <row r="475" spans="1:14">
      <c r="A475" s="2" t="s">
        <v>503</v>
      </c>
      <c r="B475" t="s">
        <v>4297</v>
      </c>
      <c r="C475">
        <v>4.9800000000000004</v>
      </c>
      <c r="D475">
        <v>-2.39</v>
      </c>
      <c r="E475">
        <v>-3.04</v>
      </c>
      <c r="F475">
        <v>3.51</v>
      </c>
      <c r="G475">
        <v>-2.48</v>
      </c>
      <c r="I475">
        <v>16.579999999999998</v>
      </c>
      <c r="J475">
        <v>-1.0900000000000001</v>
      </c>
      <c r="K475">
        <v>3.07</v>
      </c>
      <c r="L475">
        <v>8.94</v>
      </c>
      <c r="M475">
        <v>16.53</v>
      </c>
    </row>
    <row r="476" spans="1:14">
      <c r="A476" s="2" t="s">
        <v>504</v>
      </c>
      <c r="B476" t="s">
        <v>4298</v>
      </c>
      <c r="C476">
        <v>-3.61</v>
      </c>
      <c r="D476">
        <v>-4.46</v>
      </c>
      <c r="E476">
        <v>0.84</v>
      </c>
      <c r="F476">
        <v>0.57999999999999996</v>
      </c>
      <c r="G476">
        <v>6.57</v>
      </c>
      <c r="I476">
        <v>-36.64</v>
      </c>
      <c r="J476">
        <v>-35</v>
      </c>
      <c r="K476">
        <v>-20.38</v>
      </c>
      <c r="L476">
        <v>-20.5</v>
      </c>
      <c r="M476">
        <v>-16.079999999999998</v>
      </c>
    </row>
    <row r="477" spans="1:14">
      <c r="A477" s="2" t="s">
        <v>505</v>
      </c>
      <c r="B477" t="s">
        <v>4299</v>
      </c>
      <c r="C477">
        <v>-5.0999999999999996</v>
      </c>
      <c r="D477">
        <v>0.41</v>
      </c>
      <c r="E477">
        <v>-4.88</v>
      </c>
      <c r="F477">
        <v>1.39</v>
      </c>
      <c r="G477">
        <v>6.94</v>
      </c>
      <c r="H477">
        <v>4.6100000000000003</v>
      </c>
      <c r="I477">
        <v>-2.14</v>
      </c>
      <c r="J477">
        <v>3.23</v>
      </c>
      <c r="K477">
        <v>-0.82</v>
      </c>
      <c r="L477">
        <v>-6.88</v>
      </c>
      <c r="M477">
        <v>-3.78</v>
      </c>
      <c r="N477">
        <v>14.42</v>
      </c>
    </row>
    <row r="478" spans="1:14">
      <c r="A478" s="2" t="s">
        <v>506</v>
      </c>
      <c r="B478" t="s">
        <v>4300</v>
      </c>
      <c r="C478">
        <v>-10.63</v>
      </c>
      <c r="D478">
        <v>-7.73</v>
      </c>
      <c r="E478">
        <v>-9.67</v>
      </c>
      <c r="F478">
        <v>10.220000000000001</v>
      </c>
      <c r="G478">
        <v>4.1399999999999997</v>
      </c>
      <c r="H478">
        <v>3.94</v>
      </c>
      <c r="I478">
        <v>-46.28</v>
      </c>
      <c r="J478">
        <v>-40.94</v>
      </c>
      <c r="K478">
        <v>-39.270000000000003</v>
      </c>
      <c r="L478">
        <v>-27.26</v>
      </c>
      <c r="M478">
        <v>-23.24</v>
      </c>
      <c r="N478">
        <v>-21.78</v>
      </c>
    </row>
    <row r="479" spans="1:14">
      <c r="A479" s="2" t="s">
        <v>507</v>
      </c>
      <c r="B479" t="s">
        <v>4301</v>
      </c>
      <c r="C479">
        <v>-2.75</v>
      </c>
      <c r="D479">
        <v>-7.98</v>
      </c>
      <c r="E479">
        <v>14.06</v>
      </c>
      <c r="F479">
        <v>-4.68</v>
      </c>
      <c r="G479">
        <v>8.89</v>
      </c>
      <c r="I479">
        <v>-2.78</v>
      </c>
      <c r="J479">
        <v>-0.84</v>
      </c>
      <c r="K479">
        <v>5.7</v>
      </c>
      <c r="L479">
        <v>-0.26</v>
      </c>
      <c r="M479">
        <v>1.82</v>
      </c>
    </row>
    <row r="480" spans="1:14">
      <c r="A480" s="2" t="s">
        <v>508</v>
      </c>
      <c r="B480" t="s">
        <v>4302</v>
      </c>
      <c r="C480">
        <v>-1.1000000000000001</v>
      </c>
      <c r="D480">
        <v>-3.36</v>
      </c>
      <c r="E480">
        <v>6.87</v>
      </c>
      <c r="F480">
        <v>4.47</v>
      </c>
      <c r="G480">
        <v>15.67</v>
      </c>
      <c r="H480">
        <v>-15.55</v>
      </c>
      <c r="I480">
        <v>-8.23</v>
      </c>
      <c r="J480">
        <v>-8.36</v>
      </c>
      <c r="K480">
        <v>0.04</v>
      </c>
      <c r="L480">
        <v>-6.71</v>
      </c>
      <c r="M480">
        <v>-5.33</v>
      </c>
      <c r="N480">
        <v>-3.17</v>
      </c>
    </row>
    <row r="481" spans="1:14">
      <c r="A481" s="2" t="s">
        <v>509</v>
      </c>
      <c r="B481" t="s">
        <v>4303</v>
      </c>
      <c r="C481">
        <v>-0.74</v>
      </c>
      <c r="D481">
        <v>-3.86</v>
      </c>
      <c r="E481">
        <v>0.72</v>
      </c>
      <c r="F481">
        <v>3.74</v>
      </c>
      <c r="G481">
        <v>14.1</v>
      </c>
      <c r="H481">
        <v>-9.06</v>
      </c>
      <c r="I481">
        <v>-1.38</v>
      </c>
      <c r="J481">
        <v>1.71</v>
      </c>
      <c r="K481">
        <v>-6.51</v>
      </c>
      <c r="L481">
        <v>-4.74</v>
      </c>
      <c r="M481">
        <v>6.68</v>
      </c>
      <c r="N481">
        <v>-1.25</v>
      </c>
    </row>
    <row r="482" spans="1:14">
      <c r="A482" s="2" t="s">
        <v>510</v>
      </c>
      <c r="B482" t="s">
        <v>4304</v>
      </c>
      <c r="C482">
        <v>2.02</v>
      </c>
      <c r="D482">
        <v>-2.3199999999999998</v>
      </c>
      <c r="E482">
        <v>-8.25</v>
      </c>
      <c r="F482">
        <v>2.19</v>
      </c>
      <c r="G482">
        <v>14.52</v>
      </c>
      <c r="H482">
        <v>-1.2</v>
      </c>
      <c r="I482">
        <v>-0.25</v>
      </c>
      <c r="J482">
        <v>3.85</v>
      </c>
      <c r="K482">
        <v>5.28</v>
      </c>
      <c r="L482">
        <v>-4.88</v>
      </c>
      <c r="M482">
        <v>5.27</v>
      </c>
      <c r="N482">
        <v>14.65</v>
      </c>
    </row>
    <row r="483" spans="1:14">
      <c r="A483" s="2" t="s">
        <v>511</v>
      </c>
      <c r="B483" t="s">
        <v>4305</v>
      </c>
      <c r="C483">
        <v>6.03</v>
      </c>
      <c r="D483">
        <v>-4.59</v>
      </c>
      <c r="E483">
        <v>4.22</v>
      </c>
      <c r="F483">
        <v>-1.93</v>
      </c>
      <c r="G483">
        <v>7.84</v>
      </c>
      <c r="H483">
        <v>-14.98</v>
      </c>
      <c r="I483">
        <v>5.68</v>
      </c>
      <c r="J483">
        <v>-1.47</v>
      </c>
      <c r="K483">
        <v>-1.31</v>
      </c>
      <c r="L483">
        <v>-6.15</v>
      </c>
      <c r="M483">
        <v>-4.75</v>
      </c>
      <c r="N483">
        <v>-11.4</v>
      </c>
    </row>
    <row r="484" spans="1:14">
      <c r="A484" s="2" t="s">
        <v>512</v>
      </c>
      <c r="B484" t="s">
        <v>4306</v>
      </c>
      <c r="C484">
        <v>-6.61</v>
      </c>
      <c r="D484">
        <v>-4.99</v>
      </c>
      <c r="E484">
        <v>-5.16</v>
      </c>
      <c r="F484">
        <v>3.9</v>
      </c>
      <c r="G484">
        <v>11.28</v>
      </c>
      <c r="H484">
        <v>3.8</v>
      </c>
      <c r="I484">
        <v>-40.25</v>
      </c>
      <c r="J484">
        <v>-26.46</v>
      </c>
      <c r="K484">
        <v>-24.18</v>
      </c>
      <c r="L484">
        <v>-19.14</v>
      </c>
      <c r="M484">
        <v>-15.66</v>
      </c>
      <c r="N484">
        <v>-14.55</v>
      </c>
    </row>
    <row r="485" spans="1:14">
      <c r="A485" s="2" t="s">
        <v>513</v>
      </c>
      <c r="B485" t="s">
        <v>4307</v>
      </c>
      <c r="C485">
        <v>6.43</v>
      </c>
      <c r="D485">
        <v>-0.7</v>
      </c>
      <c r="E485">
        <v>3.11</v>
      </c>
      <c r="F485">
        <v>-8.89</v>
      </c>
      <c r="G485">
        <v>9.16</v>
      </c>
      <c r="H485">
        <v>-5.15</v>
      </c>
      <c r="I485">
        <v>-0.6</v>
      </c>
      <c r="J485">
        <v>5.16</v>
      </c>
      <c r="K485">
        <v>8.69</v>
      </c>
      <c r="L485">
        <v>-7.84</v>
      </c>
      <c r="M485">
        <v>-0.5</v>
      </c>
      <c r="N485">
        <v>8.48</v>
      </c>
    </row>
    <row r="486" spans="1:14">
      <c r="A486" s="2" t="s">
        <v>514</v>
      </c>
      <c r="B486" t="s">
        <v>4308</v>
      </c>
      <c r="C486">
        <v>8.86</v>
      </c>
      <c r="D486">
        <v>0.88</v>
      </c>
      <c r="E486">
        <v>6.46</v>
      </c>
      <c r="F486">
        <v>-6.23</v>
      </c>
      <c r="G486">
        <v>9.56</v>
      </c>
      <c r="H486">
        <v>-14.44</v>
      </c>
      <c r="I486">
        <v>-6.59</v>
      </c>
      <c r="J486">
        <v>3.67</v>
      </c>
      <c r="K486">
        <v>4.37</v>
      </c>
      <c r="L486">
        <v>6.25</v>
      </c>
      <c r="M486">
        <v>11.68</v>
      </c>
      <c r="N486">
        <v>-1.1499999999999999</v>
      </c>
    </row>
    <row r="487" spans="1:14">
      <c r="A487" s="2" t="s">
        <v>515</v>
      </c>
      <c r="B487" t="s">
        <v>4309</v>
      </c>
      <c r="C487">
        <v>-0.91</v>
      </c>
      <c r="D487">
        <v>-14.78</v>
      </c>
      <c r="E487">
        <v>21.05</v>
      </c>
      <c r="F487">
        <v>-2.23</v>
      </c>
      <c r="G487">
        <v>9.6300000000000008</v>
      </c>
      <c r="I487">
        <v>-8.0399999999999991</v>
      </c>
      <c r="J487">
        <v>-10.029999999999999</v>
      </c>
      <c r="K487">
        <v>3.66</v>
      </c>
      <c r="L487">
        <v>1.1599999999999999</v>
      </c>
      <c r="M487">
        <v>1.03</v>
      </c>
    </row>
    <row r="488" spans="1:14">
      <c r="A488" s="2" t="s">
        <v>516</v>
      </c>
      <c r="B488" t="s">
        <v>4310</v>
      </c>
      <c r="C488">
        <v>-17.41</v>
      </c>
      <c r="D488">
        <v>48.13</v>
      </c>
      <c r="E488">
        <v>-24.01</v>
      </c>
      <c r="F488">
        <v>13.12</v>
      </c>
      <c r="G488">
        <v>-19.86</v>
      </c>
      <c r="H488">
        <v>-35.54</v>
      </c>
      <c r="I488">
        <v>-15.25</v>
      </c>
      <c r="J488">
        <v>11.7</v>
      </c>
      <c r="K488">
        <v>34.14</v>
      </c>
      <c r="L488">
        <v>-0.82</v>
      </c>
      <c r="M488">
        <v>-6.94</v>
      </c>
      <c r="N488">
        <v>-35.619999999999997</v>
      </c>
    </row>
    <row r="489" spans="1:14">
      <c r="A489" s="2" t="s">
        <v>517</v>
      </c>
      <c r="B489" t="s">
        <v>4311</v>
      </c>
      <c r="C489">
        <v>8.33</v>
      </c>
      <c r="D489">
        <v>-10.84</v>
      </c>
      <c r="E489">
        <v>17.32</v>
      </c>
      <c r="F489">
        <v>-5.96</v>
      </c>
      <c r="G489">
        <v>4.7699999999999996</v>
      </c>
      <c r="H489">
        <v>-9.68</v>
      </c>
      <c r="I489">
        <v>4.43</v>
      </c>
      <c r="J489">
        <v>-4.95</v>
      </c>
      <c r="K489">
        <v>20.62</v>
      </c>
      <c r="L489">
        <v>3.48</v>
      </c>
      <c r="M489">
        <v>2.0499999999999998</v>
      </c>
      <c r="N489">
        <v>-5.1100000000000003</v>
      </c>
    </row>
    <row r="490" spans="1:14">
      <c r="A490" s="2" t="s">
        <v>518</v>
      </c>
      <c r="B490" t="s">
        <v>4312</v>
      </c>
      <c r="C490">
        <v>2.27</v>
      </c>
      <c r="D490">
        <v>25.72</v>
      </c>
      <c r="E490">
        <v>-6.03</v>
      </c>
      <c r="F490">
        <v>-1.9</v>
      </c>
      <c r="G490">
        <v>45.1</v>
      </c>
      <c r="H490">
        <v>-41.83</v>
      </c>
      <c r="I490">
        <v>-14.29</v>
      </c>
      <c r="J490">
        <v>34.200000000000003</v>
      </c>
      <c r="K490">
        <v>-0.79</v>
      </c>
      <c r="L490">
        <v>-18.600000000000001</v>
      </c>
      <c r="M490">
        <v>9.16</v>
      </c>
      <c r="N490">
        <v>27.51</v>
      </c>
    </row>
    <row r="491" spans="1:14">
      <c r="A491" s="2" t="s">
        <v>519</v>
      </c>
      <c r="B491" t="s">
        <v>4313</v>
      </c>
      <c r="C491">
        <v>-9.1999999999999993</v>
      </c>
      <c r="D491">
        <v>-4.08</v>
      </c>
      <c r="E491">
        <v>-1.02</v>
      </c>
      <c r="F491">
        <v>7.34</v>
      </c>
      <c r="G491">
        <v>4.0199999999999996</v>
      </c>
      <c r="H491">
        <v>5.31</v>
      </c>
      <c r="I491">
        <v>-40.049999999999997</v>
      </c>
      <c r="J491">
        <v>-35.75</v>
      </c>
      <c r="K491">
        <v>-30.39</v>
      </c>
      <c r="L491">
        <v>-25.61</v>
      </c>
      <c r="M491">
        <v>-18.829999999999998</v>
      </c>
      <c r="N491">
        <v>-19.010000000000002</v>
      </c>
    </row>
    <row r="492" spans="1:14">
      <c r="A492" s="2" t="s">
        <v>520</v>
      </c>
      <c r="B492" t="s">
        <v>4314</v>
      </c>
      <c r="C492">
        <v>11.08</v>
      </c>
      <c r="D492">
        <v>8.31</v>
      </c>
      <c r="E492">
        <v>6.33</v>
      </c>
      <c r="F492">
        <v>-2.95</v>
      </c>
      <c r="G492">
        <v>1.94</v>
      </c>
      <c r="H492">
        <v>-20.81</v>
      </c>
      <c r="I492">
        <v>-19.87</v>
      </c>
      <c r="J492">
        <v>-8.83</v>
      </c>
      <c r="K492">
        <v>1.71</v>
      </c>
      <c r="L492">
        <v>9.81</v>
      </c>
      <c r="M492">
        <v>17.489999999999998</v>
      </c>
      <c r="N492">
        <v>7.3</v>
      </c>
    </row>
    <row r="493" spans="1:14">
      <c r="A493" s="2" t="s">
        <v>521</v>
      </c>
      <c r="B493" t="s">
        <v>4315</v>
      </c>
      <c r="C493">
        <v>-0.87</v>
      </c>
      <c r="D493">
        <v>6.4</v>
      </c>
      <c r="E493">
        <v>-1.08</v>
      </c>
      <c r="F493">
        <v>2.21</v>
      </c>
      <c r="G493">
        <v>7.02</v>
      </c>
      <c r="H493">
        <v>-0.68</v>
      </c>
      <c r="I493">
        <v>0.63</v>
      </c>
      <c r="J493">
        <v>5.87</v>
      </c>
      <c r="K493">
        <v>3.93</v>
      </c>
      <c r="L493">
        <v>5.07</v>
      </c>
      <c r="M493">
        <v>-1.1399999999999999</v>
      </c>
      <c r="N493">
        <v>1.1100000000000001</v>
      </c>
    </row>
    <row r="494" spans="1:14">
      <c r="A494" s="2" t="s">
        <v>522</v>
      </c>
      <c r="B494" t="s">
        <v>4316</v>
      </c>
      <c r="C494">
        <v>80.17</v>
      </c>
      <c r="D494">
        <v>-39.15</v>
      </c>
      <c r="E494">
        <v>-4.9400000000000004</v>
      </c>
      <c r="F494">
        <v>2.92</v>
      </c>
      <c r="G494">
        <v>6.62</v>
      </c>
      <c r="H494">
        <v>3.54</v>
      </c>
      <c r="I494">
        <v>131.72</v>
      </c>
      <c r="J494">
        <v>47.54</v>
      </c>
      <c r="K494">
        <v>24.91</v>
      </c>
      <c r="L494">
        <v>37.840000000000003</v>
      </c>
      <c r="M494">
        <v>40.85</v>
      </c>
      <c r="N494">
        <v>33.43</v>
      </c>
    </row>
    <row r="495" spans="1:14">
      <c r="A495" s="2" t="s">
        <v>523</v>
      </c>
      <c r="B495" t="s">
        <v>4317</v>
      </c>
      <c r="C495">
        <v>-5.0999999999999996</v>
      </c>
      <c r="D495">
        <v>3.37</v>
      </c>
      <c r="E495">
        <v>-8.67</v>
      </c>
      <c r="F495">
        <v>11.23</v>
      </c>
      <c r="G495">
        <v>-7.66</v>
      </c>
      <c r="H495">
        <v>3.6</v>
      </c>
      <c r="I495">
        <v>-12.61</v>
      </c>
      <c r="J495">
        <v>-5.85</v>
      </c>
      <c r="K495">
        <v>-2.06</v>
      </c>
      <c r="L495">
        <v>-10.8</v>
      </c>
      <c r="M495">
        <v>-16.04</v>
      </c>
      <c r="N495">
        <v>-16.97</v>
      </c>
    </row>
    <row r="496" spans="1:14">
      <c r="A496" s="2" t="s">
        <v>524</v>
      </c>
      <c r="B496" t="s">
        <v>4318</v>
      </c>
      <c r="C496">
        <v>3.44</v>
      </c>
      <c r="D496">
        <v>-5.33</v>
      </c>
      <c r="E496">
        <v>0.34</v>
      </c>
      <c r="F496">
        <v>13.63</v>
      </c>
      <c r="G496">
        <v>-5.79</v>
      </c>
      <c r="H496">
        <v>-10.58</v>
      </c>
      <c r="I496">
        <v>66.78</v>
      </c>
      <c r="J496">
        <v>52.85</v>
      </c>
      <c r="K496">
        <v>32.799999999999997</v>
      </c>
      <c r="L496">
        <v>38.43</v>
      </c>
      <c r="M496">
        <v>36.200000000000003</v>
      </c>
      <c r="N496">
        <v>18.059999999999999</v>
      </c>
    </row>
    <row r="497" spans="1:14">
      <c r="A497" s="2" t="s">
        <v>525</v>
      </c>
      <c r="B497" t="s">
        <v>4319</v>
      </c>
      <c r="C497">
        <v>0.91</v>
      </c>
      <c r="D497">
        <v>6.83</v>
      </c>
      <c r="E497">
        <v>-2.31</v>
      </c>
      <c r="F497">
        <v>9.9600000000000009</v>
      </c>
      <c r="G497">
        <v>-3.96</v>
      </c>
      <c r="H497">
        <v>6.28</v>
      </c>
      <c r="I497">
        <v>4.72</v>
      </c>
      <c r="J497">
        <v>19.829999999999998</v>
      </c>
      <c r="K497">
        <v>11.8</v>
      </c>
      <c r="L497">
        <v>11.59</v>
      </c>
      <c r="M497">
        <v>-4.67</v>
      </c>
      <c r="N497">
        <v>34.770000000000003</v>
      </c>
    </row>
    <row r="498" spans="1:14">
      <c r="A498" s="2" t="s">
        <v>526</v>
      </c>
      <c r="B498" t="s">
        <v>4320</v>
      </c>
      <c r="C498">
        <v>-5.91</v>
      </c>
      <c r="D498">
        <v>-21.97</v>
      </c>
      <c r="E498">
        <v>25.51</v>
      </c>
      <c r="F498">
        <v>-4.6399999999999997</v>
      </c>
      <c r="G498">
        <v>17.28</v>
      </c>
      <c r="H498">
        <v>1.94</v>
      </c>
      <c r="I498">
        <v>14.08</v>
      </c>
      <c r="J498">
        <v>4.5</v>
      </c>
      <c r="K498">
        <v>19.329999999999998</v>
      </c>
      <c r="L498">
        <v>18.100000000000001</v>
      </c>
      <c r="M498">
        <v>16.899999999999999</v>
      </c>
      <c r="N498">
        <v>-0.55000000000000004</v>
      </c>
    </row>
    <row r="499" spans="1:14">
      <c r="A499" s="2" t="s">
        <v>527</v>
      </c>
      <c r="B499" t="s">
        <v>4321</v>
      </c>
      <c r="C499">
        <v>-13.58</v>
      </c>
      <c r="D499">
        <v>21.97</v>
      </c>
      <c r="E499">
        <v>-19.559999999999999</v>
      </c>
      <c r="F499">
        <v>5.17</v>
      </c>
      <c r="G499">
        <v>3.21</v>
      </c>
      <c r="H499">
        <v>0.7</v>
      </c>
      <c r="I499">
        <v>-26.98</v>
      </c>
      <c r="J499">
        <v>26.56</v>
      </c>
      <c r="K499">
        <v>5.47</v>
      </c>
      <c r="L499">
        <v>10.029999999999999</v>
      </c>
      <c r="M499">
        <v>6.49</v>
      </c>
      <c r="N499">
        <v>4.96</v>
      </c>
    </row>
    <row r="500" spans="1:14">
      <c r="A500" s="2" t="s">
        <v>528</v>
      </c>
      <c r="B500" t="s">
        <v>4322</v>
      </c>
      <c r="C500">
        <v>-4.07</v>
      </c>
      <c r="D500">
        <v>-9.9700000000000006</v>
      </c>
      <c r="E500">
        <v>29.74</v>
      </c>
      <c r="F500">
        <v>-17.649999999999999</v>
      </c>
      <c r="G500">
        <v>5.94</v>
      </c>
      <c r="I500">
        <v>-3.01</v>
      </c>
      <c r="J500">
        <v>-14.95</v>
      </c>
      <c r="K500">
        <v>0.28000000000000003</v>
      </c>
      <c r="L500">
        <v>2.17</v>
      </c>
      <c r="M500">
        <v>4.9800000000000004</v>
      </c>
    </row>
    <row r="501" spans="1:14">
      <c r="A501" s="2" t="s">
        <v>529</v>
      </c>
      <c r="B501" t="s">
        <v>4323</v>
      </c>
      <c r="C501">
        <v>7.28</v>
      </c>
      <c r="D501">
        <v>7.23</v>
      </c>
      <c r="E501">
        <v>18.829999999999998</v>
      </c>
      <c r="F501">
        <v>-17.34</v>
      </c>
      <c r="G501">
        <v>9.49</v>
      </c>
      <c r="H501">
        <v>7.91</v>
      </c>
      <c r="I501">
        <v>-0.55000000000000004</v>
      </c>
      <c r="J501">
        <v>-13.92</v>
      </c>
      <c r="K501">
        <v>38.76</v>
      </c>
      <c r="L501">
        <v>3.23</v>
      </c>
      <c r="M501">
        <v>-3.2</v>
      </c>
      <c r="N501">
        <v>-19.010000000000002</v>
      </c>
    </row>
    <row r="502" spans="1:14">
      <c r="A502" s="2" t="s">
        <v>530</v>
      </c>
      <c r="B502" t="s">
        <v>4324</v>
      </c>
      <c r="C502">
        <v>24.03</v>
      </c>
      <c r="D502">
        <v>-19.64</v>
      </c>
      <c r="E502">
        <v>16.91</v>
      </c>
      <c r="F502">
        <v>17.34</v>
      </c>
      <c r="G502">
        <v>-7.06</v>
      </c>
      <c r="H502">
        <v>-26.6</v>
      </c>
      <c r="I502">
        <v>-15.97</v>
      </c>
      <c r="J502">
        <v>2.73</v>
      </c>
      <c r="K502">
        <v>-7.32</v>
      </c>
      <c r="L502">
        <v>-2.73</v>
      </c>
      <c r="M502">
        <v>-2.37</v>
      </c>
      <c r="N502">
        <v>-16.559999999999999</v>
      </c>
    </row>
    <row r="503" spans="1:14">
      <c r="A503" s="2" t="s">
        <v>531</v>
      </c>
      <c r="B503" t="s">
        <v>4325</v>
      </c>
      <c r="C503">
        <v>77.34</v>
      </c>
      <c r="D503">
        <v>-41.82</v>
      </c>
      <c r="E503">
        <v>1.66</v>
      </c>
      <c r="F503">
        <v>6.97</v>
      </c>
      <c r="G503">
        <v>2.33</v>
      </c>
      <c r="H503">
        <v>-8.8000000000000007</v>
      </c>
      <c r="I503">
        <v>72.680000000000007</v>
      </c>
      <c r="J503">
        <v>0.89</v>
      </c>
      <c r="K503">
        <v>2.8</v>
      </c>
      <c r="L503">
        <v>6.63</v>
      </c>
      <c r="M503">
        <v>1.98</v>
      </c>
      <c r="N503">
        <v>5.21</v>
      </c>
    </row>
    <row r="504" spans="1:14">
      <c r="A504" s="2" t="s">
        <v>532</v>
      </c>
      <c r="B504" t="s">
        <v>4326</v>
      </c>
      <c r="C504">
        <v>12.11</v>
      </c>
      <c r="D504">
        <v>-5.37</v>
      </c>
      <c r="E504">
        <v>2.77</v>
      </c>
      <c r="F504">
        <v>12.13</v>
      </c>
      <c r="G504">
        <v>13.75</v>
      </c>
      <c r="H504">
        <v>-1.1200000000000001</v>
      </c>
      <c r="I504">
        <v>14.69</v>
      </c>
      <c r="J504">
        <v>0.41</v>
      </c>
      <c r="K504">
        <v>12.2</v>
      </c>
      <c r="L504">
        <v>7.36</v>
      </c>
      <c r="M504">
        <v>2.35</v>
      </c>
      <c r="N504">
        <v>-9.5299999999999994</v>
      </c>
    </row>
    <row r="505" spans="1:14">
      <c r="A505" s="2" t="s">
        <v>533</v>
      </c>
      <c r="B505" t="s">
        <v>4327</v>
      </c>
      <c r="C505">
        <v>23.69</v>
      </c>
      <c r="D505">
        <v>-40.69</v>
      </c>
      <c r="E505">
        <v>-1.53</v>
      </c>
      <c r="F505">
        <v>-40.82</v>
      </c>
      <c r="G505">
        <v>10.42</v>
      </c>
      <c r="H505">
        <v>18.77</v>
      </c>
      <c r="I505">
        <v>106.44</v>
      </c>
      <c r="J505">
        <v>34.229999999999997</v>
      </c>
      <c r="K505">
        <v>58.81</v>
      </c>
      <c r="L505">
        <v>-29.5</v>
      </c>
      <c r="M505">
        <v>-21.39</v>
      </c>
      <c r="N505">
        <v>-32.659999999999997</v>
      </c>
    </row>
    <row r="506" spans="1:14">
      <c r="A506" s="2" t="s">
        <v>534</v>
      </c>
      <c r="B506" t="s">
        <v>4328</v>
      </c>
      <c r="C506">
        <v>-18.809999999999999</v>
      </c>
      <c r="D506">
        <v>-40.549999999999997</v>
      </c>
      <c r="E506">
        <v>-71.02</v>
      </c>
      <c r="F506">
        <v>-100</v>
      </c>
      <c r="H506">
        <v>59.08</v>
      </c>
      <c r="I506">
        <v>503.34</v>
      </c>
      <c r="J506">
        <v>41.86</v>
      </c>
      <c r="K506">
        <v>1.36</v>
      </c>
      <c r="L506">
        <v>-100</v>
      </c>
      <c r="M506">
        <v>3131.68</v>
      </c>
      <c r="N506">
        <v>13058.38</v>
      </c>
    </row>
    <row r="507" spans="1:14">
      <c r="A507" s="2" t="s">
        <v>535</v>
      </c>
      <c r="B507" t="s">
        <v>4329</v>
      </c>
      <c r="C507">
        <v>-12.05</v>
      </c>
      <c r="D507">
        <v>-20.91</v>
      </c>
      <c r="E507">
        <v>32.32</v>
      </c>
      <c r="F507">
        <v>-20.14</v>
      </c>
      <c r="G507">
        <v>1.17</v>
      </c>
      <c r="H507">
        <v>24.21</v>
      </c>
      <c r="I507">
        <v>-44.42</v>
      </c>
      <c r="J507">
        <v>-12.54</v>
      </c>
      <c r="K507">
        <v>-3.47</v>
      </c>
      <c r="L507">
        <v>-15.32</v>
      </c>
      <c r="M507">
        <v>-12.61</v>
      </c>
      <c r="N507">
        <v>-31.96</v>
      </c>
    </row>
    <row r="508" spans="1:14">
      <c r="A508" s="2" t="s">
        <v>536</v>
      </c>
      <c r="B508" t="s">
        <v>4330</v>
      </c>
      <c r="C508">
        <v>10.46</v>
      </c>
      <c r="D508">
        <v>-49.94</v>
      </c>
      <c r="E508">
        <v>26.77</v>
      </c>
      <c r="F508">
        <v>-20.45</v>
      </c>
      <c r="G508">
        <v>-0.54</v>
      </c>
      <c r="H508">
        <v>-19.29</v>
      </c>
      <c r="I508">
        <v>-1.05</v>
      </c>
      <c r="J508">
        <v>-25.78</v>
      </c>
      <c r="K508">
        <v>10.78</v>
      </c>
      <c r="L508">
        <v>-16.12</v>
      </c>
      <c r="M508">
        <v>-7.54</v>
      </c>
      <c r="N508">
        <v>-49.12</v>
      </c>
    </row>
    <row r="509" spans="1:14">
      <c r="A509" s="2" t="s">
        <v>537</v>
      </c>
      <c r="B509" t="s">
        <v>4331</v>
      </c>
      <c r="C509">
        <v>6.69</v>
      </c>
      <c r="D509">
        <v>-2.74</v>
      </c>
      <c r="E509">
        <v>-0.88</v>
      </c>
      <c r="F509">
        <v>0.35</v>
      </c>
      <c r="G509">
        <v>2.2599999999999998</v>
      </c>
      <c r="I509">
        <v>-8.81</v>
      </c>
      <c r="J509">
        <v>-10.68</v>
      </c>
      <c r="K509">
        <v>-9.1300000000000008</v>
      </c>
      <c r="L509">
        <v>-11.2</v>
      </c>
      <c r="M509">
        <v>-14.59</v>
      </c>
    </row>
    <row r="510" spans="1:14">
      <c r="A510" s="2" t="s">
        <v>538</v>
      </c>
      <c r="B510" t="s">
        <v>4332</v>
      </c>
      <c r="C510">
        <v>-41.79</v>
      </c>
      <c r="D510">
        <v>51.08</v>
      </c>
      <c r="E510">
        <v>44.72</v>
      </c>
      <c r="F510">
        <v>-9.9499999999999993</v>
      </c>
      <c r="G510">
        <v>66.09</v>
      </c>
      <c r="H510">
        <v>-32.29</v>
      </c>
      <c r="I510">
        <v>-95.13</v>
      </c>
      <c r="J510">
        <v>-86.61</v>
      </c>
      <c r="K510">
        <v>-62.13</v>
      </c>
      <c r="L510">
        <v>-21.87</v>
      </c>
      <c r="M510">
        <v>65.709999999999994</v>
      </c>
      <c r="N510">
        <v>36.369999999999997</v>
      </c>
    </row>
    <row r="511" spans="1:14">
      <c r="A511" s="2" t="s">
        <v>539</v>
      </c>
      <c r="B511" t="s">
        <v>4333</v>
      </c>
      <c r="C511">
        <v>-17.46</v>
      </c>
      <c r="D511">
        <v>9.14</v>
      </c>
      <c r="E511">
        <v>-20.75</v>
      </c>
      <c r="F511">
        <v>15.22</v>
      </c>
      <c r="G511">
        <v>-10.72</v>
      </c>
      <c r="I511">
        <v>-12.82</v>
      </c>
      <c r="J511">
        <v>0.19</v>
      </c>
      <c r="K511">
        <v>-14.15</v>
      </c>
      <c r="L511">
        <v>-41.22</v>
      </c>
      <c r="M511">
        <v>-4.78</v>
      </c>
    </row>
    <row r="512" spans="1:14">
      <c r="A512" s="2" t="s">
        <v>540</v>
      </c>
      <c r="B512" t="s">
        <v>4334</v>
      </c>
      <c r="C512">
        <v>24.22</v>
      </c>
      <c r="D512">
        <v>-23.01</v>
      </c>
      <c r="E512">
        <v>13.09</v>
      </c>
      <c r="F512">
        <v>1.55</v>
      </c>
      <c r="G512">
        <v>5.34</v>
      </c>
      <c r="H512">
        <v>2.99</v>
      </c>
      <c r="I512">
        <v>6.99</v>
      </c>
      <c r="J512">
        <v>-2.09</v>
      </c>
      <c r="K512">
        <v>14.3</v>
      </c>
      <c r="L512">
        <v>11.11</v>
      </c>
      <c r="M512">
        <v>7.4</v>
      </c>
      <c r="N512">
        <v>-1.72</v>
      </c>
    </row>
    <row r="513" spans="1:14">
      <c r="A513" s="2" t="s">
        <v>541</v>
      </c>
      <c r="B513" t="s">
        <v>4335</v>
      </c>
      <c r="C513">
        <v>16.93</v>
      </c>
      <c r="D513">
        <v>-23.6</v>
      </c>
      <c r="E513">
        <v>11.88</v>
      </c>
      <c r="F513">
        <v>-5.74</v>
      </c>
      <c r="G513">
        <v>2.85</v>
      </c>
      <c r="H513">
        <v>-3.79</v>
      </c>
      <c r="I513">
        <v>3.81</v>
      </c>
      <c r="J513">
        <v>-8.65</v>
      </c>
      <c r="K513">
        <v>8.23</v>
      </c>
      <c r="L513">
        <v>6.74</v>
      </c>
      <c r="M513">
        <v>-2.12</v>
      </c>
      <c r="N513">
        <v>-30.02</v>
      </c>
    </row>
    <row r="514" spans="1:14">
      <c r="A514" s="2" t="s">
        <v>542</v>
      </c>
      <c r="B514" t="s">
        <v>4336</v>
      </c>
      <c r="C514">
        <v>-8.83</v>
      </c>
      <c r="D514">
        <v>1.17</v>
      </c>
      <c r="E514">
        <v>20.69</v>
      </c>
      <c r="F514">
        <v>-14.81</v>
      </c>
      <c r="G514">
        <v>-9.6999999999999993</v>
      </c>
      <c r="H514">
        <v>-3.54</v>
      </c>
      <c r="I514">
        <v>-7</v>
      </c>
      <c r="J514">
        <v>-8.42</v>
      </c>
      <c r="K514">
        <v>23.08</v>
      </c>
      <c r="L514">
        <v>7.16</v>
      </c>
      <c r="M514">
        <v>9.33</v>
      </c>
      <c r="N514">
        <v>-9.91</v>
      </c>
    </row>
    <row r="515" spans="1:14">
      <c r="A515" s="2" t="s">
        <v>543</v>
      </c>
      <c r="B515" t="s">
        <v>4337</v>
      </c>
      <c r="C515">
        <v>6.36</v>
      </c>
      <c r="D515">
        <v>-11.24</v>
      </c>
      <c r="E515">
        <v>0.92</v>
      </c>
      <c r="F515">
        <v>2.4700000000000002</v>
      </c>
      <c r="G515">
        <v>9.01</v>
      </c>
      <c r="H515">
        <v>1.73</v>
      </c>
      <c r="I515">
        <v>10.75</v>
      </c>
      <c r="J515">
        <v>9.44</v>
      </c>
      <c r="K515">
        <v>18.510000000000002</v>
      </c>
      <c r="L515">
        <v>26.38</v>
      </c>
      <c r="M515">
        <v>19.649999999999999</v>
      </c>
      <c r="N515">
        <v>31.59</v>
      </c>
    </row>
    <row r="516" spans="1:14">
      <c r="A516" s="2" t="s">
        <v>544</v>
      </c>
      <c r="B516" t="s">
        <v>4338</v>
      </c>
      <c r="C516">
        <v>1.21</v>
      </c>
      <c r="D516">
        <v>-22.05</v>
      </c>
      <c r="E516">
        <v>20.51</v>
      </c>
      <c r="F516">
        <v>-7.24</v>
      </c>
      <c r="G516">
        <v>-0.43</v>
      </c>
      <c r="H516">
        <v>6.8</v>
      </c>
      <c r="I516">
        <v>8.77</v>
      </c>
      <c r="J516">
        <v>2.73</v>
      </c>
      <c r="K516">
        <v>34.83</v>
      </c>
      <c r="L516">
        <v>15.93</v>
      </c>
      <c r="M516">
        <v>13.83</v>
      </c>
      <c r="N516">
        <v>2.64</v>
      </c>
    </row>
    <row r="517" spans="1:14">
      <c r="A517" s="2" t="s">
        <v>545</v>
      </c>
      <c r="B517" t="s">
        <v>4339</v>
      </c>
      <c r="C517">
        <v>3.77</v>
      </c>
      <c r="D517">
        <v>-11.91</v>
      </c>
      <c r="E517">
        <v>51.72</v>
      </c>
      <c r="F517">
        <v>11.92</v>
      </c>
      <c r="G517">
        <v>7.17</v>
      </c>
      <c r="H517">
        <v>-27.8</v>
      </c>
      <c r="I517">
        <v>44.69</v>
      </c>
      <c r="J517">
        <v>10.9</v>
      </c>
      <c r="K517">
        <v>36.68</v>
      </c>
      <c r="L517">
        <v>-2.54</v>
      </c>
      <c r="M517">
        <v>6.86</v>
      </c>
      <c r="N517">
        <v>-23.85</v>
      </c>
    </row>
    <row r="518" spans="1:14">
      <c r="A518" s="2" t="s">
        <v>546</v>
      </c>
      <c r="B518" t="s">
        <v>4340</v>
      </c>
      <c r="C518">
        <v>5.54</v>
      </c>
      <c r="D518">
        <v>-7.09</v>
      </c>
      <c r="E518">
        <v>26.07</v>
      </c>
      <c r="F518">
        <v>12.5</v>
      </c>
      <c r="G518">
        <v>8.3000000000000007</v>
      </c>
      <c r="H518">
        <v>-6.24</v>
      </c>
      <c r="I518">
        <v>0.02</v>
      </c>
      <c r="J518">
        <v>-11.29</v>
      </c>
      <c r="K518">
        <v>7.11</v>
      </c>
      <c r="L518">
        <v>11.25</v>
      </c>
      <c r="M518">
        <v>0.38</v>
      </c>
      <c r="N518">
        <v>-11.05</v>
      </c>
    </row>
    <row r="519" spans="1:14">
      <c r="A519" s="2" t="s">
        <v>547</v>
      </c>
      <c r="B519" t="s">
        <v>4341</v>
      </c>
      <c r="C519">
        <v>11.19</v>
      </c>
      <c r="D519">
        <v>15.15</v>
      </c>
      <c r="E519">
        <v>-33.729999999999997</v>
      </c>
      <c r="F519">
        <v>-10.7</v>
      </c>
      <c r="G519">
        <v>-1.0900000000000001</v>
      </c>
      <c r="H519">
        <v>-4.08</v>
      </c>
      <c r="I519">
        <v>-71.930000000000007</v>
      </c>
      <c r="J519">
        <v>-50.68</v>
      </c>
      <c r="K519">
        <v>-63.34</v>
      </c>
      <c r="L519">
        <v>-51.96</v>
      </c>
      <c r="M519">
        <v>-67.97</v>
      </c>
      <c r="N519">
        <v>-64.38</v>
      </c>
    </row>
    <row r="520" spans="1:14">
      <c r="A520" s="2" t="s">
        <v>548</v>
      </c>
      <c r="B520" t="s">
        <v>4342</v>
      </c>
      <c r="C520">
        <v>-17.88</v>
      </c>
      <c r="D520">
        <v>5.9</v>
      </c>
      <c r="E520">
        <v>43.04</v>
      </c>
      <c r="F520">
        <v>-30.8</v>
      </c>
      <c r="G520">
        <v>-6.87</v>
      </c>
      <c r="H520">
        <v>12.2</v>
      </c>
      <c r="I520">
        <v>-7.17</v>
      </c>
      <c r="J520">
        <v>4.3899999999999997</v>
      </c>
      <c r="K520">
        <v>29.34</v>
      </c>
      <c r="L520">
        <v>-20.95</v>
      </c>
      <c r="M520">
        <v>22.87</v>
      </c>
      <c r="N520">
        <v>-2.98</v>
      </c>
    </row>
    <row r="521" spans="1:14">
      <c r="A521" s="2" t="s">
        <v>549</v>
      </c>
      <c r="B521" t="s">
        <v>4343</v>
      </c>
      <c r="C521">
        <v>-5.26</v>
      </c>
      <c r="D521">
        <v>-0.95</v>
      </c>
      <c r="E521">
        <v>20.64</v>
      </c>
      <c r="F521">
        <v>-16.420000000000002</v>
      </c>
      <c r="G521">
        <v>-10.82</v>
      </c>
      <c r="H521">
        <v>8.31</v>
      </c>
      <c r="I521">
        <v>20.92</v>
      </c>
      <c r="J521">
        <v>14.91</v>
      </c>
      <c r="K521">
        <v>29.22</v>
      </c>
      <c r="L521">
        <v>13.38</v>
      </c>
      <c r="M521">
        <v>18.399999999999999</v>
      </c>
      <c r="N521">
        <v>-2.39</v>
      </c>
    </row>
    <row r="522" spans="1:14">
      <c r="A522" s="2" t="s">
        <v>550</v>
      </c>
      <c r="B522" t="s">
        <v>4344</v>
      </c>
      <c r="C522">
        <v>-2.59</v>
      </c>
      <c r="D522">
        <v>-14.77</v>
      </c>
      <c r="E522">
        <v>42.98</v>
      </c>
      <c r="F522">
        <v>7.69</v>
      </c>
      <c r="G522">
        <v>11.13</v>
      </c>
      <c r="H522">
        <v>32.06</v>
      </c>
      <c r="I522">
        <v>5.58</v>
      </c>
      <c r="J522">
        <v>-21.93</v>
      </c>
      <c r="K522">
        <v>10.39</v>
      </c>
      <c r="L522">
        <v>-0.42</v>
      </c>
      <c r="M522">
        <v>-8.4700000000000006</v>
      </c>
      <c r="N522">
        <v>-7.61</v>
      </c>
    </row>
    <row r="523" spans="1:14">
      <c r="A523" s="2" t="s">
        <v>551</v>
      </c>
      <c r="B523" t="s">
        <v>4345</v>
      </c>
      <c r="C523">
        <v>16.38</v>
      </c>
      <c r="D523">
        <v>-19.34</v>
      </c>
      <c r="E523">
        <v>2.95</v>
      </c>
      <c r="F523">
        <v>-0.62</v>
      </c>
      <c r="G523">
        <v>5.74</v>
      </c>
      <c r="H523">
        <v>-3.24</v>
      </c>
      <c r="I523">
        <v>57.21</v>
      </c>
      <c r="J523">
        <v>43.47</v>
      </c>
      <c r="K523">
        <v>39.4</v>
      </c>
      <c r="L523">
        <v>38.76</v>
      </c>
      <c r="M523">
        <v>28.64</v>
      </c>
      <c r="N523">
        <v>22.25</v>
      </c>
    </row>
    <row r="524" spans="1:14">
      <c r="A524" s="2" t="s">
        <v>552</v>
      </c>
      <c r="B524" t="s">
        <v>4346</v>
      </c>
      <c r="C524">
        <v>6.55</v>
      </c>
      <c r="D524">
        <v>-12.73</v>
      </c>
      <c r="E524">
        <v>9.33</v>
      </c>
      <c r="F524">
        <v>-2.76</v>
      </c>
      <c r="G524">
        <v>6.64</v>
      </c>
      <c r="I524">
        <v>9.2799999999999994</v>
      </c>
      <c r="J524">
        <v>4.0999999999999996</v>
      </c>
      <c r="K524">
        <v>15.56</v>
      </c>
      <c r="L524">
        <v>8.74</v>
      </c>
      <c r="M524">
        <v>5.97</v>
      </c>
    </row>
    <row r="525" spans="1:14">
      <c r="A525" s="2" t="s">
        <v>553</v>
      </c>
      <c r="B525" t="s">
        <v>4347</v>
      </c>
      <c r="C525">
        <v>2.78</v>
      </c>
      <c r="D525">
        <v>-3.91</v>
      </c>
      <c r="E525">
        <v>6.23</v>
      </c>
      <c r="F525">
        <v>0.19</v>
      </c>
      <c r="G525">
        <v>0.25</v>
      </c>
      <c r="H525">
        <v>2.41</v>
      </c>
      <c r="I525">
        <v>8.67</v>
      </c>
      <c r="J525">
        <v>7.36</v>
      </c>
      <c r="K525">
        <v>8.6199999999999992</v>
      </c>
      <c r="L525">
        <v>11.63</v>
      </c>
      <c r="M525">
        <v>3.62</v>
      </c>
      <c r="N525">
        <v>10.1</v>
      </c>
    </row>
    <row r="526" spans="1:14">
      <c r="A526" s="2" t="s">
        <v>554</v>
      </c>
      <c r="B526" t="s">
        <v>4348</v>
      </c>
      <c r="C526">
        <v>3.46</v>
      </c>
      <c r="D526">
        <v>-9.27</v>
      </c>
      <c r="E526">
        <v>-2.77</v>
      </c>
      <c r="F526">
        <v>-6.99</v>
      </c>
      <c r="G526">
        <v>4.54</v>
      </c>
      <c r="H526">
        <v>4.5599999999999996</v>
      </c>
      <c r="I526">
        <v>-1.87</v>
      </c>
      <c r="J526">
        <v>2.86</v>
      </c>
      <c r="K526">
        <v>17.66</v>
      </c>
      <c r="L526">
        <v>13.78</v>
      </c>
      <c r="M526">
        <v>-4.3499999999999996</v>
      </c>
      <c r="N526">
        <v>-1.35</v>
      </c>
    </row>
    <row r="527" spans="1:14">
      <c r="A527" s="2" t="s">
        <v>555</v>
      </c>
      <c r="B527" t="s">
        <v>4349</v>
      </c>
      <c r="C527">
        <v>3.97</v>
      </c>
      <c r="D527">
        <v>-3.44</v>
      </c>
      <c r="E527">
        <v>4.47</v>
      </c>
      <c r="F527">
        <v>-1.84</v>
      </c>
      <c r="G527">
        <v>7.2</v>
      </c>
      <c r="H527">
        <v>3.54</v>
      </c>
      <c r="I527">
        <v>17.329999999999998</v>
      </c>
      <c r="J527">
        <v>19.68</v>
      </c>
      <c r="K527">
        <v>19.649999999999999</v>
      </c>
      <c r="L527">
        <v>18.91</v>
      </c>
      <c r="M527">
        <v>23.18</v>
      </c>
      <c r="N527">
        <v>22.99</v>
      </c>
    </row>
    <row r="528" spans="1:14">
      <c r="A528" s="2" t="s">
        <v>556</v>
      </c>
      <c r="B528" t="s">
        <v>4350</v>
      </c>
      <c r="C528">
        <v>8.3699999999999992</v>
      </c>
      <c r="D528">
        <v>-8.64</v>
      </c>
      <c r="E528">
        <v>0.8</v>
      </c>
      <c r="F528">
        <v>1.1599999999999999</v>
      </c>
      <c r="G528">
        <v>0.01</v>
      </c>
      <c r="I528">
        <v>100.68</v>
      </c>
      <c r="J528">
        <v>71.34</v>
      </c>
      <c r="K528">
        <v>68.2</v>
      </c>
      <c r="L528">
        <v>88.51</v>
      </c>
      <c r="M528">
        <v>79.11</v>
      </c>
    </row>
    <row r="529" spans="1:14">
      <c r="A529" s="2" t="s">
        <v>557</v>
      </c>
      <c r="B529" t="s">
        <v>4351</v>
      </c>
      <c r="C529">
        <v>2.69</v>
      </c>
      <c r="D529">
        <v>2.8</v>
      </c>
      <c r="E529">
        <v>-1.72</v>
      </c>
      <c r="F529">
        <v>0.98</v>
      </c>
      <c r="G529">
        <v>0.9</v>
      </c>
      <c r="H529">
        <v>0.53</v>
      </c>
      <c r="I529">
        <v>13.62</v>
      </c>
      <c r="J529">
        <v>17.940000000000001</v>
      </c>
      <c r="K529">
        <v>14.29</v>
      </c>
      <c r="L529">
        <v>14.24</v>
      </c>
      <c r="M529">
        <v>11.41</v>
      </c>
      <c r="N529">
        <v>14.86</v>
      </c>
    </row>
    <row r="530" spans="1:14">
      <c r="A530" s="2" t="s">
        <v>558</v>
      </c>
      <c r="B530" t="s">
        <v>4352</v>
      </c>
      <c r="C530">
        <v>-14.93</v>
      </c>
      <c r="D530">
        <v>-3.39</v>
      </c>
      <c r="E530">
        <v>1.26</v>
      </c>
      <c r="F530">
        <v>-7.1</v>
      </c>
      <c r="G530">
        <v>5.79</v>
      </c>
      <c r="H530">
        <v>16.489999999999998</v>
      </c>
      <c r="I530">
        <v>-1.1299999999999999</v>
      </c>
      <c r="J530">
        <v>5.48</v>
      </c>
      <c r="K530">
        <v>20.97</v>
      </c>
      <c r="L530">
        <v>4.0599999999999996</v>
      </c>
      <c r="M530">
        <v>9.0399999999999991</v>
      </c>
      <c r="N530">
        <v>18.5</v>
      </c>
    </row>
    <row r="531" spans="1:14">
      <c r="A531" s="2" t="s">
        <v>559</v>
      </c>
      <c r="B531" t="s">
        <v>4353</v>
      </c>
      <c r="C531">
        <v>7.73</v>
      </c>
      <c r="D531">
        <v>-8.1999999999999993</v>
      </c>
      <c r="E531">
        <v>1.21</v>
      </c>
      <c r="F531">
        <v>1.19</v>
      </c>
      <c r="G531">
        <v>-2.0699999999999998</v>
      </c>
      <c r="H531">
        <v>6.74</v>
      </c>
      <c r="I531">
        <v>16.53</v>
      </c>
      <c r="J531">
        <v>20.98</v>
      </c>
      <c r="K531">
        <v>11.7</v>
      </c>
      <c r="L531">
        <v>16.25</v>
      </c>
      <c r="M531">
        <v>9.9700000000000006</v>
      </c>
      <c r="N531">
        <v>8.5299999999999994</v>
      </c>
    </row>
    <row r="532" spans="1:14">
      <c r="A532" s="2" t="s">
        <v>560</v>
      </c>
      <c r="B532" t="s">
        <v>4354</v>
      </c>
      <c r="C532">
        <v>-6.45</v>
      </c>
      <c r="D532">
        <v>-7.17</v>
      </c>
      <c r="E532">
        <v>9.14</v>
      </c>
      <c r="F532">
        <v>-7.63</v>
      </c>
      <c r="G532">
        <v>15.16</v>
      </c>
      <c r="I532">
        <v>13.05</v>
      </c>
      <c r="J532">
        <v>6.77</v>
      </c>
      <c r="K532">
        <v>4.66</v>
      </c>
      <c r="L532">
        <v>2.81</v>
      </c>
      <c r="M532">
        <v>-0.34</v>
      </c>
    </row>
    <row r="533" spans="1:14">
      <c r="A533" s="2" t="s">
        <v>561</v>
      </c>
      <c r="B533" t="s">
        <v>4355</v>
      </c>
      <c r="C533">
        <v>-27.7</v>
      </c>
      <c r="D533">
        <v>11.61</v>
      </c>
      <c r="E533">
        <v>-10.36</v>
      </c>
      <c r="F533">
        <v>12.28</v>
      </c>
      <c r="G533">
        <v>-16.600000000000001</v>
      </c>
      <c r="H533">
        <v>124.54</v>
      </c>
      <c r="I533">
        <v>-6.42</v>
      </c>
      <c r="J533">
        <v>53.27</v>
      </c>
      <c r="K533">
        <v>34.729999999999997</v>
      </c>
      <c r="L533">
        <v>80.95</v>
      </c>
      <c r="M533">
        <v>29.71</v>
      </c>
      <c r="N533">
        <v>221.31</v>
      </c>
    </row>
    <row r="534" spans="1:14">
      <c r="A534" s="2" t="s">
        <v>562</v>
      </c>
      <c r="B534" t="s">
        <v>4356</v>
      </c>
      <c r="C534">
        <v>-1.92</v>
      </c>
      <c r="D534">
        <v>-10.28</v>
      </c>
      <c r="E534">
        <v>-2.5099999999999998</v>
      </c>
      <c r="F534">
        <v>9.7799999999999994</v>
      </c>
      <c r="G534">
        <v>-8.4</v>
      </c>
      <c r="I534">
        <v>14.63</v>
      </c>
      <c r="J534">
        <v>-3.05</v>
      </c>
      <c r="K534">
        <v>2.08</v>
      </c>
      <c r="L534">
        <v>4.63</v>
      </c>
      <c r="M534">
        <v>5.81</v>
      </c>
    </row>
    <row r="535" spans="1:14">
      <c r="A535" s="2" t="s">
        <v>563</v>
      </c>
      <c r="B535" t="s">
        <v>4357</v>
      </c>
      <c r="C535">
        <v>2.54</v>
      </c>
      <c r="D535">
        <v>-3.75</v>
      </c>
      <c r="E535">
        <v>-4.7300000000000004</v>
      </c>
      <c r="F535">
        <v>-12.41</v>
      </c>
      <c r="G535">
        <v>4.71</v>
      </c>
      <c r="H535">
        <v>24.2</v>
      </c>
      <c r="I535">
        <v>2.91</v>
      </c>
      <c r="J535">
        <v>-6.37</v>
      </c>
      <c r="K535">
        <v>24.14</v>
      </c>
      <c r="L535">
        <v>-9.0399999999999991</v>
      </c>
      <c r="M535">
        <v>4.1500000000000004</v>
      </c>
      <c r="N535">
        <v>7.44</v>
      </c>
    </row>
    <row r="536" spans="1:14">
      <c r="A536" s="2" t="s">
        <v>564</v>
      </c>
      <c r="B536" t="s">
        <v>4358</v>
      </c>
      <c r="C536">
        <v>-2.72</v>
      </c>
      <c r="D536">
        <v>1.18</v>
      </c>
      <c r="E536">
        <v>-1.39</v>
      </c>
      <c r="F536">
        <v>1.84</v>
      </c>
      <c r="G536">
        <v>-4.0199999999999996</v>
      </c>
      <c r="H536">
        <v>20.63</v>
      </c>
      <c r="I536">
        <v>11.9</v>
      </c>
      <c r="J536">
        <v>18.440000000000001</v>
      </c>
      <c r="K536">
        <v>26.12</v>
      </c>
      <c r="L536">
        <v>15.36</v>
      </c>
      <c r="M536">
        <v>10.47</v>
      </c>
      <c r="N536">
        <v>30.58</v>
      </c>
    </row>
    <row r="537" spans="1:14">
      <c r="A537" s="2" t="s">
        <v>565</v>
      </c>
      <c r="B537" t="s">
        <v>4359</v>
      </c>
      <c r="C537">
        <v>11.66</v>
      </c>
      <c r="D537">
        <v>-11.06</v>
      </c>
      <c r="E537">
        <v>9.98</v>
      </c>
      <c r="F537">
        <v>-7.46</v>
      </c>
      <c r="G537">
        <v>-4.2699999999999996</v>
      </c>
      <c r="H537">
        <v>6.47</v>
      </c>
      <c r="I537">
        <v>9.07</v>
      </c>
      <c r="J537">
        <v>9.7100000000000009</v>
      </c>
      <c r="K537">
        <v>50.3</v>
      </c>
      <c r="L537">
        <v>13.86</v>
      </c>
      <c r="M537">
        <v>12.92</v>
      </c>
      <c r="N537">
        <v>20.78</v>
      </c>
    </row>
    <row r="538" spans="1:14">
      <c r="A538" s="2" t="s">
        <v>566</v>
      </c>
      <c r="B538" t="s">
        <v>4360</v>
      </c>
      <c r="C538">
        <v>-10.4</v>
      </c>
      <c r="D538">
        <v>1.59</v>
      </c>
      <c r="E538">
        <v>-1.1399999999999999</v>
      </c>
      <c r="F538">
        <v>4.41</v>
      </c>
      <c r="G538">
        <v>-10.08</v>
      </c>
      <c r="H538">
        <v>24.81</v>
      </c>
      <c r="I538">
        <v>-0.77</v>
      </c>
      <c r="J538">
        <v>14.71</v>
      </c>
      <c r="K538">
        <v>-1.67</v>
      </c>
      <c r="L538">
        <v>26.34</v>
      </c>
      <c r="M538">
        <v>10.43</v>
      </c>
      <c r="N538">
        <v>7.78</v>
      </c>
    </row>
    <row r="539" spans="1:14">
      <c r="A539" s="2" t="s">
        <v>567</v>
      </c>
      <c r="B539" t="s">
        <v>4361</v>
      </c>
      <c r="C539">
        <v>-5.89</v>
      </c>
      <c r="D539">
        <v>10.83</v>
      </c>
      <c r="E539">
        <v>-3.49</v>
      </c>
      <c r="F539">
        <v>12.3</v>
      </c>
      <c r="G539">
        <v>-11.15</v>
      </c>
      <c r="H539">
        <v>11.94</v>
      </c>
      <c r="I539">
        <v>-3.55</v>
      </c>
      <c r="J539">
        <v>-0.76</v>
      </c>
      <c r="K539">
        <v>18.739999999999998</v>
      </c>
      <c r="L539">
        <v>19.690000000000001</v>
      </c>
      <c r="M539">
        <v>14.26</v>
      </c>
      <c r="N539">
        <v>20.63</v>
      </c>
    </row>
    <row r="540" spans="1:14">
      <c r="A540" s="2" t="s">
        <v>568</v>
      </c>
      <c r="B540" t="s">
        <v>4362</v>
      </c>
      <c r="C540">
        <v>-11.75</v>
      </c>
      <c r="D540">
        <v>-2.82</v>
      </c>
      <c r="E540">
        <v>1.1499999999999999</v>
      </c>
      <c r="F540">
        <v>0.79</v>
      </c>
      <c r="G540">
        <v>-0.61</v>
      </c>
      <c r="I540">
        <v>6.86</v>
      </c>
      <c r="J540">
        <v>1.1499999999999999</v>
      </c>
      <c r="K540">
        <v>2.74</v>
      </c>
      <c r="L540">
        <v>4.38</v>
      </c>
      <c r="M540">
        <v>4.79</v>
      </c>
    </row>
    <row r="541" spans="1:14">
      <c r="A541" s="2" t="s">
        <v>569</v>
      </c>
      <c r="B541" t="s">
        <v>4363</v>
      </c>
      <c r="C541">
        <v>12.74</v>
      </c>
      <c r="D541">
        <v>-1.94</v>
      </c>
      <c r="E541">
        <v>33.729999999999997</v>
      </c>
      <c r="F541">
        <v>-22.18</v>
      </c>
      <c r="G541">
        <v>1.08</v>
      </c>
      <c r="I541">
        <v>55.36</v>
      </c>
      <c r="J541">
        <v>8.23</v>
      </c>
      <c r="K541">
        <v>40.56</v>
      </c>
      <c r="L541">
        <v>14.18</v>
      </c>
      <c r="M541">
        <v>18.63</v>
      </c>
    </row>
    <row r="542" spans="1:14">
      <c r="A542" s="2" t="s">
        <v>570</v>
      </c>
      <c r="B542" t="s">
        <v>4364</v>
      </c>
      <c r="C542">
        <v>1.63</v>
      </c>
      <c r="D542">
        <v>0.16</v>
      </c>
      <c r="E542">
        <v>-5.23</v>
      </c>
      <c r="F542">
        <v>4.28</v>
      </c>
      <c r="G542">
        <v>-1.05</v>
      </c>
      <c r="I542">
        <v>1.7</v>
      </c>
      <c r="J542">
        <v>8.39</v>
      </c>
      <c r="K542">
        <v>-8.7899999999999991</v>
      </c>
      <c r="L542">
        <v>-4.75</v>
      </c>
      <c r="M542">
        <v>7.54</v>
      </c>
    </row>
    <row r="543" spans="1:14">
      <c r="A543" s="2" t="s">
        <v>571</v>
      </c>
      <c r="B543" t="s">
        <v>4365</v>
      </c>
      <c r="C543">
        <v>26.78</v>
      </c>
      <c r="D543">
        <v>-23.27</v>
      </c>
      <c r="E543">
        <v>80.290000000000006</v>
      </c>
      <c r="F543">
        <v>-67.8</v>
      </c>
      <c r="G543">
        <v>106.99</v>
      </c>
      <c r="I543">
        <v>97.62</v>
      </c>
      <c r="J543">
        <v>98.73</v>
      </c>
      <c r="K543">
        <v>157.94</v>
      </c>
      <c r="L543">
        <v>4.83</v>
      </c>
      <c r="M543">
        <v>57.29</v>
      </c>
    </row>
    <row r="544" spans="1:14">
      <c r="A544" s="2" t="s">
        <v>572</v>
      </c>
      <c r="B544" t="s">
        <v>4366</v>
      </c>
      <c r="C544">
        <v>13.59</v>
      </c>
      <c r="D544">
        <v>15.75</v>
      </c>
      <c r="E544">
        <v>-18.87</v>
      </c>
      <c r="F544">
        <v>5.58</v>
      </c>
      <c r="G544">
        <v>12.03</v>
      </c>
      <c r="I544">
        <v>82.42</v>
      </c>
      <c r="J544">
        <v>66</v>
      </c>
      <c r="K544">
        <v>37.57</v>
      </c>
      <c r="L544">
        <v>-1.74</v>
      </c>
      <c r="M544">
        <v>28.13</v>
      </c>
    </row>
    <row r="545" spans="1:14">
      <c r="A545" s="2" t="s">
        <v>573</v>
      </c>
      <c r="B545" t="s">
        <v>4367</v>
      </c>
      <c r="C545">
        <v>-14.95</v>
      </c>
      <c r="D545">
        <v>-6.52</v>
      </c>
      <c r="E545">
        <v>3.73</v>
      </c>
      <c r="F545">
        <v>-8.6300000000000008</v>
      </c>
      <c r="G545">
        <v>0.97</v>
      </c>
      <c r="I545">
        <v>13.87</v>
      </c>
      <c r="J545">
        <v>9.1</v>
      </c>
      <c r="K545">
        <v>7.88</v>
      </c>
      <c r="L545">
        <v>16.57</v>
      </c>
      <c r="M545">
        <v>10.24</v>
      </c>
    </row>
    <row r="546" spans="1:14">
      <c r="A546" s="2" t="s">
        <v>574</v>
      </c>
      <c r="B546" t="s">
        <v>4368</v>
      </c>
      <c r="C546">
        <v>81.53</v>
      </c>
      <c r="D546">
        <v>-37.880000000000003</v>
      </c>
      <c r="E546">
        <v>35.729999999999997</v>
      </c>
      <c r="F546">
        <v>9.48</v>
      </c>
      <c r="G546">
        <v>-19.489999999999998</v>
      </c>
      <c r="I546">
        <v>1442.6</v>
      </c>
      <c r="J546">
        <v>56.53</v>
      </c>
      <c r="K546">
        <v>63.06</v>
      </c>
      <c r="L546">
        <v>53.47</v>
      </c>
      <c r="M546">
        <v>8.1</v>
      </c>
    </row>
    <row r="547" spans="1:14">
      <c r="A547" s="2" t="s">
        <v>575</v>
      </c>
      <c r="B547" t="s">
        <v>4369</v>
      </c>
      <c r="C547">
        <v>25.85</v>
      </c>
      <c r="D547">
        <v>-25.29</v>
      </c>
      <c r="E547">
        <v>21.87</v>
      </c>
      <c r="F547">
        <v>-23.96</v>
      </c>
      <c r="G547">
        <v>-16.95</v>
      </c>
      <c r="I547">
        <v>115.02</v>
      </c>
      <c r="J547">
        <v>72.28</v>
      </c>
      <c r="K547">
        <v>114.18</v>
      </c>
      <c r="L547">
        <v>25.61</v>
      </c>
      <c r="M547">
        <v>-6.38</v>
      </c>
    </row>
    <row r="548" spans="1:14">
      <c r="A548" s="2" t="s">
        <v>576</v>
      </c>
      <c r="B548" t="s">
        <v>4370</v>
      </c>
      <c r="D548">
        <v>65.62</v>
      </c>
      <c r="E548">
        <v>-22.14</v>
      </c>
      <c r="F548">
        <v>-3.84</v>
      </c>
      <c r="G548">
        <v>-45.08</v>
      </c>
      <c r="J548">
        <v>42.1</v>
      </c>
      <c r="K548">
        <v>149.02000000000001</v>
      </c>
      <c r="L548">
        <v>51.61</v>
      </c>
      <c r="M548">
        <v>-41.7</v>
      </c>
    </row>
    <row r="549" spans="1:14">
      <c r="A549" s="2" t="s">
        <v>577</v>
      </c>
      <c r="B549" t="s">
        <v>4371</v>
      </c>
      <c r="C549">
        <v>-1.39</v>
      </c>
      <c r="D549">
        <v>-2.82</v>
      </c>
      <c r="E549">
        <v>1.72</v>
      </c>
      <c r="F549">
        <v>-0.73</v>
      </c>
      <c r="G549">
        <v>-3.95</v>
      </c>
      <c r="H549">
        <v>18.93</v>
      </c>
      <c r="I549">
        <v>6.82</v>
      </c>
      <c r="J549">
        <v>16.78</v>
      </c>
      <c r="K549">
        <v>55.11</v>
      </c>
      <c r="L549">
        <v>46.61</v>
      </c>
      <c r="M549">
        <v>14.99</v>
      </c>
      <c r="N549">
        <v>40.520000000000003</v>
      </c>
    </row>
    <row r="550" spans="1:14">
      <c r="A550" s="2" t="s">
        <v>578</v>
      </c>
      <c r="B550" t="s">
        <v>4372</v>
      </c>
      <c r="C550">
        <v>9.5</v>
      </c>
      <c r="D550">
        <v>2.7</v>
      </c>
      <c r="E550">
        <v>5.55</v>
      </c>
      <c r="F550">
        <v>3.16</v>
      </c>
      <c r="G550">
        <v>-5.39</v>
      </c>
      <c r="I550">
        <v>40.909999999999997</v>
      </c>
      <c r="J550">
        <v>29.68</v>
      </c>
      <c r="K550">
        <v>27.52</v>
      </c>
      <c r="L550">
        <v>15.85</v>
      </c>
      <c r="M550">
        <v>36.229999999999997</v>
      </c>
    </row>
    <row r="551" spans="1:14">
      <c r="A551" s="2" t="s">
        <v>579</v>
      </c>
      <c r="B551" t="s">
        <v>4373</v>
      </c>
      <c r="C551">
        <v>-18.84</v>
      </c>
      <c r="D551">
        <v>5.71</v>
      </c>
      <c r="E551">
        <v>-5.94</v>
      </c>
      <c r="F551">
        <v>-13.22</v>
      </c>
      <c r="G551">
        <v>17.940000000000001</v>
      </c>
      <c r="I551">
        <v>1.7</v>
      </c>
      <c r="J551">
        <v>8.67</v>
      </c>
      <c r="K551">
        <v>10.68</v>
      </c>
      <c r="L551">
        <v>15.17</v>
      </c>
      <c r="M551">
        <v>5.56</v>
      </c>
    </row>
    <row r="552" spans="1:14">
      <c r="A552" s="2" t="s">
        <v>580</v>
      </c>
      <c r="B552" t="s">
        <v>4374</v>
      </c>
      <c r="C552">
        <v>55.95</v>
      </c>
      <c r="D552">
        <v>25.22</v>
      </c>
      <c r="E552">
        <v>-10.19</v>
      </c>
      <c r="F552">
        <v>16.21</v>
      </c>
      <c r="G552">
        <v>8.4600000000000009</v>
      </c>
      <c r="I552">
        <v>77.989999999999995</v>
      </c>
      <c r="J552">
        <v>176.62</v>
      </c>
      <c r="K552">
        <v>168.66</v>
      </c>
      <c r="L552">
        <v>187.19</v>
      </c>
      <c r="M552">
        <v>229.51</v>
      </c>
    </row>
    <row r="553" spans="1:14">
      <c r="A553" s="2" t="s">
        <v>581</v>
      </c>
      <c r="B553" t="s">
        <v>4375</v>
      </c>
      <c r="C553">
        <v>-6.65</v>
      </c>
      <c r="D553">
        <v>8.1</v>
      </c>
      <c r="E553">
        <v>-10.47</v>
      </c>
      <c r="F553">
        <v>-6.43</v>
      </c>
      <c r="G553">
        <v>9.1999999999999993</v>
      </c>
      <c r="H553">
        <v>37.4</v>
      </c>
      <c r="I553">
        <v>46.07</v>
      </c>
      <c r="J553">
        <v>70.59</v>
      </c>
      <c r="K553">
        <v>41</v>
      </c>
      <c r="L553">
        <v>16.72</v>
      </c>
      <c r="M553">
        <v>21.43</v>
      </c>
      <c r="N553">
        <v>102.15</v>
      </c>
    </row>
    <row r="554" spans="1:14">
      <c r="A554" s="2" t="s">
        <v>582</v>
      </c>
      <c r="B554" t="s">
        <v>4376</v>
      </c>
      <c r="C554">
        <v>2.2000000000000002</v>
      </c>
      <c r="D554">
        <v>-3.3</v>
      </c>
      <c r="E554">
        <v>9.19</v>
      </c>
      <c r="F554">
        <v>-12.13</v>
      </c>
      <c r="G554">
        <v>-10.25</v>
      </c>
      <c r="H554">
        <v>92.53</v>
      </c>
      <c r="I554">
        <v>22.27</v>
      </c>
      <c r="J554">
        <v>22.35</v>
      </c>
      <c r="K554">
        <v>38.880000000000003</v>
      </c>
      <c r="L554">
        <v>40.36</v>
      </c>
      <c r="M554">
        <v>15.85</v>
      </c>
      <c r="N554">
        <v>55.15</v>
      </c>
    </row>
    <row r="555" spans="1:14">
      <c r="A555" s="2" t="s">
        <v>583</v>
      </c>
      <c r="B555" t="s">
        <v>4377</v>
      </c>
      <c r="C555">
        <v>137.31</v>
      </c>
      <c r="D555">
        <v>15.76</v>
      </c>
      <c r="E555">
        <v>-16.440000000000001</v>
      </c>
      <c r="F555">
        <v>-1.35</v>
      </c>
      <c r="G555">
        <v>-4.34</v>
      </c>
      <c r="I555">
        <v>117.52</v>
      </c>
      <c r="J555">
        <v>77.73</v>
      </c>
      <c r="K555">
        <v>52.31</v>
      </c>
      <c r="L555">
        <v>45.81</v>
      </c>
      <c r="M555">
        <v>44.1</v>
      </c>
    </row>
    <row r="556" spans="1:14">
      <c r="A556" s="2" t="s">
        <v>584</v>
      </c>
      <c r="B556" t="s">
        <v>4378</v>
      </c>
      <c r="C556">
        <v>-5.35</v>
      </c>
      <c r="D556">
        <v>-6.38</v>
      </c>
      <c r="E556">
        <v>-3.38</v>
      </c>
      <c r="F556">
        <v>-3.36</v>
      </c>
      <c r="G556">
        <v>11.72</v>
      </c>
      <c r="I556">
        <v>3.19</v>
      </c>
      <c r="J556">
        <v>19.690000000000001</v>
      </c>
      <c r="K556">
        <v>21.75</v>
      </c>
      <c r="L556">
        <v>16.07</v>
      </c>
      <c r="M556">
        <v>14.95</v>
      </c>
    </row>
    <row r="557" spans="1:14">
      <c r="A557" s="2" t="s">
        <v>585</v>
      </c>
      <c r="B557" t="s">
        <v>4379</v>
      </c>
      <c r="C557">
        <v>8.4</v>
      </c>
      <c r="D557">
        <v>-35.81</v>
      </c>
      <c r="E557">
        <v>4.22</v>
      </c>
      <c r="F557">
        <v>23.66</v>
      </c>
      <c r="G557">
        <v>-17.53</v>
      </c>
      <c r="H557">
        <v>92.67</v>
      </c>
      <c r="I557">
        <v>34.47</v>
      </c>
      <c r="J557">
        <v>-13.08</v>
      </c>
      <c r="K557">
        <v>5.22</v>
      </c>
      <c r="L557">
        <v>39.96</v>
      </c>
      <c r="M557">
        <v>5.66</v>
      </c>
      <c r="N557">
        <v>55.65</v>
      </c>
    </row>
    <row r="558" spans="1:14">
      <c r="A558" s="2" t="s">
        <v>586</v>
      </c>
      <c r="B558" t="s">
        <v>4380</v>
      </c>
      <c r="C558">
        <v>5.3</v>
      </c>
      <c r="D558">
        <v>-4.7699999999999996</v>
      </c>
      <c r="E558">
        <v>2.44</v>
      </c>
      <c r="F558">
        <v>4.72</v>
      </c>
      <c r="G558">
        <v>-3.26</v>
      </c>
      <c r="H558">
        <v>2.95</v>
      </c>
      <c r="I558">
        <v>-4.55</v>
      </c>
      <c r="J558">
        <v>-1.56</v>
      </c>
      <c r="K558">
        <v>0.98</v>
      </c>
      <c r="L558">
        <v>6.73</v>
      </c>
      <c r="M558">
        <v>-0.23</v>
      </c>
      <c r="N558">
        <v>1.84</v>
      </c>
    </row>
    <row r="559" spans="1:14">
      <c r="A559" s="2" t="s">
        <v>587</v>
      </c>
      <c r="B559" t="s">
        <v>4381</v>
      </c>
      <c r="C559">
        <v>7.03</v>
      </c>
      <c r="D559">
        <v>-3.81</v>
      </c>
      <c r="E559">
        <v>44.23</v>
      </c>
      <c r="F559">
        <v>15.55</v>
      </c>
      <c r="G559">
        <v>-38.97</v>
      </c>
      <c r="H559">
        <v>9.0500000000000007</v>
      </c>
      <c r="I559">
        <v>1.07</v>
      </c>
      <c r="J559">
        <v>-1.7</v>
      </c>
      <c r="K559">
        <v>4.9000000000000004</v>
      </c>
      <c r="L559">
        <v>-3.99</v>
      </c>
      <c r="M559">
        <v>-7.11</v>
      </c>
      <c r="N559">
        <v>-14.72</v>
      </c>
    </row>
    <row r="560" spans="1:14">
      <c r="A560" s="2" t="s">
        <v>588</v>
      </c>
      <c r="B560" t="s">
        <v>4382</v>
      </c>
      <c r="C560">
        <v>8.49</v>
      </c>
      <c r="D560">
        <v>-10.08</v>
      </c>
      <c r="E560">
        <v>-17.829999999999998</v>
      </c>
      <c r="F560">
        <v>1.61</v>
      </c>
      <c r="G560">
        <v>3.56</v>
      </c>
      <c r="H560">
        <v>-4.7</v>
      </c>
      <c r="I560">
        <v>4.97</v>
      </c>
      <c r="J560">
        <v>-10.26</v>
      </c>
      <c r="K560">
        <v>-23.44</v>
      </c>
      <c r="L560">
        <v>-17.68</v>
      </c>
      <c r="M560">
        <v>-23.12</v>
      </c>
      <c r="N560">
        <v>-18.59</v>
      </c>
    </row>
    <row r="561" spans="1:14">
      <c r="A561" s="2" t="s">
        <v>589</v>
      </c>
      <c r="B561" t="s">
        <v>4383</v>
      </c>
      <c r="C561">
        <v>-94.54</v>
      </c>
      <c r="D561">
        <v>2620.58</v>
      </c>
      <c r="E561">
        <v>-51.62</v>
      </c>
      <c r="F561">
        <v>-85.84</v>
      </c>
      <c r="G561">
        <v>1113.57</v>
      </c>
      <c r="J561">
        <v>90.24</v>
      </c>
      <c r="K561">
        <v>-48.77</v>
      </c>
      <c r="L561">
        <v>-92.52</v>
      </c>
      <c r="M561">
        <v>-23.61</v>
      </c>
    </row>
    <row r="562" spans="1:14">
      <c r="A562" s="2" t="s">
        <v>590</v>
      </c>
      <c r="B562" t="s">
        <v>4384</v>
      </c>
      <c r="C562">
        <v>-3.91</v>
      </c>
      <c r="D562">
        <v>3.78</v>
      </c>
      <c r="E562">
        <v>2.3199999999999998</v>
      </c>
      <c r="F562">
        <v>3.76</v>
      </c>
      <c r="G562">
        <v>20.95</v>
      </c>
      <c r="H562">
        <v>-3.53</v>
      </c>
      <c r="I562">
        <v>-18.920000000000002</v>
      </c>
      <c r="J562">
        <v>31.64</v>
      </c>
      <c r="K562">
        <v>0.1</v>
      </c>
      <c r="L562">
        <v>11.83</v>
      </c>
      <c r="M562">
        <v>8.8800000000000008</v>
      </c>
      <c r="N562">
        <v>1.33</v>
      </c>
    </row>
    <row r="563" spans="1:14">
      <c r="A563" s="2" t="s">
        <v>591</v>
      </c>
      <c r="B563" t="s">
        <v>4385</v>
      </c>
      <c r="C563">
        <v>-8.9600000000000009</v>
      </c>
      <c r="D563">
        <v>-1.51</v>
      </c>
      <c r="E563">
        <v>0.69</v>
      </c>
      <c r="F563">
        <v>-2.15</v>
      </c>
      <c r="G563">
        <v>20.309999999999999</v>
      </c>
      <c r="H563">
        <v>8.86</v>
      </c>
      <c r="I563">
        <v>-1.34</v>
      </c>
      <c r="J563">
        <v>-12.21</v>
      </c>
      <c r="K563">
        <v>-2.5299999999999998</v>
      </c>
      <c r="L563">
        <v>2.0099999999999998</v>
      </c>
      <c r="M563">
        <v>-9.61</v>
      </c>
      <c r="N563">
        <v>13.9</v>
      </c>
    </row>
    <row r="564" spans="1:14">
      <c r="A564" s="2" t="s">
        <v>592</v>
      </c>
      <c r="B564" t="s">
        <v>4386</v>
      </c>
      <c r="C564">
        <v>4.0999999999999996</v>
      </c>
      <c r="D564">
        <v>-2.27</v>
      </c>
      <c r="E564">
        <v>-1.73</v>
      </c>
      <c r="F564">
        <v>0.16</v>
      </c>
      <c r="G564">
        <v>1.88</v>
      </c>
      <c r="I564">
        <v>13.23</v>
      </c>
      <c r="J564">
        <v>-8.33</v>
      </c>
      <c r="K564">
        <v>7.7</v>
      </c>
      <c r="L564">
        <v>-11.43</v>
      </c>
      <c r="M564">
        <v>-26.39</v>
      </c>
    </row>
    <row r="565" spans="1:14">
      <c r="A565" s="2" t="s">
        <v>593</v>
      </c>
      <c r="B565" t="s">
        <v>4387</v>
      </c>
      <c r="C565">
        <v>16.989999999999998</v>
      </c>
      <c r="D565">
        <v>2.64</v>
      </c>
      <c r="E565">
        <v>10.62</v>
      </c>
      <c r="F565">
        <v>1.89</v>
      </c>
      <c r="G565">
        <v>-15.57</v>
      </c>
      <c r="I565">
        <v>-9.0299999999999994</v>
      </c>
      <c r="J565">
        <v>-11.78</v>
      </c>
      <c r="K565">
        <v>-28.27</v>
      </c>
      <c r="L565">
        <v>-24.09</v>
      </c>
      <c r="M565">
        <v>-29.39</v>
      </c>
    </row>
    <row r="566" spans="1:14">
      <c r="A566" s="2" t="s">
        <v>594</v>
      </c>
      <c r="B566" t="s">
        <v>4388</v>
      </c>
      <c r="C566">
        <v>1.33</v>
      </c>
      <c r="D566">
        <v>-3.02</v>
      </c>
      <c r="E566">
        <v>2.5299999999999998</v>
      </c>
      <c r="F566">
        <v>-1.82</v>
      </c>
      <c r="G566">
        <v>3.93</v>
      </c>
      <c r="I566">
        <v>1.74</v>
      </c>
      <c r="J566">
        <v>1.56</v>
      </c>
      <c r="K566">
        <v>4.49</v>
      </c>
      <c r="L566">
        <v>3.48</v>
      </c>
      <c r="M566">
        <v>4.71</v>
      </c>
    </row>
    <row r="567" spans="1:14">
      <c r="A567" s="2" t="s">
        <v>595</v>
      </c>
      <c r="B567" t="s">
        <v>4389</v>
      </c>
      <c r="C567">
        <v>4.4800000000000004</v>
      </c>
      <c r="D567">
        <v>21.03</v>
      </c>
      <c r="E567">
        <v>-14.86</v>
      </c>
      <c r="F567">
        <v>-5.22</v>
      </c>
      <c r="G567">
        <v>5.17</v>
      </c>
      <c r="H567">
        <v>13.54</v>
      </c>
      <c r="I567">
        <v>-17.59</v>
      </c>
      <c r="J567">
        <v>7.73</v>
      </c>
      <c r="K567">
        <v>-11.21</v>
      </c>
      <c r="L567">
        <v>-15.24</v>
      </c>
      <c r="M567">
        <v>-13.31</v>
      </c>
      <c r="N567">
        <v>-16.05</v>
      </c>
    </row>
    <row r="568" spans="1:14">
      <c r="A568" s="2" t="s">
        <v>596</v>
      </c>
      <c r="B568" t="s">
        <v>4390</v>
      </c>
      <c r="C568">
        <v>9.24</v>
      </c>
      <c r="D568">
        <v>64.739999999999995</v>
      </c>
      <c r="E568">
        <v>-44.43</v>
      </c>
      <c r="F568">
        <v>-3.1</v>
      </c>
      <c r="G568">
        <v>-17.440000000000001</v>
      </c>
      <c r="H568">
        <v>14.41</v>
      </c>
      <c r="I568">
        <v>-22.97</v>
      </c>
      <c r="J568">
        <v>37.03</v>
      </c>
      <c r="K568">
        <v>-16.329999999999998</v>
      </c>
      <c r="L568">
        <v>-25.6</v>
      </c>
      <c r="M568">
        <v>-67.06</v>
      </c>
      <c r="N568">
        <v>-41.47</v>
      </c>
    </row>
    <row r="569" spans="1:14">
      <c r="A569" s="2" t="s">
        <v>597</v>
      </c>
      <c r="B569" t="s">
        <v>4391</v>
      </c>
      <c r="C569">
        <v>3.06</v>
      </c>
      <c r="D569">
        <v>-10.59</v>
      </c>
      <c r="E569">
        <v>82.62</v>
      </c>
      <c r="F569">
        <v>11.59</v>
      </c>
      <c r="G569">
        <v>-21.13</v>
      </c>
      <c r="H569">
        <v>17.13</v>
      </c>
      <c r="I569">
        <v>3.23</v>
      </c>
      <c r="J569">
        <v>-3.36</v>
      </c>
      <c r="K569">
        <v>7.77</v>
      </c>
      <c r="L569">
        <v>4.76</v>
      </c>
      <c r="M569">
        <v>-13.5</v>
      </c>
      <c r="N569">
        <v>-22.85</v>
      </c>
    </row>
    <row r="570" spans="1:14">
      <c r="A570" s="2" t="s">
        <v>598</v>
      </c>
      <c r="B570" t="s">
        <v>4392</v>
      </c>
      <c r="C570">
        <v>-33.51</v>
      </c>
      <c r="D570">
        <v>2.5099999999999998</v>
      </c>
      <c r="E570">
        <v>8.3000000000000007</v>
      </c>
      <c r="F570">
        <v>-6.19</v>
      </c>
      <c r="G570">
        <v>1051.01</v>
      </c>
      <c r="I570">
        <v>-61.84</v>
      </c>
      <c r="J570">
        <v>-25.36</v>
      </c>
      <c r="K570">
        <v>-26.27</v>
      </c>
      <c r="L570">
        <v>-15.04</v>
      </c>
      <c r="M570">
        <v>1093.94</v>
      </c>
    </row>
    <row r="571" spans="1:14">
      <c r="A571" s="2" t="s">
        <v>599</v>
      </c>
      <c r="B571" t="s">
        <v>4393</v>
      </c>
      <c r="C571">
        <v>-34.99</v>
      </c>
      <c r="D571">
        <v>33.369999999999997</v>
      </c>
      <c r="E571">
        <v>9.64</v>
      </c>
      <c r="F571">
        <v>88.93</v>
      </c>
      <c r="G571">
        <v>8.11</v>
      </c>
      <c r="I571">
        <v>-90.87</v>
      </c>
      <c r="J571">
        <v>-53.54</v>
      </c>
      <c r="K571">
        <v>-47.27</v>
      </c>
      <c r="L571">
        <v>140</v>
      </c>
      <c r="M571">
        <v>237.83</v>
      </c>
    </row>
    <row r="572" spans="1:14">
      <c r="A572" s="2" t="s">
        <v>600</v>
      </c>
      <c r="B572" t="s">
        <v>4394</v>
      </c>
      <c r="C572">
        <v>4.91</v>
      </c>
      <c r="D572">
        <v>-5.4</v>
      </c>
      <c r="E572">
        <v>5.61</v>
      </c>
      <c r="F572">
        <v>-3.04</v>
      </c>
      <c r="G572">
        <v>23.36</v>
      </c>
      <c r="I572">
        <v>3.79</v>
      </c>
      <c r="J572">
        <v>3.41</v>
      </c>
      <c r="K572">
        <v>2.72</v>
      </c>
      <c r="L572">
        <v>-5.36</v>
      </c>
      <c r="M572">
        <v>2.2000000000000002</v>
      </c>
    </row>
    <row r="573" spans="1:14">
      <c r="A573" s="2" t="s">
        <v>601</v>
      </c>
      <c r="B573" t="s">
        <v>4395</v>
      </c>
      <c r="C573">
        <v>32.44</v>
      </c>
      <c r="D573">
        <v>-17.22</v>
      </c>
      <c r="E573">
        <v>65.569999999999993</v>
      </c>
      <c r="F573">
        <v>-17.45</v>
      </c>
      <c r="G573">
        <v>8.36</v>
      </c>
      <c r="H573">
        <v>-25.95</v>
      </c>
      <c r="I573">
        <v>-13.24</v>
      </c>
      <c r="J573">
        <v>-21.16</v>
      </c>
      <c r="K573">
        <v>-23.74</v>
      </c>
      <c r="L573">
        <v>-38.6</v>
      </c>
      <c r="M573">
        <v>-31.76</v>
      </c>
      <c r="N573">
        <v>-6.93</v>
      </c>
    </row>
    <row r="574" spans="1:14">
      <c r="A574" s="2" t="s">
        <v>602</v>
      </c>
      <c r="B574" t="s">
        <v>4396</v>
      </c>
      <c r="C574">
        <v>4.8899999999999997</v>
      </c>
      <c r="D574">
        <v>-12.4</v>
      </c>
      <c r="E574">
        <v>49.46</v>
      </c>
      <c r="F574">
        <v>12.03</v>
      </c>
      <c r="G574">
        <v>11.24</v>
      </c>
      <c r="H574">
        <v>-26.05</v>
      </c>
      <c r="I574">
        <v>15.91</v>
      </c>
      <c r="J574">
        <v>8.3800000000000008</v>
      </c>
      <c r="K574">
        <v>9.74</v>
      </c>
      <c r="L574">
        <v>6.71</v>
      </c>
      <c r="M574">
        <v>13.26</v>
      </c>
      <c r="N574">
        <v>-0.77</v>
      </c>
    </row>
    <row r="575" spans="1:14">
      <c r="A575" s="2" t="s">
        <v>603</v>
      </c>
      <c r="B575" t="s">
        <v>4397</v>
      </c>
      <c r="C575">
        <v>316.27</v>
      </c>
      <c r="D575">
        <v>-6.61</v>
      </c>
      <c r="E575">
        <v>34.29</v>
      </c>
      <c r="F575">
        <v>-45.67</v>
      </c>
      <c r="G575">
        <v>7.31</v>
      </c>
      <c r="I575">
        <v>28.62</v>
      </c>
      <c r="J575">
        <v>14.75</v>
      </c>
      <c r="K575">
        <v>4.1399999999999997</v>
      </c>
      <c r="L575">
        <v>-52.47</v>
      </c>
      <c r="M575">
        <v>-40.380000000000003</v>
      </c>
    </row>
    <row r="576" spans="1:14">
      <c r="A576" s="2" t="s">
        <v>604</v>
      </c>
      <c r="B576" t="s">
        <v>4398</v>
      </c>
      <c r="C576">
        <v>15.86</v>
      </c>
      <c r="D576">
        <v>-29.24</v>
      </c>
      <c r="E576">
        <v>4.5</v>
      </c>
      <c r="F576">
        <v>16.86</v>
      </c>
      <c r="G576">
        <v>0.65</v>
      </c>
      <c r="H576">
        <v>5.94</v>
      </c>
      <c r="I576">
        <v>34.99</v>
      </c>
      <c r="J576">
        <v>-1.73</v>
      </c>
      <c r="K576">
        <v>8.44</v>
      </c>
      <c r="L576">
        <v>9.8000000000000007</v>
      </c>
      <c r="M576">
        <v>-10.41</v>
      </c>
      <c r="N576">
        <v>-28.91</v>
      </c>
    </row>
    <row r="577" spans="1:14">
      <c r="A577" s="2" t="s">
        <v>605</v>
      </c>
      <c r="B577" t="s">
        <v>4399</v>
      </c>
      <c r="C577">
        <v>4.5599999999999996</v>
      </c>
      <c r="D577">
        <v>-5.17</v>
      </c>
      <c r="E577">
        <v>2.15</v>
      </c>
      <c r="F577">
        <v>-2.74</v>
      </c>
      <c r="G577">
        <v>3.79</v>
      </c>
      <c r="I577">
        <v>5.13</v>
      </c>
      <c r="J577">
        <v>1.66</v>
      </c>
      <c r="K577">
        <v>-0.57999999999999996</v>
      </c>
      <c r="L577">
        <v>6.12</v>
      </c>
      <c r="M577">
        <v>5.93</v>
      </c>
    </row>
    <row r="578" spans="1:14">
      <c r="A578" s="2" t="s">
        <v>606</v>
      </c>
      <c r="B578" t="s">
        <v>4400</v>
      </c>
      <c r="C578">
        <v>3.34</v>
      </c>
      <c r="D578">
        <v>-7.71</v>
      </c>
      <c r="E578">
        <v>6.11</v>
      </c>
      <c r="F578">
        <v>-3.06</v>
      </c>
      <c r="G578">
        <v>2.59</v>
      </c>
      <c r="H578">
        <v>5.98</v>
      </c>
      <c r="I578">
        <v>7.93</v>
      </c>
      <c r="J578">
        <v>3.26</v>
      </c>
      <c r="K578">
        <v>7.96</v>
      </c>
      <c r="L578">
        <v>2</v>
      </c>
      <c r="M578">
        <v>0.92</v>
      </c>
      <c r="N578">
        <v>3.48</v>
      </c>
    </row>
    <row r="579" spans="1:14">
      <c r="A579" s="2" t="s">
        <v>607</v>
      </c>
      <c r="B579" t="s">
        <v>4401</v>
      </c>
      <c r="C579">
        <v>-2.25</v>
      </c>
      <c r="D579">
        <v>-11.75</v>
      </c>
      <c r="E579">
        <v>18.75</v>
      </c>
      <c r="F579">
        <v>-18.72</v>
      </c>
      <c r="G579">
        <v>-1.46</v>
      </c>
      <c r="I579">
        <v>0.51</v>
      </c>
      <c r="J579">
        <v>-5.47</v>
      </c>
      <c r="K579">
        <v>5.13</v>
      </c>
      <c r="L579">
        <v>-6.14</v>
      </c>
      <c r="M579">
        <v>-12.26</v>
      </c>
    </row>
    <row r="580" spans="1:14">
      <c r="A580" s="2" t="s">
        <v>608</v>
      </c>
      <c r="B580" t="s">
        <v>4402</v>
      </c>
      <c r="C580">
        <v>11.59</v>
      </c>
      <c r="D580">
        <v>5.3</v>
      </c>
      <c r="E580">
        <v>4.04</v>
      </c>
      <c r="F580">
        <v>73.33</v>
      </c>
      <c r="G580">
        <v>-42.2</v>
      </c>
      <c r="H580">
        <v>-11.91</v>
      </c>
      <c r="I580">
        <v>22.44</v>
      </c>
      <c r="J580">
        <v>28.49</v>
      </c>
      <c r="K580">
        <v>28.34</v>
      </c>
      <c r="L580">
        <v>15.34</v>
      </c>
      <c r="M580">
        <v>16.07</v>
      </c>
      <c r="N580">
        <v>25.11</v>
      </c>
    </row>
    <row r="581" spans="1:14">
      <c r="A581" s="2" t="s">
        <v>609</v>
      </c>
      <c r="B581" t="s">
        <v>4403</v>
      </c>
      <c r="C581">
        <v>3.59</v>
      </c>
      <c r="D581">
        <v>-9.17</v>
      </c>
      <c r="E581">
        <v>-26.38</v>
      </c>
      <c r="F581">
        <v>24.93</v>
      </c>
      <c r="G581">
        <v>-21.19</v>
      </c>
      <c r="H581">
        <v>61.11</v>
      </c>
      <c r="I581">
        <v>54.8</v>
      </c>
      <c r="J581">
        <v>63.02</v>
      </c>
      <c r="K581">
        <v>30.73</v>
      </c>
      <c r="L581">
        <v>60.15</v>
      </c>
      <c r="M581">
        <v>-6.29</v>
      </c>
      <c r="N581">
        <v>52.12</v>
      </c>
    </row>
    <row r="582" spans="1:14">
      <c r="A582" s="2" t="s">
        <v>610</v>
      </c>
      <c r="B582" t="s">
        <v>4404</v>
      </c>
      <c r="C582">
        <v>0.96</v>
      </c>
      <c r="D582">
        <v>2.67</v>
      </c>
      <c r="E582">
        <v>6.52</v>
      </c>
      <c r="F582">
        <v>-7.3</v>
      </c>
      <c r="G582">
        <v>27.57</v>
      </c>
      <c r="I582">
        <v>-14.41</v>
      </c>
      <c r="J582">
        <v>-7.08</v>
      </c>
      <c r="K582">
        <v>-6.92</v>
      </c>
      <c r="L582">
        <v>-6.01</v>
      </c>
      <c r="M582">
        <v>7.59</v>
      </c>
    </row>
    <row r="583" spans="1:14">
      <c r="A583" s="2" t="s">
        <v>611</v>
      </c>
      <c r="B583" t="s">
        <v>4405</v>
      </c>
      <c r="C583">
        <v>0.4</v>
      </c>
      <c r="D583">
        <v>5.64</v>
      </c>
      <c r="E583">
        <v>5.25</v>
      </c>
      <c r="F583">
        <v>4.28</v>
      </c>
      <c r="G583">
        <v>7.84</v>
      </c>
      <c r="H583">
        <v>-3.94</v>
      </c>
      <c r="I583">
        <v>16.23</v>
      </c>
      <c r="J583">
        <v>20.59</v>
      </c>
      <c r="K583">
        <v>25.47</v>
      </c>
      <c r="L583">
        <v>22.94</v>
      </c>
      <c r="M583">
        <v>19.61</v>
      </c>
      <c r="N583">
        <v>35.19</v>
      </c>
    </row>
    <row r="584" spans="1:14">
      <c r="A584" s="2" t="s">
        <v>612</v>
      </c>
      <c r="B584" t="s">
        <v>4406</v>
      </c>
      <c r="C584">
        <v>4.54</v>
      </c>
      <c r="D584">
        <v>4.0199999999999996</v>
      </c>
      <c r="E584">
        <v>-1.6</v>
      </c>
      <c r="F584">
        <v>8.4499999999999993</v>
      </c>
      <c r="G584">
        <v>-7.32</v>
      </c>
      <c r="H584">
        <v>-4.9800000000000004</v>
      </c>
      <c r="I584">
        <v>9.3000000000000007</v>
      </c>
      <c r="J584">
        <v>9.4600000000000009</v>
      </c>
      <c r="K584">
        <v>10.94</v>
      </c>
      <c r="L584">
        <v>15.6</v>
      </c>
      <c r="M584">
        <v>10.63</v>
      </c>
      <c r="N584">
        <v>1.08</v>
      </c>
    </row>
    <row r="585" spans="1:14">
      <c r="A585" s="2" t="s">
        <v>613</v>
      </c>
      <c r="B585" t="s">
        <v>4407</v>
      </c>
      <c r="C585">
        <v>-2.35</v>
      </c>
      <c r="D585">
        <v>16.73</v>
      </c>
      <c r="E585">
        <v>-5.61</v>
      </c>
      <c r="F585">
        <v>13.45</v>
      </c>
      <c r="G585">
        <v>54.94</v>
      </c>
      <c r="H585">
        <v>-1.1299999999999999</v>
      </c>
      <c r="I585">
        <v>-2.27</v>
      </c>
      <c r="J585">
        <v>5.96</v>
      </c>
      <c r="K585">
        <v>7.69</v>
      </c>
      <c r="L585">
        <v>45.38</v>
      </c>
      <c r="M585">
        <v>107.86</v>
      </c>
      <c r="N585">
        <v>129.41999999999999</v>
      </c>
    </row>
    <row r="586" spans="1:14">
      <c r="A586" s="2" t="s">
        <v>614</v>
      </c>
      <c r="B586" t="s">
        <v>4408</v>
      </c>
      <c r="C586">
        <v>10.25</v>
      </c>
      <c r="D586">
        <v>4.4800000000000004</v>
      </c>
      <c r="E586">
        <v>0.41</v>
      </c>
      <c r="F586">
        <v>-15.3</v>
      </c>
      <c r="G586">
        <v>5.92</v>
      </c>
      <c r="H586">
        <v>-2.1</v>
      </c>
      <c r="I586">
        <v>-14.82</v>
      </c>
      <c r="J586">
        <v>-4.43</v>
      </c>
      <c r="K586">
        <v>-4.54</v>
      </c>
      <c r="L586">
        <v>-11.84</v>
      </c>
      <c r="M586">
        <v>-0.34</v>
      </c>
      <c r="N586">
        <v>11.1</v>
      </c>
    </row>
    <row r="587" spans="1:14">
      <c r="A587" s="2" t="s">
        <v>615</v>
      </c>
      <c r="B587" t="s">
        <v>4409</v>
      </c>
      <c r="C587">
        <v>-0.57999999999999996</v>
      </c>
      <c r="D587">
        <v>-1.24</v>
      </c>
      <c r="E587">
        <v>-0.33</v>
      </c>
      <c r="F587">
        <v>11.18</v>
      </c>
      <c r="G587">
        <v>-6.61</v>
      </c>
      <c r="H587">
        <v>15.09</v>
      </c>
      <c r="I587">
        <v>-11.61</v>
      </c>
      <c r="J587">
        <v>-6.42</v>
      </c>
      <c r="K587">
        <v>-3.84</v>
      </c>
      <c r="L587">
        <v>-1.88</v>
      </c>
      <c r="M587">
        <v>3.21</v>
      </c>
      <c r="N587">
        <v>8.42</v>
      </c>
    </row>
    <row r="588" spans="1:14">
      <c r="A588" s="2" t="s">
        <v>616</v>
      </c>
      <c r="B588" t="s">
        <v>4410</v>
      </c>
      <c r="C588">
        <v>-5.9</v>
      </c>
      <c r="D588">
        <v>16.53</v>
      </c>
      <c r="E588">
        <v>-14.07</v>
      </c>
      <c r="F588">
        <v>13.4</v>
      </c>
      <c r="G588">
        <v>-10.28</v>
      </c>
      <c r="I588">
        <v>-57.97</v>
      </c>
      <c r="J588">
        <v>-46.06</v>
      </c>
      <c r="K588">
        <v>-42.9</v>
      </c>
      <c r="L588">
        <v>-39.630000000000003</v>
      </c>
      <c r="M588">
        <v>-37.65</v>
      </c>
    </row>
    <row r="589" spans="1:14">
      <c r="A589" s="2" t="s">
        <v>617</v>
      </c>
      <c r="B589" t="s">
        <v>4411</v>
      </c>
      <c r="C589">
        <v>29.41</v>
      </c>
      <c r="D589">
        <v>26.77</v>
      </c>
      <c r="E589">
        <v>-20.32</v>
      </c>
      <c r="F589">
        <v>27</v>
      </c>
      <c r="G589">
        <v>14.96</v>
      </c>
      <c r="H589">
        <v>3.2</v>
      </c>
      <c r="I589">
        <v>0.94</v>
      </c>
      <c r="J589">
        <v>23.99</v>
      </c>
      <c r="K589">
        <v>5.41</v>
      </c>
      <c r="L589">
        <v>22.6</v>
      </c>
      <c r="M589">
        <v>12.06</v>
      </c>
      <c r="N589">
        <v>49.92</v>
      </c>
    </row>
    <row r="590" spans="1:14">
      <c r="A590" s="2" t="s">
        <v>618</v>
      </c>
      <c r="B590" t="s">
        <v>4412</v>
      </c>
      <c r="C590">
        <v>1.35</v>
      </c>
      <c r="D590">
        <v>1.06</v>
      </c>
      <c r="E590">
        <v>-15.67</v>
      </c>
      <c r="F590">
        <v>2.23</v>
      </c>
      <c r="G590">
        <v>-8.91</v>
      </c>
      <c r="H590">
        <v>51.39</v>
      </c>
      <c r="I590">
        <v>-9.0500000000000007</v>
      </c>
      <c r="J590">
        <v>-5.24</v>
      </c>
      <c r="K590">
        <v>-13.95</v>
      </c>
      <c r="L590">
        <v>-8.14</v>
      </c>
      <c r="M590">
        <v>-0.85</v>
      </c>
      <c r="N590">
        <v>7.02</v>
      </c>
    </row>
    <row r="591" spans="1:14">
      <c r="A591" s="2" t="s">
        <v>619</v>
      </c>
      <c r="B591" t="s">
        <v>4413</v>
      </c>
      <c r="C591">
        <v>-10.41</v>
      </c>
      <c r="D591">
        <v>14.66</v>
      </c>
      <c r="E591">
        <v>-20.34</v>
      </c>
      <c r="F591">
        <v>-3.4</v>
      </c>
      <c r="G591">
        <v>-2.4300000000000002</v>
      </c>
      <c r="H591">
        <v>33.69</v>
      </c>
      <c r="I591">
        <v>-3.42</v>
      </c>
      <c r="J591">
        <v>17.649999999999999</v>
      </c>
      <c r="K591">
        <v>4.62</v>
      </c>
      <c r="L591">
        <v>2.79</v>
      </c>
      <c r="M591">
        <v>-9.48</v>
      </c>
      <c r="N591">
        <v>23.12</v>
      </c>
    </row>
    <row r="592" spans="1:14">
      <c r="A592" s="2" t="s">
        <v>620</v>
      </c>
      <c r="B592" t="s">
        <v>4414</v>
      </c>
      <c r="C592">
        <v>0.88</v>
      </c>
      <c r="D592">
        <v>4.5599999999999996</v>
      </c>
      <c r="E592">
        <v>3.16</v>
      </c>
      <c r="F592">
        <v>7.58</v>
      </c>
      <c r="G592">
        <v>-7.21</v>
      </c>
      <c r="H592">
        <v>-0.03</v>
      </c>
      <c r="I592">
        <v>-8.86</v>
      </c>
      <c r="J592">
        <v>-4.32</v>
      </c>
      <c r="K592">
        <v>1.1399999999999999</v>
      </c>
      <c r="L592">
        <v>9.18</v>
      </c>
      <c r="M592">
        <v>18.79</v>
      </c>
      <c r="N592">
        <v>18.77</v>
      </c>
    </row>
    <row r="593" spans="1:14">
      <c r="A593" s="2" t="s">
        <v>621</v>
      </c>
      <c r="B593" t="s">
        <v>4415</v>
      </c>
      <c r="C593">
        <v>6.86</v>
      </c>
      <c r="D593">
        <v>14.9</v>
      </c>
      <c r="E593">
        <v>13.43</v>
      </c>
      <c r="F593">
        <v>5.66</v>
      </c>
      <c r="G593">
        <v>-19.8</v>
      </c>
      <c r="H593">
        <v>21.96</v>
      </c>
      <c r="I593">
        <v>91.76</v>
      </c>
      <c r="J593">
        <v>128.35</v>
      </c>
      <c r="K593">
        <v>132.33000000000001</v>
      </c>
      <c r="L593">
        <v>141.69</v>
      </c>
      <c r="M593">
        <v>110.24</v>
      </c>
      <c r="N593">
        <v>150.01</v>
      </c>
    </row>
    <row r="594" spans="1:14">
      <c r="A594" s="2" t="s">
        <v>622</v>
      </c>
      <c r="B594" t="s">
        <v>4416</v>
      </c>
      <c r="C594">
        <v>-65.73</v>
      </c>
      <c r="D594">
        <v>243.05</v>
      </c>
      <c r="E594">
        <v>-64.56</v>
      </c>
      <c r="F594">
        <v>-24.79</v>
      </c>
      <c r="G594">
        <v>70.040000000000006</v>
      </c>
      <c r="H594">
        <v>-58.19</v>
      </c>
      <c r="I594">
        <v>-81.03</v>
      </c>
      <c r="J594">
        <v>-63.5</v>
      </c>
      <c r="K594">
        <v>-71.25</v>
      </c>
      <c r="L594">
        <v>-83.24</v>
      </c>
      <c r="M594">
        <v>-54.58</v>
      </c>
      <c r="N594">
        <v>-81.98</v>
      </c>
    </row>
    <row r="595" spans="1:14">
      <c r="A595" s="2" t="s">
        <v>623</v>
      </c>
      <c r="B595" t="s">
        <v>4417</v>
      </c>
      <c r="C595">
        <v>14.78</v>
      </c>
      <c r="D595">
        <v>2.83</v>
      </c>
      <c r="E595">
        <v>-7.15</v>
      </c>
      <c r="F595">
        <v>6.77</v>
      </c>
      <c r="G595">
        <v>-16.29</v>
      </c>
      <c r="H595">
        <v>8</v>
      </c>
      <c r="I595">
        <v>2.04</v>
      </c>
      <c r="J595">
        <v>16.079999999999998</v>
      </c>
      <c r="K595">
        <v>14.14</v>
      </c>
      <c r="L595">
        <v>19.260000000000002</v>
      </c>
      <c r="M595">
        <v>-1.87</v>
      </c>
      <c r="N595">
        <v>24.45</v>
      </c>
    </row>
    <row r="596" spans="1:14">
      <c r="A596" s="2" t="s">
        <v>624</v>
      </c>
      <c r="B596" t="s">
        <v>4418</v>
      </c>
      <c r="C596">
        <v>18.64</v>
      </c>
      <c r="D596">
        <v>-4.5599999999999996</v>
      </c>
      <c r="E596">
        <v>-15.55</v>
      </c>
      <c r="F596">
        <v>27.78</v>
      </c>
      <c r="G596">
        <v>0.23</v>
      </c>
      <c r="H596">
        <v>-22.23</v>
      </c>
      <c r="I596">
        <v>-14.19</v>
      </c>
      <c r="J596">
        <v>-1.01</v>
      </c>
      <c r="K596">
        <v>-9.5500000000000007</v>
      </c>
      <c r="L596">
        <v>14.71</v>
      </c>
      <c r="M596">
        <v>34.86</v>
      </c>
      <c r="N596">
        <v>9.2100000000000009</v>
      </c>
    </row>
    <row r="597" spans="1:14">
      <c r="A597" s="2" t="s">
        <v>625</v>
      </c>
      <c r="B597" t="s">
        <v>4419</v>
      </c>
      <c r="C597">
        <v>-25.58</v>
      </c>
      <c r="D597">
        <v>16.88</v>
      </c>
      <c r="E597">
        <v>-2.76</v>
      </c>
      <c r="F597">
        <v>-14.51</v>
      </c>
      <c r="G597">
        <v>54.48</v>
      </c>
      <c r="H597">
        <v>-29.91</v>
      </c>
      <c r="I597">
        <v>-35.29</v>
      </c>
      <c r="J597">
        <v>-12.72</v>
      </c>
      <c r="K597">
        <v>-3.57</v>
      </c>
      <c r="L597">
        <v>-26.74</v>
      </c>
      <c r="M597">
        <v>16.86</v>
      </c>
      <c r="N597">
        <v>-13.2</v>
      </c>
    </row>
    <row r="598" spans="1:14">
      <c r="A598" s="2" t="s">
        <v>626</v>
      </c>
      <c r="B598" t="s">
        <v>4420</v>
      </c>
      <c r="C598">
        <v>0.85</v>
      </c>
      <c r="D598">
        <v>7.74</v>
      </c>
      <c r="E598">
        <v>-3.79</v>
      </c>
      <c r="F598">
        <v>-0.65</v>
      </c>
      <c r="G598">
        <v>3.13</v>
      </c>
      <c r="H598">
        <v>6.74</v>
      </c>
      <c r="I598">
        <v>-11.92</v>
      </c>
      <c r="J598">
        <v>-6.65</v>
      </c>
      <c r="K598">
        <v>-8.51</v>
      </c>
      <c r="L598">
        <v>-11.46</v>
      </c>
      <c r="M598">
        <v>-0.88</v>
      </c>
      <c r="N598">
        <v>1.74</v>
      </c>
    </row>
    <row r="599" spans="1:14">
      <c r="A599" s="2" t="s">
        <v>627</v>
      </c>
      <c r="B599" t="s">
        <v>4421</v>
      </c>
      <c r="C599">
        <v>12.13</v>
      </c>
      <c r="D599">
        <v>-50.5</v>
      </c>
      <c r="E599">
        <v>108.24</v>
      </c>
      <c r="F599">
        <v>-49.73</v>
      </c>
      <c r="G599">
        <v>-24.94</v>
      </c>
      <c r="H599">
        <v>55.75</v>
      </c>
      <c r="I599">
        <v>2.48</v>
      </c>
      <c r="J599">
        <v>-32.72</v>
      </c>
      <c r="K599">
        <v>-54.74</v>
      </c>
      <c r="L599">
        <v>-80.98</v>
      </c>
      <c r="M599">
        <v>-91.96</v>
      </c>
      <c r="N599">
        <v>-48.53</v>
      </c>
    </row>
    <row r="600" spans="1:14">
      <c r="A600" s="2" t="s">
        <v>628</v>
      </c>
      <c r="B600" t="s">
        <v>4422</v>
      </c>
      <c r="C600">
        <v>10.82</v>
      </c>
      <c r="D600">
        <v>200.53</v>
      </c>
      <c r="E600">
        <v>-37.729999999999997</v>
      </c>
      <c r="F600">
        <v>19.579999999999998</v>
      </c>
      <c r="G600">
        <v>138.5</v>
      </c>
      <c r="H600">
        <v>-77.34</v>
      </c>
      <c r="I600">
        <v>-55.31</v>
      </c>
      <c r="J600">
        <v>17.18</v>
      </c>
      <c r="K600">
        <v>50.12</v>
      </c>
      <c r="L600">
        <v>41.45</v>
      </c>
      <c r="M600">
        <v>176.17</v>
      </c>
      <c r="N600">
        <v>-9.8000000000000007</v>
      </c>
    </row>
    <row r="601" spans="1:14">
      <c r="A601" s="2" t="s">
        <v>629</v>
      </c>
      <c r="B601" t="s">
        <v>4423</v>
      </c>
      <c r="C601">
        <v>-1.32</v>
      </c>
      <c r="D601">
        <v>14.89</v>
      </c>
      <c r="E601">
        <v>-13.53</v>
      </c>
      <c r="F601">
        <v>3.21</v>
      </c>
      <c r="G601">
        <v>2.5</v>
      </c>
      <c r="H601">
        <v>15.33</v>
      </c>
      <c r="I601">
        <v>-1.4</v>
      </c>
      <c r="J601">
        <v>12.05</v>
      </c>
      <c r="K601">
        <v>-0.59</v>
      </c>
      <c r="L601">
        <v>1.1499999999999999</v>
      </c>
      <c r="M601">
        <v>11.35</v>
      </c>
      <c r="N601">
        <v>22.34</v>
      </c>
    </row>
    <row r="602" spans="1:14">
      <c r="A602" s="2" t="s">
        <v>630</v>
      </c>
      <c r="B602" t="s">
        <v>4424</v>
      </c>
      <c r="C602">
        <v>-30</v>
      </c>
      <c r="D602">
        <v>37.72</v>
      </c>
      <c r="E602">
        <v>14.28</v>
      </c>
      <c r="F602">
        <v>-45.9</v>
      </c>
      <c r="G602">
        <v>-5.52</v>
      </c>
      <c r="H602">
        <v>26.08</v>
      </c>
      <c r="I602">
        <v>-50.28</v>
      </c>
      <c r="J602">
        <v>-11.18</v>
      </c>
      <c r="K602">
        <v>1.66</v>
      </c>
      <c r="L602">
        <v>-47.9</v>
      </c>
      <c r="M602">
        <v>-55.84</v>
      </c>
      <c r="N602">
        <v>-49.2</v>
      </c>
    </row>
    <row r="603" spans="1:14">
      <c r="A603" s="2" t="s">
        <v>631</v>
      </c>
      <c r="B603" t="s">
        <v>4425</v>
      </c>
      <c r="C603">
        <v>6.28</v>
      </c>
      <c r="D603">
        <v>13.97</v>
      </c>
      <c r="E603">
        <v>-4.09</v>
      </c>
      <c r="F603">
        <v>-6.43</v>
      </c>
      <c r="G603">
        <v>-2.87</v>
      </c>
      <c r="H603">
        <v>79.22</v>
      </c>
      <c r="I603">
        <v>11.11</v>
      </c>
      <c r="J603">
        <v>23.06</v>
      </c>
      <c r="K603">
        <v>36.590000000000003</v>
      </c>
      <c r="L603">
        <v>23.68</v>
      </c>
      <c r="M603">
        <v>25.31</v>
      </c>
      <c r="N603">
        <v>108.55</v>
      </c>
    </row>
    <row r="604" spans="1:14">
      <c r="A604" s="2" t="s">
        <v>632</v>
      </c>
      <c r="B604" t="s">
        <v>4426</v>
      </c>
      <c r="C604">
        <v>18.55</v>
      </c>
      <c r="D604">
        <v>-17.2</v>
      </c>
      <c r="E604">
        <v>2.54</v>
      </c>
      <c r="F604">
        <v>-11.71</v>
      </c>
      <c r="G604">
        <v>-7.31</v>
      </c>
      <c r="H604">
        <v>67.94</v>
      </c>
      <c r="I604">
        <v>41.21</v>
      </c>
      <c r="J604">
        <v>11.39</v>
      </c>
      <c r="K604">
        <v>20.94</v>
      </c>
      <c r="L604">
        <v>1.87</v>
      </c>
      <c r="M604">
        <v>-2.35</v>
      </c>
      <c r="N604">
        <v>31.5</v>
      </c>
    </row>
    <row r="605" spans="1:14">
      <c r="A605" s="2" t="s">
        <v>633</v>
      </c>
      <c r="B605" t="s">
        <v>4427</v>
      </c>
      <c r="C605">
        <v>1.1200000000000001</v>
      </c>
      <c r="D605">
        <v>-25.48</v>
      </c>
      <c r="E605">
        <v>-4.3899999999999997</v>
      </c>
      <c r="F605">
        <v>50.84</v>
      </c>
      <c r="G605">
        <v>-10.23</v>
      </c>
      <c r="H605">
        <v>22.47</v>
      </c>
      <c r="I605">
        <v>42.74</v>
      </c>
      <c r="J605">
        <v>1.01</v>
      </c>
      <c r="K605">
        <v>4.6100000000000003</v>
      </c>
      <c r="L605">
        <v>82.19</v>
      </c>
      <c r="M605">
        <v>37.44</v>
      </c>
      <c r="N605">
        <v>38.53</v>
      </c>
    </row>
    <row r="606" spans="1:14">
      <c r="A606" s="2" t="s">
        <v>634</v>
      </c>
      <c r="B606" t="s">
        <v>4428</v>
      </c>
      <c r="C606">
        <v>8.49</v>
      </c>
      <c r="D606">
        <v>30.25</v>
      </c>
      <c r="E606">
        <v>-28.66</v>
      </c>
      <c r="F606">
        <v>19.53</v>
      </c>
      <c r="G606">
        <v>10.75</v>
      </c>
      <c r="H606">
        <v>-5.12</v>
      </c>
      <c r="I606">
        <v>6.35</v>
      </c>
      <c r="J606">
        <v>37.5</v>
      </c>
      <c r="K606">
        <v>26.39</v>
      </c>
      <c r="L606">
        <v>10.61</v>
      </c>
      <c r="M606">
        <v>3.48</v>
      </c>
      <c r="N606">
        <v>31.36</v>
      </c>
    </row>
    <row r="607" spans="1:14">
      <c r="A607" s="2" t="s">
        <v>635</v>
      </c>
      <c r="B607" t="s">
        <v>4429</v>
      </c>
      <c r="C607">
        <v>-4.1500000000000004</v>
      </c>
      <c r="D607">
        <v>-9.74</v>
      </c>
      <c r="E607">
        <v>6.21</v>
      </c>
      <c r="F607">
        <v>1.05</v>
      </c>
      <c r="G607">
        <v>-8.57</v>
      </c>
      <c r="H607">
        <v>22.2</v>
      </c>
      <c r="I607">
        <v>95.55</v>
      </c>
      <c r="J607">
        <v>67.760000000000005</v>
      </c>
      <c r="K607">
        <v>81.83</v>
      </c>
      <c r="L607">
        <v>47.31</v>
      </c>
      <c r="M607">
        <v>49</v>
      </c>
      <c r="N607">
        <v>41.57</v>
      </c>
    </row>
    <row r="608" spans="1:14">
      <c r="A608" s="2" t="s">
        <v>636</v>
      </c>
      <c r="B608" t="s">
        <v>4430</v>
      </c>
      <c r="C608">
        <v>-2.17</v>
      </c>
      <c r="D608">
        <v>32.770000000000003</v>
      </c>
      <c r="E608">
        <v>-16.45</v>
      </c>
      <c r="F608">
        <v>11.32</v>
      </c>
      <c r="G608">
        <v>-2.1800000000000002</v>
      </c>
      <c r="H608">
        <v>23.17</v>
      </c>
      <c r="I608">
        <v>4.93</v>
      </c>
      <c r="J608">
        <v>14.51</v>
      </c>
      <c r="K608">
        <v>19.18</v>
      </c>
      <c r="L608">
        <v>29.5</v>
      </c>
      <c r="M608">
        <v>-2.95</v>
      </c>
      <c r="N608">
        <v>59.01</v>
      </c>
    </row>
    <row r="609" spans="1:14">
      <c r="A609" s="2" t="s">
        <v>637</v>
      </c>
      <c r="B609" t="s">
        <v>4431</v>
      </c>
      <c r="C609">
        <v>0.67</v>
      </c>
      <c r="D609">
        <v>1.26</v>
      </c>
      <c r="E609">
        <v>-4.83</v>
      </c>
      <c r="F609">
        <v>-3.3</v>
      </c>
      <c r="G609">
        <v>-3.92</v>
      </c>
      <c r="H609">
        <v>4.07</v>
      </c>
      <c r="I609">
        <v>-15.55</v>
      </c>
      <c r="J609">
        <v>-7.18</v>
      </c>
      <c r="K609">
        <v>-7.55</v>
      </c>
      <c r="L609">
        <v>-7.23</v>
      </c>
      <c r="M609">
        <v>-14.16</v>
      </c>
      <c r="N609">
        <v>-10.18</v>
      </c>
    </row>
    <row r="610" spans="1:14">
      <c r="A610" s="2" t="s">
        <v>638</v>
      </c>
      <c r="B610" t="s">
        <v>4432</v>
      </c>
      <c r="C610">
        <v>-5.64</v>
      </c>
      <c r="D610">
        <v>49.05</v>
      </c>
      <c r="E610">
        <v>-38.64</v>
      </c>
      <c r="F610">
        <v>21.93</v>
      </c>
      <c r="G610">
        <v>-5.75</v>
      </c>
      <c r="H610">
        <v>-18.04</v>
      </c>
      <c r="I610">
        <v>-6.97</v>
      </c>
      <c r="J610">
        <v>44.07</v>
      </c>
      <c r="K610">
        <v>-10.37</v>
      </c>
      <c r="L610">
        <v>10.4</v>
      </c>
      <c r="M610">
        <v>-13.09</v>
      </c>
      <c r="N610">
        <v>-29.79</v>
      </c>
    </row>
    <row r="611" spans="1:14">
      <c r="A611" s="2" t="s">
        <v>639</v>
      </c>
      <c r="B611" t="s">
        <v>4433</v>
      </c>
      <c r="C611">
        <v>6.59</v>
      </c>
      <c r="D611">
        <v>34.83</v>
      </c>
      <c r="E611">
        <v>-5.97</v>
      </c>
      <c r="F611">
        <v>-8.1199999999999992</v>
      </c>
      <c r="G611">
        <v>-15.41</v>
      </c>
      <c r="H611">
        <v>98.49</v>
      </c>
      <c r="I611">
        <v>22.74</v>
      </c>
      <c r="J611">
        <v>59.67</v>
      </c>
      <c r="K611">
        <v>28.69</v>
      </c>
      <c r="L611">
        <v>72.849999999999994</v>
      </c>
      <c r="M611">
        <v>2.91</v>
      </c>
      <c r="N611">
        <v>151.66999999999999</v>
      </c>
    </row>
    <row r="612" spans="1:14">
      <c r="A612" s="2" t="s">
        <v>640</v>
      </c>
      <c r="B612" t="s">
        <v>4434</v>
      </c>
      <c r="C612">
        <v>0.4</v>
      </c>
      <c r="D612">
        <v>-0.27</v>
      </c>
      <c r="E612">
        <v>0.01</v>
      </c>
      <c r="F612">
        <v>1.89</v>
      </c>
      <c r="G612">
        <v>2.4300000000000002</v>
      </c>
      <c r="H612">
        <v>7.99</v>
      </c>
      <c r="I612">
        <v>4.93</v>
      </c>
      <c r="J612">
        <v>4.51</v>
      </c>
      <c r="K612">
        <v>8.08</v>
      </c>
      <c r="L612">
        <v>20.43</v>
      </c>
      <c r="M612">
        <v>26.88</v>
      </c>
      <c r="N612">
        <v>34.479999999999997</v>
      </c>
    </row>
    <row r="613" spans="1:14">
      <c r="A613" s="2" t="s">
        <v>641</v>
      </c>
      <c r="B613" t="s">
        <v>4435</v>
      </c>
      <c r="C613">
        <v>4.8600000000000003</v>
      </c>
      <c r="D613">
        <v>-16.670000000000002</v>
      </c>
      <c r="E613">
        <v>5.52</v>
      </c>
      <c r="F613">
        <v>-12.27</v>
      </c>
      <c r="G613">
        <v>6.25</v>
      </c>
      <c r="H613">
        <v>15.24</v>
      </c>
      <c r="I613">
        <v>-8.11</v>
      </c>
      <c r="J613">
        <v>-16.68</v>
      </c>
      <c r="K613">
        <v>-15.25</v>
      </c>
      <c r="L613">
        <v>-24.9</v>
      </c>
      <c r="M613">
        <v>-19.37</v>
      </c>
      <c r="N613">
        <v>-6.27</v>
      </c>
    </row>
    <row r="614" spans="1:14">
      <c r="A614" s="2" t="s">
        <v>642</v>
      </c>
      <c r="B614" t="s">
        <v>4436</v>
      </c>
      <c r="C614">
        <v>0.18</v>
      </c>
      <c r="D614">
        <v>14.97</v>
      </c>
      <c r="E614">
        <v>-4.38</v>
      </c>
      <c r="F614">
        <v>30.65</v>
      </c>
      <c r="G614">
        <v>-17.920000000000002</v>
      </c>
      <c r="H614">
        <v>-10.67</v>
      </c>
      <c r="I614">
        <v>-24.99</v>
      </c>
      <c r="J614">
        <v>-13.51</v>
      </c>
      <c r="K614">
        <v>-6.42</v>
      </c>
      <c r="L614">
        <v>-5.41</v>
      </c>
      <c r="M614">
        <v>-2.33</v>
      </c>
      <c r="N614">
        <v>1.4</v>
      </c>
    </row>
    <row r="615" spans="1:14">
      <c r="A615" s="2" t="s">
        <v>643</v>
      </c>
      <c r="B615" t="s">
        <v>4437</v>
      </c>
      <c r="C615">
        <v>42.67</v>
      </c>
      <c r="D615">
        <v>240.62</v>
      </c>
      <c r="E615">
        <v>-56.2</v>
      </c>
      <c r="F615">
        <v>-23.49</v>
      </c>
      <c r="G615">
        <v>232.18</v>
      </c>
      <c r="I615">
        <v>-52.33</v>
      </c>
      <c r="J615">
        <v>73.12</v>
      </c>
      <c r="K615">
        <v>-22.67</v>
      </c>
      <c r="L615">
        <v>-42.76</v>
      </c>
      <c r="M615">
        <v>132.75</v>
      </c>
    </row>
    <row r="616" spans="1:14">
      <c r="A616" s="2" t="s">
        <v>644</v>
      </c>
      <c r="B616" t="s">
        <v>4438</v>
      </c>
      <c r="C616">
        <v>3.12</v>
      </c>
      <c r="D616">
        <v>7.79</v>
      </c>
      <c r="E616">
        <v>-8.7799999999999994</v>
      </c>
      <c r="F616">
        <v>4.1900000000000004</v>
      </c>
      <c r="G616">
        <v>-12.75</v>
      </c>
      <c r="H616">
        <v>18.809999999999999</v>
      </c>
      <c r="I616">
        <v>-4.92</v>
      </c>
      <c r="J616">
        <v>-4.99</v>
      </c>
      <c r="K616">
        <v>-3.25</v>
      </c>
      <c r="L616">
        <v>4.24</v>
      </c>
      <c r="M616">
        <v>-1.29</v>
      </c>
      <c r="N616">
        <v>6.57</v>
      </c>
    </row>
    <row r="617" spans="1:14">
      <c r="A617" s="2" t="s">
        <v>645</v>
      </c>
      <c r="B617" t="s">
        <v>4439</v>
      </c>
      <c r="C617">
        <v>-29.37</v>
      </c>
      <c r="D617">
        <v>1.9</v>
      </c>
      <c r="E617">
        <v>57.28</v>
      </c>
      <c r="F617">
        <v>-29.09</v>
      </c>
      <c r="G617">
        <v>-10.98</v>
      </c>
      <c r="H617">
        <v>-1.21</v>
      </c>
      <c r="I617">
        <v>-41.71</v>
      </c>
      <c r="J617">
        <v>-20.3</v>
      </c>
      <c r="K617">
        <v>-4.3899999999999997</v>
      </c>
      <c r="L617">
        <v>-37.39</v>
      </c>
      <c r="M617">
        <v>-45.73</v>
      </c>
      <c r="N617">
        <v>-49.17</v>
      </c>
    </row>
    <row r="618" spans="1:14">
      <c r="A618" s="2" t="s">
        <v>646</v>
      </c>
      <c r="B618" t="s">
        <v>4440</v>
      </c>
      <c r="C618">
        <v>-1.52</v>
      </c>
      <c r="D618">
        <v>12.27</v>
      </c>
      <c r="E618">
        <v>-9.9700000000000006</v>
      </c>
      <c r="F618">
        <v>2.17</v>
      </c>
      <c r="G618">
        <v>-0.43</v>
      </c>
      <c r="H618">
        <v>21.97</v>
      </c>
      <c r="I618">
        <v>4.0199999999999996</v>
      </c>
      <c r="J618">
        <v>18.38</v>
      </c>
      <c r="K618">
        <v>11.44</v>
      </c>
      <c r="L618">
        <v>10.34</v>
      </c>
      <c r="M618">
        <v>12.28</v>
      </c>
      <c r="N618">
        <v>30.98</v>
      </c>
    </row>
    <row r="619" spans="1:14">
      <c r="A619" s="2" t="s">
        <v>647</v>
      </c>
      <c r="B619" t="s">
        <v>4441</v>
      </c>
      <c r="C619">
        <v>2.4900000000000002</v>
      </c>
      <c r="D619">
        <v>2.0099999999999998</v>
      </c>
      <c r="E619">
        <v>-0.98</v>
      </c>
      <c r="F619">
        <v>47.92</v>
      </c>
      <c r="G619">
        <v>-21.91</v>
      </c>
      <c r="I619">
        <v>-2.21</v>
      </c>
      <c r="J619">
        <v>-0.84</v>
      </c>
      <c r="K619">
        <v>-1.91</v>
      </c>
      <c r="L619">
        <v>0.2</v>
      </c>
      <c r="M619">
        <v>5.2</v>
      </c>
    </row>
    <row r="620" spans="1:14">
      <c r="A620" s="2" t="s">
        <v>648</v>
      </c>
      <c r="B620" t="s">
        <v>4442</v>
      </c>
      <c r="C620">
        <v>-0.75</v>
      </c>
      <c r="D620">
        <v>19.16</v>
      </c>
      <c r="E620">
        <v>-23.77</v>
      </c>
      <c r="F620">
        <v>6.68</v>
      </c>
      <c r="G620">
        <v>30.42</v>
      </c>
      <c r="H620">
        <v>-25.48</v>
      </c>
      <c r="I620">
        <v>-22.49</v>
      </c>
      <c r="J620">
        <v>31.39</v>
      </c>
      <c r="K620">
        <v>39.29</v>
      </c>
      <c r="L620">
        <v>100.4</v>
      </c>
      <c r="M620">
        <v>68.5</v>
      </c>
      <c r="N620">
        <v>15.46</v>
      </c>
    </row>
    <row r="621" spans="1:14">
      <c r="A621" s="2" t="s">
        <v>649</v>
      </c>
      <c r="B621" t="s">
        <v>4443</v>
      </c>
      <c r="C621">
        <v>-16.77</v>
      </c>
      <c r="D621">
        <v>5.66</v>
      </c>
      <c r="E621">
        <v>-4.1100000000000003</v>
      </c>
      <c r="F621">
        <v>-1.84</v>
      </c>
      <c r="G621">
        <v>19.13</v>
      </c>
      <c r="H621">
        <v>10.15</v>
      </c>
      <c r="I621">
        <v>-70.930000000000007</v>
      </c>
      <c r="J621">
        <v>-62.68</v>
      </c>
      <c r="K621">
        <v>-65.44</v>
      </c>
      <c r="L621">
        <v>-53.94</v>
      </c>
      <c r="M621">
        <v>-47.34</v>
      </c>
      <c r="N621">
        <v>-20.52</v>
      </c>
    </row>
    <row r="622" spans="1:14">
      <c r="A622" s="2" t="s">
        <v>650</v>
      </c>
      <c r="B622" t="s">
        <v>4444</v>
      </c>
      <c r="C622">
        <v>1.35</v>
      </c>
      <c r="D622">
        <v>18.02</v>
      </c>
      <c r="E622">
        <v>2.25</v>
      </c>
      <c r="F622">
        <v>-3.66</v>
      </c>
      <c r="G622">
        <v>-4.7</v>
      </c>
      <c r="H622">
        <v>14.67</v>
      </c>
      <c r="I622">
        <v>-9.9600000000000009</v>
      </c>
      <c r="J622">
        <v>-5.76</v>
      </c>
      <c r="K622">
        <v>-9.94</v>
      </c>
      <c r="L622">
        <v>-2.98</v>
      </c>
      <c r="M622">
        <v>-3.95</v>
      </c>
      <c r="N622">
        <v>13.51</v>
      </c>
    </row>
    <row r="623" spans="1:14">
      <c r="A623" s="2" t="s">
        <v>651</v>
      </c>
      <c r="B623" t="s">
        <v>4445</v>
      </c>
      <c r="C623">
        <v>4.3899999999999997</v>
      </c>
      <c r="D623">
        <v>8.44</v>
      </c>
      <c r="E623">
        <v>40.840000000000003</v>
      </c>
      <c r="F623">
        <v>-8.49</v>
      </c>
      <c r="G623">
        <v>-4.9800000000000004</v>
      </c>
      <c r="H623">
        <v>8.58</v>
      </c>
      <c r="I623">
        <v>-27.61</v>
      </c>
      <c r="J623">
        <v>-18.559999999999999</v>
      </c>
      <c r="K623">
        <v>13.81</v>
      </c>
      <c r="L623">
        <v>-1.62</v>
      </c>
      <c r="M623">
        <v>13.9</v>
      </c>
      <c r="N623">
        <v>51.19</v>
      </c>
    </row>
    <row r="624" spans="1:14">
      <c r="A624" s="2" t="s">
        <v>652</v>
      </c>
      <c r="B624" t="s">
        <v>4446</v>
      </c>
      <c r="C624">
        <v>14.02</v>
      </c>
      <c r="D624">
        <v>5.85</v>
      </c>
      <c r="E624">
        <v>-10.199999999999999</v>
      </c>
      <c r="F624">
        <v>-9.92</v>
      </c>
      <c r="G624">
        <v>30.3</v>
      </c>
      <c r="H624">
        <v>-20.309999999999999</v>
      </c>
      <c r="I624">
        <v>-1.38</v>
      </c>
      <c r="J624">
        <v>4.4000000000000004</v>
      </c>
      <c r="K624">
        <v>6.6</v>
      </c>
      <c r="L624">
        <v>-16.559999999999999</v>
      </c>
      <c r="M624">
        <v>27.37</v>
      </c>
      <c r="N624">
        <v>3.86</v>
      </c>
    </row>
    <row r="625" spans="1:14">
      <c r="A625" s="2" t="s">
        <v>653</v>
      </c>
      <c r="B625" t="s">
        <v>4447</v>
      </c>
      <c r="C625">
        <v>-5.73</v>
      </c>
      <c r="D625">
        <v>4.5</v>
      </c>
      <c r="E625">
        <v>18.649999999999999</v>
      </c>
      <c r="F625">
        <v>0.06</v>
      </c>
      <c r="G625">
        <v>-2.59</v>
      </c>
      <c r="H625">
        <v>-23.2</v>
      </c>
      <c r="I625">
        <v>-13.11</v>
      </c>
      <c r="J625">
        <v>-16.05</v>
      </c>
      <c r="K625">
        <v>-0.23</v>
      </c>
      <c r="L625">
        <v>-10.06</v>
      </c>
      <c r="M625">
        <v>-18.489999999999998</v>
      </c>
      <c r="N625">
        <v>-1.1599999999999999</v>
      </c>
    </row>
    <row r="626" spans="1:14">
      <c r="A626" s="2" t="s">
        <v>654</v>
      </c>
      <c r="B626" t="s">
        <v>4448</v>
      </c>
      <c r="C626">
        <v>-15.55</v>
      </c>
      <c r="D626">
        <v>-27.77</v>
      </c>
      <c r="E626">
        <v>3.68</v>
      </c>
      <c r="F626">
        <v>34.659999999999997</v>
      </c>
      <c r="G626">
        <v>31.34</v>
      </c>
      <c r="H626">
        <v>2.4700000000000002</v>
      </c>
      <c r="I626">
        <v>28.75</v>
      </c>
      <c r="J626">
        <v>-4.79</v>
      </c>
      <c r="K626">
        <v>17.57</v>
      </c>
      <c r="L626">
        <v>37.68</v>
      </c>
      <c r="M626">
        <v>14.07</v>
      </c>
      <c r="N626">
        <v>37.82</v>
      </c>
    </row>
    <row r="627" spans="1:14">
      <c r="A627" s="2" t="s">
        <v>655</v>
      </c>
      <c r="B627" t="s">
        <v>4449</v>
      </c>
      <c r="C627">
        <v>15.38</v>
      </c>
      <c r="D627">
        <v>-43.87</v>
      </c>
      <c r="E627">
        <v>-43.76</v>
      </c>
      <c r="F627">
        <v>22.11</v>
      </c>
      <c r="G627">
        <v>10.69</v>
      </c>
      <c r="H627">
        <v>48.51</v>
      </c>
      <c r="I627">
        <v>186.52</v>
      </c>
      <c r="J627">
        <v>8.2899999999999991</v>
      </c>
      <c r="K627">
        <v>75.38</v>
      </c>
      <c r="L627">
        <v>134.97999999999999</v>
      </c>
      <c r="M627">
        <v>-9.58</v>
      </c>
      <c r="N627">
        <v>121.86</v>
      </c>
    </row>
    <row r="628" spans="1:14">
      <c r="A628" s="2" t="s">
        <v>656</v>
      </c>
      <c r="B628" t="s">
        <v>4450</v>
      </c>
      <c r="C628">
        <v>49.81</v>
      </c>
      <c r="D628">
        <v>164.06</v>
      </c>
      <c r="E628">
        <v>-79.03</v>
      </c>
      <c r="F628">
        <v>33.68</v>
      </c>
      <c r="G628">
        <v>247.27</v>
      </c>
      <c r="H628">
        <v>-17.350000000000001</v>
      </c>
      <c r="I628">
        <v>-41.98</v>
      </c>
      <c r="J628">
        <v>-26.89</v>
      </c>
      <c r="K628">
        <v>-40.32</v>
      </c>
      <c r="L628">
        <v>59.33</v>
      </c>
      <c r="M628">
        <v>87.38</v>
      </c>
      <c r="N628">
        <v>44.39</v>
      </c>
    </row>
    <row r="629" spans="1:14">
      <c r="A629" s="2" t="s">
        <v>657</v>
      </c>
      <c r="B629" t="s">
        <v>4451</v>
      </c>
      <c r="C629">
        <v>6.48</v>
      </c>
      <c r="D629">
        <v>18.52</v>
      </c>
      <c r="E629">
        <v>77.849999999999994</v>
      </c>
      <c r="F629">
        <v>-52.24</v>
      </c>
      <c r="G629">
        <v>54.51</v>
      </c>
      <c r="H629">
        <v>18.91</v>
      </c>
      <c r="I629">
        <v>7.5</v>
      </c>
      <c r="J629">
        <v>57.13</v>
      </c>
      <c r="K629">
        <v>-97.1</v>
      </c>
      <c r="L629">
        <v>-98.71</v>
      </c>
      <c r="M629">
        <v>-97.11</v>
      </c>
      <c r="N629">
        <v>49.92</v>
      </c>
    </row>
    <row r="630" spans="1:14">
      <c r="A630" s="2" t="s">
        <v>658</v>
      </c>
      <c r="B630" t="s">
        <v>4452</v>
      </c>
      <c r="C630">
        <v>-8.5399999999999991</v>
      </c>
      <c r="D630">
        <v>-18.59</v>
      </c>
      <c r="E630">
        <v>77.16</v>
      </c>
      <c r="F630">
        <v>10.57</v>
      </c>
      <c r="G630">
        <v>-50.53</v>
      </c>
      <c r="H630">
        <v>54.57</v>
      </c>
      <c r="I630">
        <v>6.55</v>
      </c>
      <c r="J630">
        <v>-36.33</v>
      </c>
      <c r="K630">
        <v>81.02</v>
      </c>
      <c r="L630">
        <v>44.9</v>
      </c>
      <c r="M630">
        <v>-51.89</v>
      </c>
      <c r="N630">
        <v>15.72</v>
      </c>
    </row>
    <row r="631" spans="1:14">
      <c r="A631" s="2" t="s">
        <v>659</v>
      </c>
      <c r="B631" t="s">
        <v>4453</v>
      </c>
      <c r="C631">
        <v>1.29</v>
      </c>
      <c r="D631">
        <v>20.27</v>
      </c>
      <c r="E631">
        <v>0.88</v>
      </c>
      <c r="F631">
        <v>-8.18</v>
      </c>
      <c r="G631">
        <v>-16.62</v>
      </c>
      <c r="H631">
        <v>42.82</v>
      </c>
      <c r="I631">
        <v>-5.71</v>
      </c>
      <c r="J631">
        <v>10.01</v>
      </c>
      <c r="K631">
        <v>14.4</v>
      </c>
      <c r="L631">
        <v>8.82</v>
      </c>
      <c r="M631">
        <v>-13.14</v>
      </c>
      <c r="N631">
        <v>14.5</v>
      </c>
    </row>
    <row r="632" spans="1:14">
      <c r="A632" s="2" t="s">
        <v>660</v>
      </c>
      <c r="B632" t="s">
        <v>4454</v>
      </c>
      <c r="C632">
        <v>3.32</v>
      </c>
      <c r="D632">
        <v>14.37</v>
      </c>
      <c r="E632">
        <v>-13.32</v>
      </c>
      <c r="F632">
        <v>-5.15</v>
      </c>
      <c r="G632">
        <v>-11.2</v>
      </c>
      <c r="H632">
        <v>3.26</v>
      </c>
      <c r="I632">
        <v>26.5</v>
      </c>
      <c r="J632">
        <v>38.909999999999997</v>
      </c>
      <c r="K632">
        <v>19.989999999999998</v>
      </c>
      <c r="L632">
        <v>11.69</v>
      </c>
      <c r="M632">
        <v>-7.24</v>
      </c>
      <c r="N632">
        <v>22.51</v>
      </c>
    </row>
    <row r="633" spans="1:14">
      <c r="A633" s="2" t="s">
        <v>661</v>
      </c>
      <c r="B633" t="s">
        <v>4455</v>
      </c>
      <c r="C633">
        <v>2.12</v>
      </c>
      <c r="D633">
        <v>-22.24</v>
      </c>
      <c r="E633">
        <v>57.07</v>
      </c>
      <c r="F633">
        <v>7.83</v>
      </c>
      <c r="G633">
        <v>-0.12</v>
      </c>
      <c r="H633">
        <v>6.7</v>
      </c>
      <c r="I633">
        <v>-6.35</v>
      </c>
      <c r="J633">
        <v>-31.13</v>
      </c>
      <c r="K633">
        <v>33.14</v>
      </c>
      <c r="L633">
        <v>27.69</v>
      </c>
      <c r="M633">
        <v>2.99</v>
      </c>
      <c r="N633">
        <v>35.32</v>
      </c>
    </row>
    <row r="634" spans="1:14">
      <c r="A634" s="2" t="s">
        <v>662</v>
      </c>
      <c r="B634" t="s">
        <v>4456</v>
      </c>
      <c r="C634">
        <v>-26.36</v>
      </c>
      <c r="D634">
        <v>63.07</v>
      </c>
      <c r="E634">
        <v>-7.97</v>
      </c>
      <c r="F634">
        <v>-9.74</v>
      </c>
      <c r="G634">
        <v>20.34</v>
      </c>
      <c r="H634">
        <v>24.98</v>
      </c>
      <c r="I634">
        <v>-26.71</v>
      </c>
      <c r="J634">
        <v>47.15</v>
      </c>
      <c r="K634">
        <v>65.41</v>
      </c>
      <c r="L634">
        <v>-17.05</v>
      </c>
      <c r="M634">
        <v>-11.52</v>
      </c>
      <c r="N634">
        <v>67.97</v>
      </c>
    </row>
    <row r="635" spans="1:14">
      <c r="A635" s="2" t="s">
        <v>663</v>
      </c>
      <c r="B635" t="s">
        <v>4457</v>
      </c>
      <c r="C635">
        <v>0.67</v>
      </c>
      <c r="D635">
        <v>2.13</v>
      </c>
      <c r="E635">
        <v>6.71</v>
      </c>
      <c r="F635">
        <v>-6.66</v>
      </c>
      <c r="G635">
        <v>0.37</v>
      </c>
      <c r="I635">
        <v>-20.97</v>
      </c>
      <c r="J635">
        <v>-72.84</v>
      </c>
      <c r="K635">
        <v>-30.79</v>
      </c>
      <c r="L635">
        <v>1.34</v>
      </c>
      <c r="M635">
        <v>-7.52</v>
      </c>
    </row>
    <row r="636" spans="1:14">
      <c r="A636" s="2" t="s">
        <v>664</v>
      </c>
      <c r="B636" t="s">
        <v>4458</v>
      </c>
      <c r="C636">
        <v>-71.2</v>
      </c>
      <c r="D636">
        <v>10.029999999999999</v>
      </c>
      <c r="E636">
        <v>0.5</v>
      </c>
      <c r="F636">
        <v>-4.7300000000000004</v>
      </c>
      <c r="G636">
        <v>4.2300000000000004</v>
      </c>
      <c r="H636">
        <v>65.319999999999993</v>
      </c>
      <c r="I636">
        <v>-14.64</v>
      </c>
      <c r="J636">
        <v>-16.03</v>
      </c>
      <c r="K636">
        <v>-9.52</v>
      </c>
      <c r="L636">
        <v>-5.93</v>
      </c>
      <c r="M636">
        <v>28.83</v>
      </c>
      <c r="N636">
        <v>45.2</v>
      </c>
    </row>
    <row r="637" spans="1:14">
      <c r="A637" s="2" t="s">
        <v>665</v>
      </c>
      <c r="B637" t="s">
        <v>4459</v>
      </c>
      <c r="C637">
        <v>-58.52</v>
      </c>
      <c r="D637">
        <v>250.37</v>
      </c>
      <c r="E637">
        <v>-36.18</v>
      </c>
      <c r="F637">
        <v>-34.21</v>
      </c>
      <c r="G637">
        <v>56.95</v>
      </c>
      <c r="H637">
        <v>15.32</v>
      </c>
      <c r="I637">
        <v>214.4</v>
      </c>
      <c r="J637">
        <v>1838.91</v>
      </c>
      <c r="K637">
        <v>559.71</v>
      </c>
      <c r="L637">
        <v>65.88</v>
      </c>
      <c r="M637">
        <v>62.46</v>
      </c>
      <c r="N637">
        <v>-12</v>
      </c>
    </row>
    <row r="638" spans="1:14">
      <c r="A638" s="2" t="s">
        <v>666</v>
      </c>
      <c r="B638" t="s">
        <v>4460</v>
      </c>
      <c r="C638">
        <v>-1.49</v>
      </c>
      <c r="D638">
        <v>7.37</v>
      </c>
      <c r="E638">
        <v>-6.27</v>
      </c>
      <c r="F638">
        <v>19.43</v>
      </c>
      <c r="G638">
        <v>2.15</v>
      </c>
      <c r="H638">
        <v>7.26</v>
      </c>
      <c r="I638">
        <v>-14.49</v>
      </c>
      <c r="J638">
        <v>-11.94</v>
      </c>
      <c r="K638">
        <v>-8.56</v>
      </c>
      <c r="L638">
        <v>3.83</v>
      </c>
      <c r="M638">
        <v>12.96</v>
      </c>
      <c r="N638">
        <v>25.52</v>
      </c>
    </row>
    <row r="639" spans="1:14">
      <c r="A639" s="2" t="s">
        <v>667</v>
      </c>
      <c r="B639" t="s">
        <v>4461</v>
      </c>
      <c r="C639">
        <v>406.4</v>
      </c>
      <c r="D639">
        <v>-78.06</v>
      </c>
      <c r="E639">
        <v>44.54</v>
      </c>
      <c r="F639">
        <v>3.75</v>
      </c>
      <c r="G639">
        <v>68.16</v>
      </c>
      <c r="H639">
        <v>267.22000000000003</v>
      </c>
      <c r="I639">
        <v>504.42</v>
      </c>
      <c r="J639">
        <v>44.75</v>
      </c>
      <c r="K639">
        <v>145.02000000000001</v>
      </c>
      <c r="L639">
        <v>-62.42</v>
      </c>
      <c r="M639">
        <v>364.21</v>
      </c>
      <c r="N639">
        <v>1048.46</v>
      </c>
    </row>
    <row r="640" spans="1:14">
      <c r="A640" s="2" t="s">
        <v>668</v>
      </c>
      <c r="B640" t="s">
        <v>4462</v>
      </c>
      <c r="C640">
        <v>-11.69</v>
      </c>
      <c r="D640">
        <v>-23.38</v>
      </c>
      <c r="E640">
        <v>1.1200000000000001</v>
      </c>
      <c r="F640">
        <v>-4.16</v>
      </c>
      <c r="G640">
        <v>-10.42</v>
      </c>
      <c r="H640">
        <v>48.87</v>
      </c>
      <c r="I640">
        <v>1.6</v>
      </c>
      <c r="J640">
        <v>-6.01</v>
      </c>
      <c r="K640">
        <v>-7.13</v>
      </c>
      <c r="L640">
        <v>-8.5399999999999991</v>
      </c>
      <c r="M640">
        <v>-45.28</v>
      </c>
      <c r="N640">
        <v>-16.850000000000001</v>
      </c>
    </row>
    <row r="641" spans="1:14">
      <c r="A641" s="2" t="s">
        <v>669</v>
      </c>
      <c r="B641" t="s">
        <v>4463</v>
      </c>
      <c r="C641">
        <v>2.23</v>
      </c>
      <c r="D641">
        <v>0.53</v>
      </c>
      <c r="E641">
        <v>8.16</v>
      </c>
      <c r="F641">
        <v>4.37</v>
      </c>
      <c r="G641">
        <v>9.69</v>
      </c>
      <c r="H641">
        <v>17.39</v>
      </c>
      <c r="I641">
        <v>72.69</v>
      </c>
      <c r="J641">
        <v>68.58</v>
      </c>
      <c r="K641">
        <v>75.819999999999993</v>
      </c>
      <c r="L641">
        <v>147.01</v>
      </c>
      <c r="M641">
        <v>158.93</v>
      </c>
      <c r="N641">
        <v>122.78</v>
      </c>
    </row>
    <row r="642" spans="1:14">
      <c r="A642" s="2" t="s">
        <v>670</v>
      </c>
      <c r="B642" t="s">
        <v>4464</v>
      </c>
      <c r="C642">
        <v>-4.54</v>
      </c>
      <c r="D642">
        <v>11.62</v>
      </c>
      <c r="E642">
        <v>7.78</v>
      </c>
      <c r="F642">
        <v>-29.97</v>
      </c>
      <c r="G642">
        <v>38.79</v>
      </c>
      <c r="H642">
        <v>-26.06</v>
      </c>
      <c r="I642">
        <v>30.26</v>
      </c>
      <c r="J642">
        <v>35.549999999999997</v>
      </c>
      <c r="K642">
        <v>54.77</v>
      </c>
      <c r="L642">
        <v>23.4</v>
      </c>
      <c r="M642">
        <v>60</v>
      </c>
      <c r="N642">
        <v>-16.54</v>
      </c>
    </row>
    <row r="643" spans="1:14">
      <c r="A643" s="2" t="s">
        <v>671</v>
      </c>
      <c r="B643" t="s">
        <v>4465</v>
      </c>
      <c r="C643">
        <v>98.4</v>
      </c>
      <c r="D643">
        <v>-60.54</v>
      </c>
      <c r="E643">
        <v>47.84</v>
      </c>
      <c r="F643">
        <v>-2.29</v>
      </c>
      <c r="G643">
        <v>-24.94</v>
      </c>
      <c r="H643">
        <v>0.8</v>
      </c>
      <c r="I643">
        <v>54.31</v>
      </c>
      <c r="J643">
        <v>8.08</v>
      </c>
      <c r="K643">
        <v>53.86</v>
      </c>
      <c r="L643">
        <v>52.45</v>
      </c>
      <c r="M643">
        <v>-35.950000000000003</v>
      </c>
      <c r="N643">
        <v>18.61</v>
      </c>
    </row>
    <row r="644" spans="1:14">
      <c r="A644" s="2" t="s">
        <v>672</v>
      </c>
      <c r="B644" t="s">
        <v>4466</v>
      </c>
      <c r="C644">
        <v>-33.14</v>
      </c>
      <c r="D644">
        <v>5.0199999999999996</v>
      </c>
      <c r="E644">
        <v>-7.32</v>
      </c>
      <c r="F644">
        <v>19.149999999999999</v>
      </c>
      <c r="G644">
        <v>61.87</v>
      </c>
      <c r="I644">
        <v>-22.7</v>
      </c>
      <c r="J644">
        <v>-7.5</v>
      </c>
      <c r="K644">
        <v>1.04</v>
      </c>
      <c r="L644">
        <v>29.2</v>
      </c>
      <c r="M644">
        <v>17.59</v>
      </c>
    </row>
    <row r="645" spans="1:14">
      <c r="A645" s="2" t="s">
        <v>673</v>
      </c>
      <c r="B645" t="s">
        <v>4467</v>
      </c>
      <c r="C645">
        <v>-6.38</v>
      </c>
      <c r="D645">
        <v>22.52</v>
      </c>
      <c r="E645">
        <v>-10.72</v>
      </c>
      <c r="F645">
        <v>9.59</v>
      </c>
      <c r="G645">
        <v>26.8</v>
      </c>
      <c r="H645">
        <v>-24.17</v>
      </c>
      <c r="I645">
        <v>-5.23</v>
      </c>
      <c r="J645">
        <v>-11.3</v>
      </c>
      <c r="K645">
        <v>-7.54</v>
      </c>
      <c r="L645">
        <v>-2.25</v>
      </c>
      <c r="M645">
        <v>19.079999999999998</v>
      </c>
      <c r="N645">
        <v>50.04</v>
      </c>
    </row>
    <row r="646" spans="1:14">
      <c r="A646" s="2" t="s">
        <v>674</v>
      </c>
      <c r="B646" t="s">
        <v>4468</v>
      </c>
      <c r="C646">
        <v>9.8699999999999992</v>
      </c>
      <c r="D646">
        <v>2.16</v>
      </c>
      <c r="E646">
        <v>-3.59</v>
      </c>
      <c r="F646">
        <v>-5.68</v>
      </c>
      <c r="G646">
        <v>-8.74</v>
      </c>
      <c r="H646">
        <v>37.19</v>
      </c>
      <c r="I646">
        <v>22.82</v>
      </c>
      <c r="J646">
        <v>32.799999999999997</v>
      </c>
      <c r="K646">
        <v>18.670000000000002</v>
      </c>
      <c r="L646">
        <v>15.38</v>
      </c>
      <c r="M646">
        <v>30.92</v>
      </c>
      <c r="N646">
        <v>13.06</v>
      </c>
    </row>
    <row r="647" spans="1:14">
      <c r="A647" s="2" t="s">
        <v>675</v>
      </c>
      <c r="B647" t="s">
        <v>4469</v>
      </c>
      <c r="C647">
        <v>2.27</v>
      </c>
      <c r="D647">
        <v>-9.6999999999999993</v>
      </c>
      <c r="E647">
        <v>16.29</v>
      </c>
      <c r="F647">
        <v>-10.96</v>
      </c>
      <c r="G647">
        <v>9.7200000000000006</v>
      </c>
      <c r="H647">
        <v>9.8000000000000007</v>
      </c>
      <c r="I647">
        <v>-26.63</v>
      </c>
      <c r="J647">
        <v>-25.94</v>
      </c>
      <c r="K647">
        <v>0.27</v>
      </c>
      <c r="L647">
        <v>-12.18</v>
      </c>
      <c r="M647">
        <v>-8.49</v>
      </c>
      <c r="N647">
        <v>-7.44</v>
      </c>
    </row>
    <row r="648" spans="1:14">
      <c r="A648" s="2" t="s">
        <v>676</v>
      </c>
      <c r="B648" t="s">
        <v>4470</v>
      </c>
      <c r="C648">
        <v>-64.180000000000007</v>
      </c>
      <c r="D648">
        <v>42.02</v>
      </c>
      <c r="E648">
        <v>-28.77</v>
      </c>
      <c r="F648">
        <v>24.18</v>
      </c>
      <c r="G648">
        <v>-1.0900000000000001</v>
      </c>
      <c r="H648">
        <v>27.66</v>
      </c>
      <c r="I648">
        <v>-14.96</v>
      </c>
      <c r="J648">
        <v>-46.06</v>
      </c>
      <c r="K648">
        <v>-7.81</v>
      </c>
      <c r="L648">
        <v>-34.6</v>
      </c>
      <c r="M648">
        <v>-60.26</v>
      </c>
      <c r="N648">
        <v>90.8</v>
      </c>
    </row>
    <row r="649" spans="1:14">
      <c r="A649" s="2" t="s">
        <v>677</v>
      </c>
      <c r="B649" t="s">
        <v>4471</v>
      </c>
      <c r="C649">
        <v>-3.81</v>
      </c>
      <c r="D649">
        <v>-9.16</v>
      </c>
      <c r="E649">
        <v>-4.5599999999999996</v>
      </c>
      <c r="F649">
        <v>5.9</v>
      </c>
      <c r="G649">
        <v>-4.68</v>
      </c>
      <c r="H649">
        <v>15.62</v>
      </c>
      <c r="I649">
        <v>37.64</v>
      </c>
      <c r="J649">
        <v>-0.57999999999999996</v>
      </c>
      <c r="K649">
        <v>19.829999999999998</v>
      </c>
      <c r="L649">
        <v>9.6</v>
      </c>
      <c r="M649">
        <v>-24.87</v>
      </c>
      <c r="N649">
        <v>-3.39</v>
      </c>
    </row>
    <row r="650" spans="1:14">
      <c r="A650" s="2" t="s">
        <v>678</v>
      </c>
      <c r="B650" t="s">
        <v>4472</v>
      </c>
      <c r="C650">
        <v>-11.98</v>
      </c>
      <c r="D650">
        <v>-0.21</v>
      </c>
      <c r="E650">
        <v>13.02</v>
      </c>
      <c r="F650">
        <v>-7.67</v>
      </c>
      <c r="G650">
        <v>23.51</v>
      </c>
      <c r="H650">
        <v>-17.899999999999999</v>
      </c>
      <c r="I650">
        <v>1.04</v>
      </c>
      <c r="J650">
        <v>-12.23</v>
      </c>
      <c r="K650">
        <v>15.35</v>
      </c>
      <c r="L650">
        <v>8.14</v>
      </c>
      <c r="M650">
        <v>7.33</v>
      </c>
      <c r="N650">
        <v>16.78</v>
      </c>
    </row>
    <row r="651" spans="1:14">
      <c r="A651" s="2" t="s">
        <v>679</v>
      </c>
      <c r="B651" t="s">
        <v>4473</v>
      </c>
      <c r="C651">
        <v>2.89</v>
      </c>
      <c r="D651">
        <v>5.18</v>
      </c>
      <c r="E651">
        <v>-0.1</v>
      </c>
      <c r="F651">
        <v>3.92</v>
      </c>
      <c r="G651">
        <v>-0.38</v>
      </c>
      <c r="H651">
        <v>-9.09</v>
      </c>
      <c r="I651">
        <v>-1.1399999999999999</v>
      </c>
      <c r="J651">
        <v>26.32</v>
      </c>
      <c r="K651">
        <v>27.23</v>
      </c>
      <c r="L651">
        <v>29.6</v>
      </c>
      <c r="M651">
        <v>31.26</v>
      </c>
      <c r="N651">
        <v>24.66</v>
      </c>
    </row>
    <row r="652" spans="1:14">
      <c r="A652" s="2" t="s">
        <v>680</v>
      </c>
      <c r="B652" t="s">
        <v>4474</v>
      </c>
      <c r="C652">
        <v>-7.38</v>
      </c>
      <c r="D652">
        <v>3.63</v>
      </c>
      <c r="E652">
        <v>5.86</v>
      </c>
      <c r="F652">
        <v>-1.76</v>
      </c>
      <c r="G652">
        <v>-3.4</v>
      </c>
      <c r="H652">
        <v>7.68</v>
      </c>
      <c r="I652">
        <v>8.65</v>
      </c>
      <c r="J652">
        <v>8.23</v>
      </c>
      <c r="K652">
        <v>12.52</v>
      </c>
      <c r="L652">
        <v>0.4</v>
      </c>
      <c r="M652">
        <v>-9.02</v>
      </c>
      <c r="N652">
        <v>24.32</v>
      </c>
    </row>
    <row r="653" spans="1:14">
      <c r="A653" s="2" t="s">
        <v>681</v>
      </c>
      <c r="B653" t="s">
        <v>4475</v>
      </c>
      <c r="C653">
        <v>177.68</v>
      </c>
      <c r="D653">
        <v>-2.0099999999999998</v>
      </c>
      <c r="E653">
        <v>-18.77</v>
      </c>
      <c r="F653">
        <v>10.29</v>
      </c>
      <c r="G653">
        <v>-6.51</v>
      </c>
      <c r="H653">
        <v>8.66</v>
      </c>
      <c r="I653">
        <v>75.34</v>
      </c>
      <c r="J653">
        <v>-9.56</v>
      </c>
      <c r="K653">
        <v>5.97</v>
      </c>
      <c r="L653">
        <v>-44.96</v>
      </c>
      <c r="M653">
        <v>-40.200000000000003</v>
      </c>
      <c r="N653">
        <v>-38.29</v>
      </c>
    </row>
    <row r="654" spans="1:14">
      <c r="A654" s="2" t="s">
        <v>682</v>
      </c>
      <c r="B654" t="s">
        <v>4476</v>
      </c>
      <c r="C654">
        <v>9.18</v>
      </c>
      <c r="D654">
        <v>3.5</v>
      </c>
      <c r="E654">
        <v>-28.14</v>
      </c>
      <c r="F654">
        <v>16.79</v>
      </c>
      <c r="G654">
        <v>33.549999999999997</v>
      </c>
      <c r="H654">
        <v>-27.31</v>
      </c>
      <c r="I654">
        <v>3.84</v>
      </c>
      <c r="J654">
        <v>24.02</v>
      </c>
      <c r="K654">
        <v>-22.88</v>
      </c>
      <c r="L654">
        <v>-11.98</v>
      </c>
      <c r="M654">
        <v>8.68</v>
      </c>
      <c r="N654">
        <v>24.15</v>
      </c>
    </row>
    <row r="655" spans="1:14">
      <c r="A655" s="2" t="s">
        <v>683</v>
      </c>
      <c r="B655" t="s">
        <v>4477</v>
      </c>
      <c r="C655">
        <v>-1.58</v>
      </c>
      <c r="D655">
        <v>16.21</v>
      </c>
      <c r="E655">
        <v>-9.98</v>
      </c>
      <c r="F655">
        <v>3.14</v>
      </c>
      <c r="G655">
        <v>-4.8899999999999997</v>
      </c>
      <c r="H655">
        <v>16.39</v>
      </c>
      <c r="I655">
        <v>-17.559999999999999</v>
      </c>
      <c r="J655">
        <v>-9.64</v>
      </c>
      <c r="K655">
        <v>-20.11</v>
      </c>
      <c r="L655">
        <v>-11.15</v>
      </c>
      <c r="M655">
        <v>-21.97</v>
      </c>
      <c r="N655">
        <v>7.42</v>
      </c>
    </row>
    <row r="656" spans="1:14">
      <c r="A656" s="2" t="s">
        <v>684</v>
      </c>
      <c r="B656" t="s">
        <v>4478</v>
      </c>
      <c r="C656">
        <v>3.88</v>
      </c>
      <c r="D656">
        <v>8.0399999999999991</v>
      </c>
      <c r="E656">
        <v>-4.91</v>
      </c>
      <c r="F656">
        <v>-0.09</v>
      </c>
      <c r="G656">
        <v>7.82</v>
      </c>
      <c r="H656">
        <v>-1.53</v>
      </c>
      <c r="I656">
        <v>-13.92</v>
      </c>
      <c r="J656">
        <v>6.17</v>
      </c>
      <c r="K656">
        <v>-10.78</v>
      </c>
      <c r="L656">
        <v>-13.82</v>
      </c>
      <c r="M656">
        <v>-23.67</v>
      </c>
      <c r="N656">
        <v>-11.11</v>
      </c>
    </row>
    <row r="657" spans="1:14">
      <c r="A657" s="2" t="s">
        <v>685</v>
      </c>
      <c r="B657" t="s">
        <v>4479</v>
      </c>
      <c r="C657">
        <v>-5.77</v>
      </c>
      <c r="D657">
        <v>-4.45</v>
      </c>
      <c r="E657">
        <v>2.1800000000000002</v>
      </c>
      <c r="F657">
        <v>-4.04</v>
      </c>
      <c r="G657">
        <v>2.78</v>
      </c>
      <c r="H657">
        <v>-6.63</v>
      </c>
      <c r="I657">
        <v>4.2699999999999996</v>
      </c>
      <c r="J657">
        <v>2.5499999999999998</v>
      </c>
      <c r="K657">
        <v>4.9800000000000004</v>
      </c>
      <c r="L657">
        <v>7.82</v>
      </c>
      <c r="M657">
        <v>8.01</v>
      </c>
      <c r="N657">
        <v>15.88</v>
      </c>
    </row>
    <row r="658" spans="1:14">
      <c r="A658" s="2" t="s">
        <v>686</v>
      </c>
      <c r="B658" t="s">
        <v>4480</v>
      </c>
      <c r="C658">
        <v>-14.63</v>
      </c>
      <c r="D658">
        <v>-2.9</v>
      </c>
      <c r="E658">
        <v>24.99</v>
      </c>
      <c r="F658">
        <v>-1.95</v>
      </c>
      <c r="G658">
        <v>78.12</v>
      </c>
      <c r="H658">
        <v>-47.71</v>
      </c>
      <c r="I658">
        <v>45.32</v>
      </c>
      <c r="J658">
        <v>39.020000000000003</v>
      </c>
      <c r="K658">
        <v>52.58</v>
      </c>
      <c r="L658">
        <v>60.14</v>
      </c>
      <c r="M658">
        <v>105.3</v>
      </c>
      <c r="N658">
        <v>41.97</v>
      </c>
    </row>
    <row r="659" spans="1:14">
      <c r="A659" s="2" t="s">
        <v>687</v>
      </c>
      <c r="B659" t="s">
        <v>4481</v>
      </c>
      <c r="C659">
        <v>-16.309999999999999</v>
      </c>
      <c r="D659">
        <v>46.57</v>
      </c>
      <c r="E659">
        <v>-20.14</v>
      </c>
      <c r="F659">
        <v>18.73</v>
      </c>
      <c r="G659">
        <v>56.42</v>
      </c>
      <c r="H659">
        <v>31.45</v>
      </c>
      <c r="I659">
        <v>22.06</v>
      </c>
      <c r="J659">
        <v>30.68</v>
      </c>
      <c r="K659">
        <v>9.5500000000000007</v>
      </c>
      <c r="L659">
        <v>30.23</v>
      </c>
      <c r="M659">
        <v>119.67</v>
      </c>
      <c r="N659">
        <v>343.86</v>
      </c>
    </row>
    <row r="660" spans="1:14">
      <c r="A660" s="2" t="s">
        <v>688</v>
      </c>
      <c r="B660" t="s">
        <v>4482</v>
      </c>
      <c r="C660">
        <v>0.43</v>
      </c>
      <c r="D660">
        <v>15.32</v>
      </c>
      <c r="E660">
        <v>-8.41</v>
      </c>
      <c r="F660">
        <v>-3.72</v>
      </c>
      <c r="G660">
        <v>27.44</v>
      </c>
      <c r="I660">
        <v>1.6</v>
      </c>
      <c r="J660">
        <v>11.98</v>
      </c>
      <c r="K660">
        <v>17.02</v>
      </c>
      <c r="L660">
        <v>-1.94</v>
      </c>
      <c r="M660">
        <v>30.54</v>
      </c>
    </row>
    <row r="661" spans="1:14">
      <c r="A661" s="2" t="s">
        <v>689</v>
      </c>
      <c r="B661" t="s">
        <v>4483</v>
      </c>
      <c r="C661">
        <v>-12.82</v>
      </c>
      <c r="D661">
        <v>8.0500000000000007</v>
      </c>
      <c r="E661">
        <v>-1.83</v>
      </c>
      <c r="F661">
        <v>-8.3000000000000007</v>
      </c>
      <c r="G661">
        <v>-15.2</v>
      </c>
      <c r="H661">
        <v>15.9</v>
      </c>
      <c r="I661">
        <v>3.99</v>
      </c>
      <c r="J661">
        <v>24.2</v>
      </c>
      <c r="K661">
        <v>12.34</v>
      </c>
      <c r="L661">
        <v>1.1499999999999999</v>
      </c>
      <c r="M661">
        <v>-16.010000000000002</v>
      </c>
      <c r="N661">
        <v>6.63</v>
      </c>
    </row>
    <row r="662" spans="1:14">
      <c r="A662" s="2" t="s">
        <v>690</v>
      </c>
      <c r="B662" t="s">
        <v>4484</v>
      </c>
      <c r="C662">
        <v>-36.049999999999997</v>
      </c>
      <c r="D662">
        <v>-0.65</v>
      </c>
      <c r="E662">
        <v>158.13999999999999</v>
      </c>
      <c r="F662">
        <v>-56.99</v>
      </c>
      <c r="G662">
        <v>-23.33</v>
      </c>
      <c r="H662">
        <v>262.54000000000002</v>
      </c>
      <c r="I662">
        <v>-9.81</v>
      </c>
      <c r="J662">
        <v>5.1100000000000003</v>
      </c>
      <c r="K662">
        <v>126.22</v>
      </c>
      <c r="L662">
        <v>5.03</v>
      </c>
      <c r="M662">
        <v>-34.64</v>
      </c>
      <c r="N662">
        <v>206.61</v>
      </c>
    </row>
    <row r="663" spans="1:14">
      <c r="A663" s="2" t="s">
        <v>691</v>
      </c>
      <c r="B663" t="s">
        <v>4485</v>
      </c>
      <c r="C663">
        <v>-5.61</v>
      </c>
      <c r="D663">
        <v>57.42</v>
      </c>
      <c r="E663">
        <v>-14.41</v>
      </c>
      <c r="F663">
        <v>-3.62</v>
      </c>
      <c r="G663">
        <v>6.24</v>
      </c>
      <c r="H663">
        <v>21.83</v>
      </c>
      <c r="I663">
        <v>-21.33</v>
      </c>
      <c r="J663">
        <v>11.79</v>
      </c>
      <c r="K663">
        <v>30.08</v>
      </c>
      <c r="L663">
        <v>5.66</v>
      </c>
      <c r="M663">
        <v>26.23</v>
      </c>
      <c r="N663">
        <v>52.77</v>
      </c>
    </row>
    <row r="664" spans="1:14">
      <c r="A664" s="2" t="s">
        <v>692</v>
      </c>
      <c r="B664" t="s">
        <v>4486</v>
      </c>
      <c r="C664">
        <v>-6.18</v>
      </c>
      <c r="D664">
        <v>-19.12</v>
      </c>
      <c r="E664">
        <v>-9.9600000000000009</v>
      </c>
      <c r="F664">
        <v>-18.739999999999998</v>
      </c>
      <c r="G664">
        <v>-25.41</v>
      </c>
      <c r="H664">
        <v>80.61</v>
      </c>
      <c r="I664">
        <v>-18.22</v>
      </c>
      <c r="J664">
        <v>-22.74</v>
      </c>
      <c r="K664">
        <v>-0.81</v>
      </c>
      <c r="L664">
        <v>-30.09</v>
      </c>
      <c r="M664">
        <v>-23.94</v>
      </c>
      <c r="N664">
        <v>-20.239999999999998</v>
      </c>
    </row>
    <row r="665" spans="1:14">
      <c r="A665" s="2" t="s">
        <v>693</v>
      </c>
      <c r="B665" t="s">
        <v>4487</v>
      </c>
      <c r="C665">
        <v>-3.33</v>
      </c>
      <c r="D665">
        <v>0.25</v>
      </c>
      <c r="E665">
        <v>1.46</v>
      </c>
      <c r="F665">
        <v>1.87</v>
      </c>
      <c r="G665">
        <v>0.59</v>
      </c>
      <c r="H665">
        <v>4.3600000000000003</v>
      </c>
      <c r="I665">
        <v>-21.62</v>
      </c>
      <c r="J665">
        <v>-21.95</v>
      </c>
      <c r="K665">
        <v>-25.62</v>
      </c>
      <c r="L665">
        <v>-27.32</v>
      </c>
      <c r="M665">
        <v>-19.05</v>
      </c>
      <c r="N665">
        <v>-9.07</v>
      </c>
    </row>
    <row r="666" spans="1:14">
      <c r="A666" s="2" t="s">
        <v>694</v>
      </c>
      <c r="B666" t="s">
        <v>4488</v>
      </c>
      <c r="C666">
        <v>-0.77</v>
      </c>
      <c r="D666">
        <v>7.74</v>
      </c>
      <c r="E666">
        <v>4.17</v>
      </c>
      <c r="F666">
        <v>9.82</v>
      </c>
      <c r="G666">
        <v>6.22</v>
      </c>
      <c r="H666">
        <v>-18.399999999999999</v>
      </c>
      <c r="I666">
        <v>1.6</v>
      </c>
      <c r="J666">
        <v>5.84</v>
      </c>
      <c r="K666">
        <v>5.97</v>
      </c>
      <c r="L666">
        <v>5.88</v>
      </c>
      <c r="M666">
        <v>-10.23</v>
      </c>
      <c r="N666">
        <v>11.51</v>
      </c>
    </row>
    <row r="667" spans="1:14">
      <c r="A667" s="2" t="s">
        <v>695</v>
      </c>
      <c r="B667" t="s">
        <v>4489</v>
      </c>
      <c r="C667">
        <v>-6.76</v>
      </c>
      <c r="D667">
        <v>23.72</v>
      </c>
      <c r="E667">
        <v>1.18</v>
      </c>
      <c r="F667">
        <v>0.5</v>
      </c>
      <c r="G667">
        <v>4.97</v>
      </c>
      <c r="H667">
        <v>0.47</v>
      </c>
      <c r="I667">
        <v>37.93</v>
      </c>
      <c r="J667">
        <v>31.66</v>
      </c>
      <c r="K667">
        <v>37.56</v>
      </c>
      <c r="L667">
        <v>18.75</v>
      </c>
      <c r="M667">
        <v>8.1199999999999992</v>
      </c>
      <c r="N667">
        <v>30.95</v>
      </c>
    </row>
    <row r="668" spans="1:14">
      <c r="A668" s="2" t="s">
        <v>696</v>
      </c>
      <c r="B668" t="s">
        <v>4490</v>
      </c>
      <c r="C668">
        <v>14.51</v>
      </c>
      <c r="D668">
        <v>1.67</v>
      </c>
      <c r="E668">
        <v>-2.11</v>
      </c>
      <c r="F668">
        <v>14.69</v>
      </c>
      <c r="G668">
        <v>4.67</v>
      </c>
      <c r="H668">
        <v>5.0599999999999996</v>
      </c>
      <c r="I668">
        <v>33.21</v>
      </c>
      <c r="J668">
        <v>12.86</v>
      </c>
      <c r="K668">
        <v>17.850000000000001</v>
      </c>
      <c r="L668">
        <v>39.9</v>
      </c>
      <c r="M668">
        <v>34.46</v>
      </c>
      <c r="N668">
        <v>47.89</v>
      </c>
    </row>
    <row r="669" spans="1:14">
      <c r="A669" s="2" t="s">
        <v>697</v>
      </c>
      <c r="B669" t="s">
        <v>4491</v>
      </c>
      <c r="C669">
        <v>-17.079999999999998</v>
      </c>
      <c r="D669">
        <v>18.260000000000002</v>
      </c>
      <c r="E669">
        <v>18.920000000000002</v>
      </c>
      <c r="F669">
        <v>-4.54</v>
      </c>
      <c r="G669">
        <v>-11.02</v>
      </c>
      <c r="H669">
        <v>10.039999999999999</v>
      </c>
      <c r="I669">
        <v>-10.7</v>
      </c>
      <c r="J669">
        <v>23.5</v>
      </c>
      <c r="K669">
        <v>56.93</v>
      </c>
      <c r="L669">
        <v>13.72</v>
      </c>
      <c r="M669">
        <v>-14.06</v>
      </c>
      <c r="N669">
        <v>14.05</v>
      </c>
    </row>
    <row r="670" spans="1:14">
      <c r="A670" s="2" t="s">
        <v>698</v>
      </c>
      <c r="B670" t="s">
        <v>4492</v>
      </c>
      <c r="C670">
        <v>6.33</v>
      </c>
      <c r="D670">
        <v>-0.68</v>
      </c>
      <c r="E670">
        <v>4.1100000000000003</v>
      </c>
      <c r="F670">
        <v>-1.58</v>
      </c>
      <c r="G670">
        <v>13.98</v>
      </c>
      <c r="H670">
        <v>7.53</v>
      </c>
      <c r="I670">
        <v>113.06</v>
      </c>
      <c r="J670">
        <v>73.3</v>
      </c>
      <c r="K670">
        <v>54.98</v>
      </c>
      <c r="L670">
        <v>53.42</v>
      </c>
      <c r="M670">
        <v>61.02</v>
      </c>
      <c r="N670">
        <v>119.57</v>
      </c>
    </row>
    <row r="671" spans="1:14">
      <c r="A671" s="2" t="s">
        <v>699</v>
      </c>
      <c r="B671" t="s">
        <v>4493</v>
      </c>
      <c r="C671">
        <v>4.72</v>
      </c>
      <c r="D671">
        <v>24.84</v>
      </c>
      <c r="E671">
        <v>-27.95</v>
      </c>
      <c r="F671">
        <v>8.1999999999999993</v>
      </c>
      <c r="G671">
        <v>24.88</v>
      </c>
      <c r="H671">
        <v>-19</v>
      </c>
      <c r="I671">
        <v>-4.43</v>
      </c>
      <c r="J671">
        <v>5.29</v>
      </c>
      <c r="K671">
        <v>-3.05</v>
      </c>
      <c r="L671">
        <v>17.329999999999998</v>
      </c>
      <c r="M671">
        <v>7.28</v>
      </c>
      <c r="N671">
        <v>10.91</v>
      </c>
    </row>
    <row r="672" spans="1:14">
      <c r="A672" s="2" t="s">
        <v>700</v>
      </c>
      <c r="B672" t="s">
        <v>4494</v>
      </c>
      <c r="C672">
        <v>7.59</v>
      </c>
      <c r="D672">
        <v>-9.56</v>
      </c>
      <c r="E672">
        <v>2.4300000000000002</v>
      </c>
      <c r="F672">
        <v>3.4</v>
      </c>
      <c r="G672">
        <v>-14.35</v>
      </c>
      <c r="H672">
        <v>25</v>
      </c>
      <c r="I672">
        <v>21.12</v>
      </c>
      <c r="J672">
        <v>15.38</v>
      </c>
      <c r="K672">
        <v>6.07</v>
      </c>
      <c r="L672">
        <v>2.0499999999999998</v>
      </c>
      <c r="M672">
        <v>-11.1</v>
      </c>
      <c r="N672">
        <v>4.09</v>
      </c>
    </row>
    <row r="673" spans="1:14">
      <c r="A673" s="2" t="s">
        <v>701</v>
      </c>
      <c r="B673" t="s">
        <v>4495</v>
      </c>
      <c r="C673">
        <v>0.45</v>
      </c>
      <c r="D673">
        <v>5.88</v>
      </c>
      <c r="E673">
        <v>-8.33</v>
      </c>
      <c r="F673">
        <v>8.7799999999999994</v>
      </c>
      <c r="G673">
        <v>-3.5</v>
      </c>
      <c r="H673">
        <v>8.7100000000000009</v>
      </c>
      <c r="I673">
        <v>66.290000000000006</v>
      </c>
      <c r="J673">
        <v>69.27</v>
      </c>
      <c r="K673">
        <v>52.98</v>
      </c>
      <c r="L673">
        <v>65.16</v>
      </c>
      <c r="M673">
        <v>52.83</v>
      </c>
      <c r="N673">
        <v>79.239999999999995</v>
      </c>
    </row>
    <row r="674" spans="1:14">
      <c r="A674" s="2" t="s">
        <v>702</v>
      </c>
      <c r="B674" t="s">
        <v>4496</v>
      </c>
      <c r="C674">
        <v>-4.08</v>
      </c>
      <c r="D674">
        <v>54.1</v>
      </c>
      <c r="E674">
        <v>-16.670000000000002</v>
      </c>
      <c r="F674">
        <v>-36.659999999999997</v>
      </c>
      <c r="G674">
        <v>5</v>
      </c>
      <c r="H674">
        <v>-1.27</v>
      </c>
      <c r="I674">
        <v>-2.8</v>
      </c>
      <c r="J674">
        <v>-14.39</v>
      </c>
      <c r="K674">
        <v>22.89</v>
      </c>
      <c r="L674">
        <v>-17.2</v>
      </c>
      <c r="M674">
        <v>-11.06</v>
      </c>
      <c r="N674">
        <v>-4.05</v>
      </c>
    </row>
    <row r="675" spans="1:14">
      <c r="A675" s="2" t="s">
        <v>703</v>
      </c>
      <c r="B675" t="s">
        <v>4497</v>
      </c>
      <c r="C675">
        <v>-3</v>
      </c>
      <c r="D675">
        <v>8.4</v>
      </c>
      <c r="E675">
        <v>-1.62</v>
      </c>
      <c r="F675">
        <v>-14.62</v>
      </c>
      <c r="G675">
        <v>-4.45</v>
      </c>
      <c r="H675">
        <v>-15.15</v>
      </c>
      <c r="I675">
        <v>12.32</v>
      </c>
      <c r="J675">
        <v>16.86</v>
      </c>
      <c r="K675">
        <v>-0.74</v>
      </c>
      <c r="L675">
        <v>-13.33</v>
      </c>
      <c r="M675">
        <v>-19.63</v>
      </c>
      <c r="N675">
        <v>-20.89</v>
      </c>
    </row>
    <row r="676" spans="1:14">
      <c r="A676" s="2" t="s">
        <v>704</v>
      </c>
      <c r="B676" t="s">
        <v>4498</v>
      </c>
      <c r="C676">
        <v>23.93</v>
      </c>
      <c r="D676">
        <v>-10.5</v>
      </c>
      <c r="E676">
        <v>-22.07</v>
      </c>
      <c r="F676">
        <v>-54.03</v>
      </c>
      <c r="G676">
        <v>14.25</v>
      </c>
      <c r="H676">
        <v>179.2</v>
      </c>
      <c r="I676">
        <v>327.75</v>
      </c>
      <c r="J676">
        <v>628.21</v>
      </c>
      <c r="K676">
        <v>823.33</v>
      </c>
      <c r="L676">
        <v>149.38999999999999</v>
      </c>
      <c r="M676">
        <v>383.12</v>
      </c>
      <c r="N676">
        <v>885.39</v>
      </c>
    </row>
    <row r="677" spans="1:14">
      <c r="A677" s="2" t="s">
        <v>705</v>
      </c>
      <c r="B677" t="s">
        <v>4499</v>
      </c>
      <c r="C677">
        <v>2.1800000000000002</v>
      </c>
      <c r="D677">
        <v>4.82</v>
      </c>
      <c r="E677">
        <v>0.41</v>
      </c>
      <c r="F677">
        <v>-2.2200000000000002</v>
      </c>
      <c r="G677">
        <v>4.76</v>
      </c>
      <c r="H677">
        <v>7.38</v>
      </c>
      <c r="I677">
        <v>19.690000000000001</v>
      </c>
      <c r="J677">
        <v>35.51</v>
      </c>
      <c r="K677">
        <v>39.76</v>
      </c>
      <c r="L677">
        <v>39.700000000000003</v>
      </c>
      <c r="M677">
        <v>25.23</v>
      </c>
      <c r="N677">
        <v>54.94</v>
      </c>
    </row>
    <row r="678" spans="1:14">
      <c r="A678" s="2" t="s">
        <v>706</v>
      </c>
      <c r="B678" t="s">
        <v>4500</v>
      </c>
      <c r="C678">
        <v>8.85</v>
      </c>
      <c r="D678">
        <v>-0.02</v>
      </c>
      <c r="E678">
        <v>-29.22</v>
      </c>
      <c r="F678">
        <v>5.45</v>
      </c>
      <c r="G678">
        <v>-0.31</v>
      </c>
      <c r="I678">
        <v>6.98</v>
      </c>
      <c r="J678">
        <v>-1.88</v>
      </c>
      <c r="K678">
        <v>-31.29</v>
      </c>
      <c r="L678">
        <v>-20.91</v>
      </c>
      <c r="M678">
        <v>-22.96</v>
      </c>
    </row>
    <row r="679" spans="1:14">
      <c r="A679" s="2" t="s">
        <v>707</v>
      </c>
      <c r="B679" t="s">
        <v>4501</v>
      </c>
      <c r="C679">
        <v>-3.41</v>
      </c>
      <c r="D679">
        <v>-40.9</v>
      </c>
      <c r="E679">
        <v>-19.61</v>
      </c>
      <c r="F679">
        <v>-68.25</v>
      </c>
      <c r="G679">
        <v>226.71</v>
      </c>
      <c r="H679">
        <v>169.21</v>
      </c>
      <c r="I679">
        <v>-9.68</v>
      </c>
      <c r="J679">
        <v>-46.08</v>
      </c>
      <c r="K679">
        <v>-52.28</v>
      </c>
      <c r="L679">
        <v>-83.54</v>
      </c>
      <c r="M679">
        <v>-65.349999999999994</v>
      </c>
      <c r="N679">
        <v>33.97</v>
      </c>
    </row>
    <row r="680" spans="1:14">
      <c r="A680" s="2" t="s">
        <v>708</v>
      </c>
      <c r="B680" t="s">
        <v>4502</v>
      </c>
      <c r="C680">
        <v>-22.17</v>
      </c>
      <c r="D680">
        <v>30.13</v>
      </c>
      <c r="E680">
        <v>-15.29</v>
      </c>
      <c r="F680">
        <v>0.5</v>
      </c>
      <c r="G680">
        <v>-8.32</v>
      </c>
      <c r="H680">
        <v>50.81</v>
      </c>
      <c r="I680">
        <v>-37.85</v>
      </c>
      <c r="J680">
        <v>-11.85</v>
      </c>
      <c r="K680">
        <v>-17.2</v>
      </c>
      <c r="L680">
        <v>-12.28</v>
      </c>
      <c r="M680">
        <v>-17.46</v>
      </c>
      <c r="N680">
        <v>12.03</v>
      </c>
    </row>
    <row r="681" spans="1:14">
      <c r="A681" s="2" t="s">
        <v>709</v>
      </c>
      <c r="B681" t="s">
        <v>4503</v>
      </c>
      <c r="C681">
        <v>-3.76</v>
      </c>
      <c r="D681">
        <v>1.91</v>
      </c>
      <c r="E681">
        <v>-13.01</v>
      </c>
      <c r="F681">
        <v>12.91</v>
      </c>
      <c r="G681">
        <v>34.54</v>
      </c>
      <c r="I681">
        <v>32.51</v>
      </c>
      <c r="J681">
        <v>58.86</v>
      </c>
      <c r="K681">
        <v>43.41</v>
      </c>
      <c r="L681">
        <v>22.21</v>
      </c>
      <c r="M681">
        <v>72.349999999999994</v>
      </c>
    </row>
    <row r="682" spans="1:14">
      <c r="A682" s="2" t="s">
        <v>710</v>
      </c>
      <c r="B682" t="s">
        <v>4504</v>
      </c>
      <c r="C682">
        <v>-5.57</v>
      </c>
      <c r="D682">
        <v>-28.97</v>
      </c>
      <c r="E682">
        <v>73.55</v>
      </c>
      <c r="F682">
        <v>-33.159999999999997</v>
      </c>
      <c r="G682">
        <v>-6.15</v>
      </c>
      <c r="H682">
        <v>85.41</v>
      </c>
      <c r="I682">
        <v>-19.38</v>
      </c>
      <c r="J682">
        <v>-1.25</v>
      </c>
      <c r="K682">
        <v>15.37</v>
      </c>
      <c r="L682">
        <v>-3.03</v>
      </c>
      <c r="M682">
        <v>65.11</v>
      </c>
      <c r="N682">
        <v>17.22</v>
      </c>
    </row>
    <row r="683" spans="1:14">
      <c r="A683" s="2" t="s">
        <v>711</v>
      </c>
      <c r="B683" t="s">
        <v>4505</v>
      </c>
      <c r="C683">
        <v>40.590000000000003</v>
      </c>
      <c r="D683">
        <v>-17.649999999999999</v>
      </c>
      <c r="E683">
        <v>-14.66</v>
      </c>
      <c r="F683">
        <v>47.96</v>
      </c>
      <c r="G683">
        <v>0.53</v>
      </c>
      <c r="H683">
        <v>-32.69</v>
      </c>
      <c r="I683">
        <v>1.38</v>
      </c>
      <c r="J683">
        <v>1.99</v>
      </c>
      <c r="K683">
        <v>30.28</v>
      </c>
      <c r="L683">
        <v>39.74</v>
      </c>
      <c r="M683">
        <v>34.31</v>
      </c>
      <c r="N683">
        <v>52.24</v>
      </c>
    </row>
    <row r="684" spans="1:14">
      <c r="A684" s="2" t="s">
        <v>712</v>
      </c>
      <c r="B684" t="s">
        <v>4506</v>
      </c>
      <c r="C684">
        <v>70.180000000000007</v>
      </c>
      <c r="D684">
        <v>-35.28</v>
      </c>
      <c r="E684">
        <v>-36.47</v>
      </c>
      <c r="F684">
        <v>28.05</v>
      </c>
      <c r="G684">
        <v>1.1299999999999999</v>
      </c>
      <c r="H684">
        <v>32.409999999999997</v>
      </c>
      <c r="I684">
        <v>37.090000000000003</v>
      </c>
      <c r="J684">
        <v>5.18</v>
      </c>
      <c r="K684">
        <v>-18.27</v>
      </c>
      <c r="L684">
        <v>-35.96</v>
      </c>
      <c r="M684">
        <v>21.72</v>
      </c>
      <c r="N684">
        <v>-29.21</v>
      </c>
    </row>
    <row r="685" spans="1:14">
      <c r="A685" s="2" t="s">
        <v>713</v>
      </c>
      <c r="B685" t="s">
        <v>4507</v>
      </c>
      <c r="C685">
        <v>4.74</v>
      </c>
      <c r="D685">
        <v>8.2200000000000006</v>
      </c>
      <c r="E685">
        <v>-13.39</v>
      </c>
      <c r="F685">
        <v>0.28000000000000003</v>
      </c>
      <c r="G685">
        <v>-2.37</v>
      </c>
      <c r="H685">
        <v>-3.02</v>
      </c>
      <c r="I685">
        <v>1.61</v>
      </c>
      <c r="J685">
        <v>12.05</v>
      </c>
      <c r="K685">
        <v>5.32</v>
      </c>
      <c r="L685">
        <v>1.47</v>
      </c>
      <c r="M685">
        <v>21.15</v>
      </c>
      <c r="N685">
        <v>10.75</v>
      </c>
    </row>
    <row r="686" spans="1:14">
      <c r="A686" s="2" t="s">
        <v>714</v>
      </c>
      <c r="B686" t="s">
        <v>4508</v>
      </c>
      <c r="C686">
        <v>6.55</v>
      </c>
      <c r="D686">
        <v>-11.04</v>
      </c>
      <c r="E686">
        <v>7.52</v>
      </c>
      <c r="F686">
        <v>-8.1</v>
      </c>
      <c r="G686">
        <v>15.57</v>
      </c>
      <c r="H686">
        <v>-0.18</v>
      </c>
      <c r="I686">
        <v>-8.11</v>
      </c>
      <c r="J686">
        <v>-0.37</v>
      </c>
      <c r="K686">
        <v>-0.73</v>
      </c>
      <c r="L686">
        <v>-4.1900000000000004</v>
      </c>
      <c r="M686">
        <v>3.24</v>
      </c>
      <c r="N686">
        <v>-11.94</v>
      </c>
    </row>
    <row r="687" spans="1:14">
      <c r="A687" s="2" t="s">
        <v>715</v>
      </c>
      <c r="B687" t="s">
        <v>4509</v>
      </c>
      <c r="C687">
        <v>0.19</v>
      </c>
      <c r="D687">
        <v>-52.23</v>
      </c>
      <c r="E687">
        <v>-11.61</v>
      </c>
      <c r="F687">
        <v>61.73</v>
      </c>
      <c r="G687">
        <v>3.04</v>
      </c>
      <c r="H687">
        <v>11.29</v>
      </c>
      <c r="I687">
        <v>111.43</v>
      </c>
      <c r="J687">
        <v>3.29</v>
      </c>
      <c r="K687">
        <v>29.35</v>
      </c>
      <c r="L687">
        <v>100.07</v>
      </c>
      <c r="M687">
        <v>105.11</v>
      </c>
      <c r="N687">
        <v>148.54</v>
      </c>
    </row>
    <row r="688" spans="1:14">
      <c r="A688" s="2" t="s">
        <v>716</v>
      </c>
      <c r="B688" t="s">
        <v>4510</v>
      </c>
      <c r="C688">
        <v>-1.94</v>
      </c>
      <c r="D688">
        <v>12.44</v>
      </c>
      <c r="E688">
        <v>-7.79</v>
      </c>
      <c r="F688">
        <v>1.88</v>
      </c>
      <c r="G688">
        <v>8.64</v>
      </c>
      <c r="H688">
        <v>-5.62</v>
      </c>
      <c r="I688">
        <v>-5.88</v>
      </c>
      <c r="J688">
        <v>7.08</v>
      </c>
      <c r="K688">
        <v>4.3</v>
      </c>
      <c r="L688">
        <v>2.93</v>
      </c>
      <c r="M688">
        <v>17.239999999999998</v>
      </c>
      <c r="N688">
        <v>7.03</v>
      </c>
    </row>
    <row r="689" spans="1:14">
      <c r="A689" s="2" t="s">
        <v>717</v>
      </c>
      <c r="B689" t="s">
        <v>4511</v>
      </c>
      <c r="C689">
        <v>-9.7899999999999991</v>
      </c>
      <c r="D689">
        <v>12.3</v>
      </c>
      <c r="E689">
        <v>7.09</v>
      </c>
      <c r="F689">
        <v>-30.36</v>
      </c>
      <c r="G689">
        <v>16.97</v>
      </c>
      <c r="H689">
        <v>36.22</v>
      </c>
      <c r="I689">
        <v>-13.53</v>
      </c>
      <c r="J689">
        <v>6.3</v>
      </c>
      <c r="K689">
        <v>32.409999999999997</v>
      </c>
      <c r="L689">
        <v>-16.36</v>
      </c>
      <c r="M689">
        <v>13.42</v>
      </c>
      <c r="N689">
        <v>42.48</v>
      </c>
    </row>
    <row r="690" spans="1:14">
      <c r="A690" s="2" t="s">
        <v>718</v>
      </c>
      <c r="B690" t="s">
        <v>4512</v>
      </c>
      <c r="C690">
        <v>-30.4</v>
      </c>
      <c r="D690">
        <v>9.7899999999999991</v>
      </c>
      <c r="E690">
        <v>12.26</v>
      </c>
      <c r="F690">
        <v>-5.43</v>
      </c>
      <c r="G690">
        <v>18.98</v>
      </c>
      <c r="H690">
        <v>2.76</v>
      </c>
      <c r="I690">
        <v>-48.97</v>
      </c>
      <c r="J690">
        <v>-34.020000000000003</v>
      </c>
      <c r="K690">
        <v>-34.840000000000003</v>
      </c>
      <c r="L690">
        <v>-28.16</v>
      </c>
      <c r="M690">
        <v>-22.21</v>
      </c>
      <c r="N690">
        <v>-31.78</v>
      </c>
    </row>
    <row r="691" spans="1:14">
      <c r="A691" s="2" t="s">
        <v>719</v>
      </c>
      <c r="B691" t="s">
        <v>4513</v>
      </c>
      <c r="C691">
        <v>2.4900000000000002</v>
      </c>
      <c r="D691">
        <v>1.02</v>
      </c>
      <c r="E691">
        <v>-2.75</v>
      </c>
      <c r="F691">
        <v>5.64</v>
      </c>
      <c r="G691">
        <v>2.81</v>
      </c>
      <c r="H691">
        <v>2.3199999999999998</v>
      </c>
      <c r="I691">
        <v>-2.73</v>
      </c>
      <c r="J691">
        <v>0.63</v>
      </c>
      <c r="K691">
        <v>-2.83</v>
      </c>
      <c r="L691">
        <v>0.18</v>
      </c>
      <c r="M691">
        <v>0.45</v>
      </c>
      <c r="N691">
        <v>1</v>
      </c>
    </row>
    <row r="692" spans="1:14">
      <c r="A692" s="2" t="s">
        <v>720</v>
      </c>
      <c r="B692" t="s">
        <v>4514</v>
      </c>
      <c r="C692">
        <v>-3.31</v>
      </c>
      <c r="D692">
        <v>6.8</v>
      </c>
      <c r="E692">
        <v>-6.02</v>
      </c>
      <c r="F692">
        <v>-22.42</v>
      </c>
      <c r="G692">
        <v>31.05</v>
      </c>
      <c r="H692">
        <v>-7.76</v>
      </c>
      <c r="I692">
        <v>-17.13</v>
      </c>
      <c r="J692">
        <v>15.29</v>
      </c>
      <c r="K692">
        <v>28.55</v>
      </c>
      <c r="L692">
        <v>-2.2799999999999998</v>
      </c>
      <c r="M692">
        <v>10.81</v>
      </c>
      <c r="N692">
        <v>-20.46</v>
      </c>
    </row>
    <row r="693" spans="1:14">
      <c r="A693" s="2" t="s">
        <v>721</v>
      </c>
      <c r="B693" t="s">
        <v>4515</v>
      </c>
      <c r="C693">
        <v>-4.3099999999999996</v>
      </c>
      <c r="D693">
        <v>21.46</v>
      </c>
      <c r="E693">
        <v>-1.76</v>
      </c>
      <c r="F693">
        <v>6.74</v>
      </c>
      <c r="G693">
        <v>13.87</v>
      </c>
      <c r="H693">
        <v>-3.06</v>
      </c>
      <c r="I693">
        <v>3.1</v>
      </c>
      <c r="J693">
        <v>46.01</v>
      </c>
      <c r="K693">
        <v>8.51</v>
      </c>
      <c r="L693">
        <v>20.91</v>
      </c>
      <c r="M693">
        <v>53.23</v>
      </c>
      <c r="N693">
        <v>69.41</v>
      </c>
    </row>
    <row r="694" spans="1:14">
      <c r="A694" s="2" t="s">
        <v>722</v>
      </c>
      <c r="B694" t="s">
        <v>4516</v>
      </c>
      <c r="C694">
        <v>-15.16</v>
      </c>
      <c r="D694">
        <v>20.329999999999998</v>
      </c>
      <c r="E694">
        <v>7.41</v>
      </c>
      <c r="F694">
        <v>-10.47</v>
      </c>
      <c r="G694">
        <v>-7.6</v>
      </c>
      <c r="H694">
        <v>-1.72</v>
      </c>
      <c r="I694">
        <v>-24.06</v>
      </c>
      <c r="J694">
        <v>-2.2999999999999998</v>
      </c>
      <c r="K694">
        <v>11.07</v>
      </c>
      <c r="L694">
        <v>1.47</v>
      </c>
      <c r="M694">
        <v>-28.28</v>
      </c>
      <c r="N694">
        <v>-24.82</v>
      </c>
    </row>
    <row r="695" spans="1:14">
      <c r="A695" s="2" t="s">
        <v>723</v>
      </c>
      <c r="B695" t="s">
        <v>4517</v>
      </c>
      <c r="C695">
        <v>-9.9499999999999993</v>
      </c>
      <c r="D695">
        <v>17.84</v>
      </c>
      <c r="E695">
        <v>-9.0299999999999994</v>
      </c>
      <c r="F695">
        <v>51.64</v>
      </c>
      <c r="G695">
        <v>-9.0399999999999991</v>
      </c>
      <c r="H695">
        <v>-10.53</v>
      </c>
      <c r="I695">
        <v>92.21</v>
      </c>
      <c r="J695">
        <v>109.94</v>
      </c>
      <c r="K695">
        <v>92.2</v>
      </c>
      <c r="L695">
        <v>194.64</v>
      </c>
      <c r="M695">
        <v>141.59</v>
      </c>
      <c r="N695">
        <v>151.54</v>
      </c>
    </row>
    <row r="696" spans="1:14">
      <c r="A696" s="2" t="s">
        <v>724</v>
      </c>
      <c r="B696" t="s">
        <v>4518</v>
      </c>
      <c r="C696">
        <v>-10.050000000000001</v>
      </c>
      <c r="D696">
        <v>21.24</v>
      </c>
      <c r="E696">
        <v>-23.42</v>
      </c>
      <c r="F696">
        <v>8.68</v>
      </c>
      <c r="G696">
        <v>-11.96</v>
      </c>
      <c r="H696">
        <v>89.38</v>
      </c>
      <c r="I696">
        <v>-47.76</v>
      </c>
      <c r="J696">
        <v>-43.49</v>
      </c>
      <c r="K696">
        <v>-51.8</v>
      </c>
      <c r="L696">
        <v>-40.67</v>
      </c>
      <c r="M696">
        <v>-22.24</v>
      </c>
      <c r="N696">
        <v>55.45</v>
      </c>
    </row>
    <row r="697" spans="1:14">
      <c r="A697" s="2" t="s">
        <v>725</v>
      </c>
      <c r="B697" t="s">
        <v>4519</v>
      </c>
      <c r="C697">
        <v>6.02</v>
      </c>
      <c r="D697">
        <v>-2.4900000000000002</v>
      </c>
      <c r="E697">
        <v>7.73</v>
      </c>
      <c r="F697">
        <v>4.92</v>
      </c>
      <c r="G697">
        <v>8.39</v>
      </c>
      <c r="H697">
        <v>9.6300000000000008</v>
      </c>
      <c r="I697">
        <v>15.27</v>
      </c>
      <c r="J697">
        <v>8.4700000000000006</v>
      </c>
      <c r="K697">
        <v>21.77</v>
      </c>
      <c r="L697">
        <v>11.92</v>
      </c>
      <c r="M697">
        <v>19.29</v>
      </c>
      <c r="N697">
        <v>3.05</v>
      </c>
    </row>
    <row r="698" spans="1:14">
      <c r="A698" s="2" t="s">
        <v>726</v>
      </c>
      <c r="B698" t="s">
        <v>4520</v>
      </c>
      <c r="C698">
        <v>2.09</v>
      </c>
      <c r="D698">
        <v>-2.4500000000000002</v>
      </c>
      <c r="E698">
        <v>-3.06</v>
      </c>
      <c r="F698">
        <v>-1.39</v>
      </c>
      <c r="G698">
        <v>8.48</v>
      </c>
      <c r="H698">
        <v>17.77</v>
      </c>
      <c r="I698">
        <v>6.36</v>
      </c>
      <c r="J698">
        <v>6.44</v>
      </c>
      <c r="K698">
        <v>11.09</v>
      </c>
      <c r="L698">
        <v>14.68</v>
      </c>
      <c r="M698">
        <v>44.81</v>
      </c>
      <c r="N698">
        <v>46</v>
      </c>
    </row>
    <row r="699" spans="1:14">
      <c r="A699" s="2" t="s">
        <v>727</v>
      </c>
      <c r="B699" t="s">
        <v>4521</v>
      </c>
      <c r="C699">
        <v>17.03</v>
      </c>
      <c r="D699">
        <v>-21.5</v>
      </c>
      <c r="E699">
        <v>25.37</v>
      </c>
      <c r="F699">
        <v>-8.6</v>
      </c>
      <c r="G699">
        <v>20.58</v>
      </c>
      <c r="H699">
        <v>-2.23</v>
      </c>
      <c r="I699">
        <v>-5.12</v>
      </c>
      <c r="J699">
        <v>-9.51</v>
      </c>
      <c r="K699">
        <v>4.8099999999999996</v>
      </c>
      <c r="L699">
        <v>-8.4700000000000006</v>
      </c>
      <c r="M699">
        <v>2.66</v>
      </c>
      <c r="N699">
        <v>-4.62</v>
      </c>
    </row>
    <row r="700" spans="1:14">
      <c r="A700" s="2" t="s">
        <v>728</v>
      </c>
      <c r="B700" t="s">
        <v>4522</v>
      </c>
      <c r="C700">
        <v>-0.09</v>
      </c>
      <c r="D700">
        <v>-0.41</v>
      </c>
      <c r="E700">
        <v>-29.97</v>
      </c>
      <c r="F700">
        <v>43.46</v>
      </c>
      <c r="G700">
        <v>-30.16</v>
      </c>
      <c r="H700">
        <v>-31.66</v>
      </c>
      <c r="I700">
        <v>41.69</v>
      </c>
      <c r="J700">
        <v>43.15</v>
      </c>
      <c r="K700">
        <v>40.270000000000003</v>
      </c>
      <c r="L700">
        <v>99.9</v>
      </c>
      <c r="M700">
        <v>38.57</v>
      </c>
      <c r="N700">
        <v>-20.52</v>
      </c>
    </row>
    <row r="701" spans="1:14">
      <c r="A701" s="2" t="s">
        <v>729</v>
      </c>
      <c r="B701" t="s">
        <v>4523</v>
      </c>
      <c r="C701">
        <v>30.21</v>
      </c>
      <c r="D701">
        <v>-4.7</v>
      </c>
      <c r="E701">
        <v>60.6</v>
      </c>
      <c r="F701">
        <v>6.77</v>
      </c>
      <c r="G701">
        <v>-34.78</v>
      </c>
      <c r="H701">
        <v>-31.79</v>
      </c>
      <c r="I701">
        <v>32.07</v>
      </c>
      <c r="J701">
        <v>-13.85</v>
      </c>
      <c r="K701">
        <v>48.81</v>
      </c>
      <c r="L701">
        <v>136.54</v>
      </c>
      <c r="M701">
        <v>-7.05</v>
      </c>
      <c r="N701">
        <v>3.1</v>
      </c>
    </row>
    <row r="702" spans="1:14">
      <c r="A702" s="2" t="s">
        <v>730</v>
      </c>
      <c r="B702" t="s">
        <v>4524</v>
      </c>
      <c r="C702">
        <v>16.93</v>
      </c>
      <c r="D702">
        <v>5.24</v>
      </c>
      <c r="E702">
        <v>-14.9</v>
      </c>
      <c r="F702">
        <v>25.44</v>
      </c>
      <c r="G702">
        <v>3.79</v>
      </c>
      <c r="H702">
        <v>44.78</v>
      </c>
      <c r="I702">
        <v>64.53</v>
      </c>
      <c r="J702">
        <v>61.18</v>
      </c>
      <c r="K702">
        <v>30.87</v>
      </c>
      <c r="L702">
        <v>60.23</v>
      </c>
      <c r="M702">
        <v>101.21</v>
      </c>
      <c r="N702">
        <v>198.92</v>
      </c>
    </row>
    <row r="703" spans="1:14">
      <c r="A703" s="2" t="s">
        <v>731</v>
      </c>
      <c r="B703" t="s">
        <v>4525</v>
      </c>
      <c r="C703">
        <v>5.52</v>
      </c>
      <c r="D703">
        <v>-1.28</v>
      </c>
      <c r="E703">
        <v>3.93</v>
      </c>
      <c r="F703">
        <v>-1.57</v>
      </c>
      <c r="G703">
        <v>5.7</v>
      </c>
      <c r="H703">
        <v>-0.47</v>
      </c>
      <c r="I703">
        <v>8.02</v>
      </c>
      <c r="J703">
        <v>12.87</v>
      </c>
      <c r="K703">
        <v>17.27</v>
      </c>
      <c r="L703">
        <v>20.52</v>
      </c>
      <c r="M703">
        <v>23.31</v>
      </c>
      <c r="N703">
        <v>22.27</v>
      </c>
    </row>
    <row r="704" spans="1:14">
      <c r="A704" s="2" t="s">
        <v>732</v>
      </c>
      <c r="B704" t="s">
        <v>4526</v>
      </c>
      <c r="C704">
        <v>-1.7</v>
      </c>
      <c r="D704">
        <v>-7.75</v>
      </c>
      <c r="E704">
        <v>14.97</v>
      </c>
      <c r="F704">
        <v>-1.21</v>
      </c>
      <c r="G704">
        <v>5.72</v>
      </c>
      <c r="H704">
        <v>-1.1100000000000001</v>
      </c>
      <c r="I704">
        <v>8.0500000000000007</v>
      </c>
      <c r="J704">
        <v>4.93</v>
      </c>
      <c r="K704">
        <v>16.25</v>
      </c>
      <c r="L704">
        <v>6.94</v>
      </c>
      <c r="M704">
        <v>18.260000000000002</v>
      </c>
      <c r="N704">
        <v>18.29</v>
      </c>
    </row>
    <row r="705" spans="1:14">
      <c r="A705" s="2" t="s">
        <v>733</v>
      </c>
      <c r="B705" t="s">
        <v>4527</v>
      </c>
      <c r="C705">
        <v>-16.12</v>
      </c>
      <c r="D705">
        <v>242.28</v>
      </c>
      <c r="E705">
        <v>18.3</v>
      </c>
      <c r="F705">
        <v>-55.48</v>
      </c>
      <c r="G705">
        <v>25.71</v>
      </c>
      <c r="H705">
        <v>70.61</v>
      </c>
      <c r="I705">
        <v>28.94</v>
      </c>
      <c r="J705">
        <v>-55.21</v>
      </c>
      <c r="K705">
        <v>-84.18</v>
      </c>
      <c r="L705">
        <v>-88.58</v>
      </c>
      <c r="M705">
        <v>-72.98</v>
      </c>
      <c r="N705">
        <v>222.03</v>
      </c>
    </row>
    <row r="706" spans="1:14">
      <c r="A706" s="2" t="s">
        <v>734</v>
      </c>
      <c r="B706" t="s">
        <v>4528</v>
      </c>
      <c r="C706">
        <v>-9.9600000000000009</v>
      </c>
      <c r="D706">
        <v>0.57999999999999996</v>
      </c>
      <c r="E706">
        <v>-5.33</v>
      </c>
      <c r="F706">
        <v>-6.71</v>
      </c>
      <c r="G706">
        <v>-1.18</v>
      </c>
      <c r="H706">
        <v>1.98</v>
      </c>
      <c r="I706">
        <v>-4.3499999999999996</v>
      </c>
      <c r="J706">
        <v>-16.63</v>
      </c>
      <c r="K706">
        <v>-11.1</v>
      </c>
      <c r="L706">
        <v>25.79</v>
      </c>
      <c r="M706">
        <v>-5.42</v>
      </c>
      <c r="N706">
        <v>12.5</v>
      </c>
    </row>
    <row r="707" spans="1:14">
      <c r="A707" s="2" t="s">
        <v>735</v>
      </c>
      <c r="B707" t="s">
        <v>4529</v>
      </c>
      <c r="C707">
        <v>20.34</v>
      </c>
      <c r="D707">
        <v>26.15</v>
      </c>
      <c r="E707">
        <v>-24.9</v>
      </c>
      <c r="F707">
        <v>-14.1</v>
      </c>
      <c r="G707">
        <v>5.09</v>
      </c>
      <c r="H707">
        <v>0.94</v>
      </c>
      <c r="I707">
        <v>20.59</v>
      </c>
      <c r="J707">
        <v>20.72</v>
      </c>
      <c r="K707">
        <v>-18.18</v>
      </c>
      <c r="L707">
        <v>-18.760000000000002</v>
      </c>
      <c r="M707">
        <v>-24.13</v>
      </c>
      <c r="N707">
        <v>5.74</v>
      </c>
    </row>
    <row r="708" spans="1:14">
      <c r="A708" s="2" t="s">
        <v>736</v>
      </c>
      <c r="B708" t="s">
        <v>4530</v>
      </c>
      <c r="C708">
        <v>-10.66</v>
      </c>
      <c r="D708">
        <v>-1.97</v>
      </c>
      <c r="E708">
        <v>20.27</v>
      </c>
      <c r="F708">
        <v>-26.48</v>
      </c>
      <c r="G708">
        <v>17.54</v>
      </c>
      <c r="H708">
        <v>15.41</v>
      </c>
      <c r="I708">
        <v>-42.4</v>
      </c>
      <c r="J708">
        <v>-27.94</v>
      </c>
      <c r="K708">
        <v>0.62</v>
      </c>
      <c r="L708">
        <v>-35.08</v>
      </c>
      <c r="M708">
        <v>0.73</v>
      </c>
      <c r="N708">
        <v>-6.85</v>
      </c>
    </row>
    <row r="709" spans="1:14">
      <c r="A709" s="2" t="s">
        <v>737</v>
      </c>
      <c r="B709" t="s">
        <v>4531</v>
      </c>
      <c r="C709">
        <v>-0.3</v>
      </c>
      <c r="D709">
        <v>8.5299999999999994</v>
      </c>
      <c r="E709">
        <v>72.27</v>
      </c>
      <c r="F709">
        <v>-53.82</v>
      </c>
      <c r="G709">
        <v>28.06</v>
      </c>
      <c r="H709">
        <v>-12.93</v>
      </c>
      <c r="I709">
        <v>-29.71</v>
      </c>
      <c r="J709">
        <v>-37.909999999999997</v>
      </c>
      <c r="K709">
        <v>120.07</v>
      </c>
      <c r="L709">
        <v>12.84</v>
      </c>
      <c r="M709">
        <v>17.170000000000002</v>
      </c>
      <c r="N709">
        <v>-26.93</v>
      </c>
    </row>
    <row r="710" spans="1:14">
      <c r="A710" s="2" t="s">
        <v>738</v>
      </c>
      <c r="B710" t="s">
        <v>4532</v>
      </c>
      <c r="C710">
        <v>30.2</v>
      </c>
      <c r="D710">
        <v>-27.86</v>
      </c>
      <c r="E710">
        <v>11.7</v>
      </c>
      <c r="F710">
        <v>-6.4</v>
      </c>
      <c r="G710">
        <v>72.66</v>
      </c>
      <c r="I710">
        <v>-9.4</v>
      </c>
      <c r="J710">
        <v>-41.57</v>
      </c>
      <c r="K710">
        <v>-14.23</v>
      </c>
      <c r="L710">
        <v>-22.65</v>
      </c>
      <c r="M710">
        <v>20.85</v>
      </c>
    </row>
    <row r="711" spans="1:14">
      <c r="A711" s="2" t="s">
        <v>739</v>
      </c>
      <c r="B711" t="s">
        <v>4533</v>
      </c>
      <c r="C711">
        <v>9.5</v>
      </c>
      <c r="D711">
        <v>7.88</v>
      </c>
      <c r="E711">
        <v>19.25</v>
      </c>
      <c r="F711">
        <v>-17.53</v>
      </c>
      <c r="G711">
        <v>12.45</v>
      </c>
      <c r="H711">
        <v>1.94</v>
      </c>
      <c r="I711">
        <v>41.26</v>
      </c>
      <c r="J711">
        <v>62.47</v>
      </c>
      <c r="K711">
        <v>44.18</v>
      </c>
      <c r="L711">
        <v>13.08</v>
      </c>
      <c r="M711">
        <v>53.21</v>
      </c>
      <c r="N711">
        <v>35.06</v>
      </c>
    </row>
    <row r="712" spans="1:14">
      <c r="A712" s="2" t="s">
        <v>740</v>
      </c>
      <c r="B712" t="s">
        <v>4534</v>
      </c>
      <c r="C712">
        <v>164.61</v>
      </c>
      <c r="D712">
        <v>-35.44</v>
      </c>
      <c r="E712">
        <v>-13.61</v>
      </c>
      <c r="F712">
        <v>54.25</v>
      </c>
      <c r="G712">
        <v>29.25</v>
      </c>
      <c r="I712">
        <v>29.4</v>
      </c>
      <c r="J712">
        <v>-48.28</v>
      </c>
      <c r="K712">
        <v>-2.02</v>
      </c>
      <c r="L712">
        <v>-5.48</v>
      </c>
      <c r="M712">
        <v>-28.04</v>
      </c>
    </row>
    <row r="713" spans="1:14">
      <c r="A713" s="2" t="s">
        <v>741</v>
      </c>
      <c r="B713" t="s">
        <v>4535</v>
      </c>
      <c r="C713">
        <v>-3.01</v>
      </c>
      <c r="D713">
        <v>13.72</v>
      </c>
      <c r="E713">
        <v>-14.09</v>
      </c>
      <c r="F713">
        <v>1.92</v>
      </c>
      <c r="G713">
        <v>9.01</v>
      </c>
      <c r="I713">
        <v>0.64</v>
      </c>
      <c r="J713">
        <v>12.88</v>
      </c>
      <c r="K713">
        <v>8.64</v>
      </c>
      <c r="L713">
        <v>7.43</v>
      </c>
      <c r="M713">
        <v>17.53</v>
      </c>
    </row>
    <row r="714" spans="1:14">
      <c r="A714" s="2" t="s">
        <v>742</v>
      </c>
      <c r="B714" t="s">
        <v>4536</v>
      </c>
      <c r="C714">
        <v>6.77</v>
      </c>
      <c r="D714">
        <v>11.21</v>
      </c>
      <c r="E714">
        <v>4.05</v>
      </c>
      <c r="F714">
        <v>2.0099999999999998</v>
      </c>
      <c r="G714">
        <v>-14.7</v>
      </c>
      <c r="I714">
        <v>15.89</v>
      </c>
      <c r="J714">
        <v>15.91</v>
      </c>
      <c r="K714">
        <v>32.380000000000003</v>
      </c>
      <c r="L714">
        <v>32.049999999999997</v>
      </c>
      <c r="M714">
        <v>8.35</v>
      </c>
    </row>
    <row r="715" spans="1:14">
      <c r="A715" s="2" t="s">
        <v>743</v>
      </c>
      <c r="B715" t="s">
        <v>4537</v>
      </c>
      <c r="C715">
        <v>2.63</v>
      </c>
      <c r="D715">
        <v>-1.22</v>
      </c>
      <c r="E715">
        <v>4.51</v>
      </c>
      <c r="F715">
        <v>-0.63</v>
      </c>
      <c r="G715">
        <v>4.67</v>
      </c>
      <c r="H715">
        <v>1.84</v>
      </c>
      <c r="I715">
        <v>13.49</v>
      </c>
      <c r="J715">
        <v>13.51</v>
      </c>
      <c r="K715">
        <v>11.66</v>
      </c>
      <c r="L715">
        <v>11.56</v>
      </c>
      <c r="M715">
        <v>14.12</v>
      </c>
      <c r="N715">
        <v>13.57</v>
      </c>
    </row>
    <row r="716" spans="1:14">
      <c r="A716" s="2" t="s">
        <v>744</v>
      </c>
      <c r="B716" t="s">
        <v>4538</v>
      </c>
      <c r="C716">
        <v>-2.0499999999999998</v>
      </c>
      <c r="D716">
        <v>4.5</v>
      </c>
      <c r="E716">
        <v>-10.23</v>
      </c>
      <c r="F716">
        <v>-29.57</v>
      </c>
      <c r="G716">
        <v>31.96</v>
      </c>
      <c r="I716">
        <v>-12.64</v>
      </c>
      <c r="J716">
        <v>-7.58</v>
      </c>
      <c r="K716">
        <v>-3.24</v>
      </c>
      <c r="L716">
        <v>-29.05</v>
      </c>
      <c r="M716">
        <v>-22.11</v>
      </c>
    </row>
    <row r="717" spans="1:14">
      <c r="A717" s="2" t="s">
        <v>745</v>
      </c>
      <c r="B717" t="s">
        <v>4539</v>
      </c>
      <c r="C717">
        <v>8.76</v>
      </c>
      <c r="D717">
        <v>-4.26</v>
      </c>
      <c r="E717">
        <v>0.63</v>
      </c>
      <c r="F717">
        <v>-2.83</v>
      </c>
      <c r="G717">
        <v>23.07</v>
      </c>
      <c r="H717">
        <v>-17.329999999999998</v>
      </c>
      <c r="I717">
        <v>-4.3899999999999997</v>
      </c>
      <c r="J717">
        <v>-1.46</v>
      </c>
      <c r="K717">
        <v>-3.83</v>
      </c>
      <c r="L717">
        <v>-26.07</v>
      </c>
      <c r="M717">
        <v>-2.91</v>
      </c>
      <c r="N717">
        <v>-6.26</v>
      </c>
    </row>
    <row r="718" spans="1:14">
      <c r="A718" s="2" t="s">
        <v>746</v>
      </c>
      <c r="B718" t="s">
        <v>4540</v>
      </c>
      <c r="C718">
        <v>11.08</v>
      </c>
      <c r="D718">
        <v>-49.5</v>
      </c>
      <c r="E718">
        <v>42.91</v>
      </c>
      <c r="F718">
        <v>8.69</v>
      </c>
      <c r="G718">
        <v>-5.62</v>
      </c>
      <c r="H718">
        <v>-35.729999999999997</v>
      </c>
      <c r="I718">
        <v>23.81</v>
      </c>
      <c r="J718">
        <v>4.59</v>
      </c>
      <c r="K718">
        <v>13.22</v>
      </c>
      <c r="L718">
        <v>22.31</v>
      </c>
      <c r="M718">
        <v>47.91</v>
      </c>
      <c r="N718">
        <v>-29.58</v>
      </c>
    </row>
    <row r="719" spans="1:14">
      <c r="A719" s="2" t="s">
        <v>747</v>
      </c>
      <c r="B719" t="s">
        <v>4541</v>
      </c>
      <c r="C719">
        <v>8.59</v>
      </c>
      <c r="D719">
        <v>-12.66</v>
      </c>
      <c r="E719">
        <v>-1</v>
      </c>
      <c r="F719">
        <v>-13.48</v>
      </c>
      <c r="G719">
        <v>13.71</v>
      </c>
      <c r="H719">
        <v>18.72</v>
      </c>
      <c r="I719">
        <v>-14.93</v>
      </c>
      <c r="J719">
        <v>-5.07</v>
      </c>
      <c r="K719">
        <v>11.92</v>
      </c>
      <c r="L719">
        <v>-11.76</v>
      </c>
      <c r="M719">
        <v>-3.29</v>
      </c>
      <c r="N719">
        <v>19.309999999999999</v>
      </c>
    </row>
    <row r="720" spans="1:14">
      <c r="A720" s="2" t="s">
        <v>748</v>
      </c>
      <c r="B720" t="s">
        <v>4542</v>
      </c>
      <c r="C720">
        <v>6.01</v>
      </c>
      <c r="D720">
        <v>3.72</v>
      </c>
      <c r="E720">
        <v>-9.6999999999999993</v>
      </c>
      <c r="F720">
        <v>3.06</v>
      </c>
      <c r="G720">
        <v>25.8</v>
      </c>
      <c r="H720">
        <v>3.73</v>
      </c>
      <c r="I720">
        <v>21.32</v>
      </c>
      <c r="J720">
        <v>27.76</v>
      </c>
      <c r="K720">
        <v>25.01</v>
      </c>
      <c r="L720">
        <v>16.850000000000001</v>
      </c>
      <c r="M720">
        <v>48.37</v>
      </c>
      <c r="N720">
        <v>45.39</v>
      </c>
    </row>
    <row r="721" spans="1:14">
      <c r="A721" s="2" t="s">
        <v>749</v>
      </c>
      <c r="B721" t="s">
        <v>4543</v>
      </c>
      <c r="C721">
        <v>2.67</v>
      </c>
      <c r="D721">
        <v>53.27</v>
      </c>
      <c r="E721">
        <v>-33.409999999999997</v>
      </c>
      <c r="F721">
        <v>11.78</v>
      </c>
      <c r="G721">
        <v>-42.62</v>
      </c>
      <c r="I721">
        <v>18.899999999999999</v>
      </c>
      <c r="J721">
        <v>47.65</v>
      </c>
      <c r="K721">
        <v>-4.2300000000000004</v>
      </c>
      <c r="L721">
        <v>-19.03</v>
      </c>
      <c r="M721">
        <v>35.15</v>
      </c>
    </row>
    <row r="722" spans="1:14">
      <c r="A722" s="2" t="s">
        <v>750</v>
      </c>
      <c r="B722" t="s">
        <v>4544</v>
      </c>
      <c r="C722">
        <v>0.54</v>
      </c>
      <c r="D722">
        <v>-10.41</v>
      </c>
      <c r="E722">
        <v>10.02</v>
      </c>
      <c r="F722">
        <v>-0.36</v>
      </c>
      <c r="G722">
        <v>270.57</v>
      </c>
      <c r="H722">
        <v>-74.59</v>
      </c>
      <c r="I722">
        <v>15.8</v>
      </c>
      <c r="J722">
        <v>-5.49</v>
      </c>
      <c r="K722">
        <v>0</v>
      </c>
      <c r="L722">
        <v>1.3</v>
      </c>
      <c r="M722">
        <v>306.20999999999998</v>
      </c>
      <c r="N722">
        <v>-2.83</v>
      </c>
    </row>
    <row r="723" spans="1:14">
      <c r="A723" s="2" t="s">
        <v>751</v>
      </c>
      <c r="B723" t="s">
        <v>4545</v>
      </c>
      <c r="C723">
        <v>-4.6500000000000004</v>
      </c>
      <c r="D723">
        <v>13.83</v>
      </c>
      <c r="E723">
        <v>0.28999999999999998</v>
      </c>
      <c r="F723">
        <v>15.88</v>
      </c>
      <c r="G723">
        <v>-15.5</v>
      </c>
      <c r="H723">
        <v>0.34</v>
      </c>
      <c r="I723">
        <v>6.52</v>
      </c>
      <c r="J723">
        <v>20.87</v>
      </c>
      <c r="K723">
        <v>5.37</v>
      </c>
      <c r="L723">
        <v>25.77</v>
      </c>
      <c r="M723">
        <v>9.92</v>
      </c>
      <c r="N723">
        <v>8.0299999999999994</v>
      </c>
    </row>
    <row r="724" spans="1:14">
      <c r="A724" s="2" t="s">
        <v>752</v>
      </c>
      <c r="B724" t="s">
        <v>4546</v>
      </c>
      <c r="C724">
        <v>10.54</v>
      </c>
      <c r="D724">
        <v>7.5</v>
      </c>
      <c r="E724">
        <v>-19.079999999999998</v>
      </c>
      <c r="F724">
        <v>-9.77</v>
      </c>
      <c r="G724">
        <v>16.98</v>
      </c>
      <c r="H724">
        <v>-11.08</v>
      </c>
      <c r="I724">
        <v>-3.68</v>
      </c>
      <c r="J724">
        <v>-1.33</v>
      </c>
      <c r="K724">
        <v>-13.21</v>
      </c>
      <c r="L724">
        <v>-23.1</v>
      </c>
      <c r="M724">
        <v>-14.54</v>
      </c>
      <c r="N724">
        <v>-2.13</v>
      </c>
    </row>
    <row r="725" spans="1:14">
      <c r="A725" s="2" t="s">
        <v>753</v>
      </c>
      <c r="B725" t="s">
        <v>4547</v>
      </c>
      <c r="C725">
        <v>-9.74</v>
      </c>
      <c r="D725">
        <v>0.87</v>
      </c>
      <c r="E725">
        <v>-6.02</v>
      </c>
      <c r="F725">
        <v>-2.72</v>
      </c>
      <c r="G725">
        <v>15.59</v>
      </c>
      <c r="H725">
        <v>13.17</v>
      </c>
      <c r="I725">
        <v>2.1800000000000002</v>
      </c>
      <c r="J725">
        <v>9.1</v>
      </c>
      <c r="K725">
        <v>9.2899999999999991</v>
      </c>
      <c r="L725">
        <v>4.72</v>
      </c>
      <c r="M725">
        <v>21.55</v>
      </c>
      <c r="N725">
        <v>19.41</v>
      </c>
    </row>
    <row r="726" spans="1:14">
      <c r="A726" s="2" t="s">
        <v>754</v>
      </c>
      <c r="B726" t="s">
        <v>4548</v>
      </c>
      <c r="C726">
        <v>-73.59</v>
      </c>
      <c r="D726">
        <v>-28.8</v>
      </c>
      <c r="E726">
        <v>-4.74</v>
      </c>
      <c r="F726">
        <v>63.21</v>
      </c>
      <c r="G726">
        <v>134.49</v>
      </c>
      <c r="H726">
        <v>65.92</v>
      </c>
      <c r="I726">
        <v>-70.010000000000005</v>
      </c>
      <c r="J726">
        <v>-37.43</v>
      </c>
      <c r="K726">
        <v>-70.92</v>
      </c>
      <c r="L726">
        <v>-65.92</v>
      </c>
      <c r="M726">
        <v>1662.42</v>
      </c>
      <c r="N726">
        <v>2493.79</v>
      </c>
    </row>
    <row r="727" spans="1:14">
      <c r="A727" s="2" t="s">
        <v>755</v>
      </c>
      <c r="B727" t="s">
        <v>4549</v>
      </c>
      <c r="C727">
        <v>4.54</v>
      </c>
      <c r="D727">
        <v>5.13</v>
      </c>
      <c r="E727">
        <v>-7.61</v>
      </c>
      <c r="F727">
        <v>3</v>
      </c>
      <c r="G727">
        <v>4.79</v>
      </c>
      <c r="H727">
        <v>13.69</v>
      </c>
      <c r="I727">
        <v>-8.32</v>
      </c>
      <c r="J727">
        <v>11.78</v>
      </c>
      <c r="K727">
        <v>4.16</v>
      </c>
      <c r="L727">
        <v>-1.95</v>
      </c>
      <c r="M727">
        <v>0.21</v>
      </c>
      <c r="N727">
        <v>19.29</v>
      </c>
    </row>
    <row r="728" spans="1:14">
      <c r="A728" s="2" t="s">
        <v>756</v>
      </c>
      <c r="B728" t="s">
        <v>4550</v>
      </c>
      <c r="C728">
        <v>-0.75</v>
      </c>
      <c r="D728">
        <v>5.85</v>
      </c>
      <c r="E728">
        <v>-7.63</v>
      </c>
      <c r="F728">
        <v>-3.5</v>
      </c>
      <c r="G728">
        <v>-25.67</v>
      </c>
      <c r="H728">
        <v>11.03</v>
      </c>
      <c r="I728">
        <v>13.93</v>
      </c>
      <c r="J728">
        <v>27.63</v>
      </c>
      <c r="K728">
        <v>28.16</v>
      </c>
      <c r="L728">
        <v>6.87</v>
      </c>
      <c r="M728">
        <v>-12.12</v>
      </c>
      <c r="N728">
        <v>4.29</v>
      </c>
    </row>
    <row r="729" spans="1:14">
      <c r="A729" s="2" t="s">
        <v>757</v>
      </c>
      <c r="B729" t="s">
        <v>4551</v>
      </c>
      <c r="C729">
        <v>12.08</v>
      </c>
      <c r="D729">
        <v>2.58</v>
      </c>
      <c r="E729">
        <v>-6.8</v>
      </c>
      <c r="F729">
        <v>-15.5</v>
      </c>
      <c r="G729">
        <v>22.79</v>
      </c>
      <c r="H729">
        <v>29.72</v>
      </c>
      <c r="I729">
        <v>19.600000000000001</v>
      </c>
      <c r="J729">
        <v>14.32</v>
      </c>
      <c r="K729">
        <v>0.08</v>
      </c>
      <c r="L729">
        <v>-23.39</v>
      </c>
      <c r="M729">
        <v>8.84</v>
      </c>
      <c r="N729">
        <v>15.35</v>
      </c>
    </row>
    <row r="730" spans="1:14">
      <c r="A730" s="2" t="s">
        <v>758</v>
      </c>
      <c r="B730" t="s">
        <v>4552</v>
      </c>
      <c r="C730">
        <v>23.02</v>
      </c>
      <c r="D730">
        <v>-22.13</v>
      </c>
      <c r="E730">
        <v>-10.28</v>
      </c>
      <c r="F730">
        <v>4.54</v>
      </c>
      <c r="G730">
        <v>-10.59</v>
      </c>
      <c r="H730">
        <v>10.58</v>
      </c>
      <c r="I730">
        <v>10.64</v>
      </c>
      <c r="J730">
        <v>-9.92</v>
      </c>
      <c r="K730">
        <v>-11.47</v>
      </c>
      <c r="L730">
        <v>-17.64</v>
      </c>
      <c r="M730">
        <v>-31.3</v>
      </c>
      <c r="N730">
        <v>3</v>
      </c>
    </row>
    <row r="731" spans="1:14">
      <c r="A731" s="2" t="s">
        <v>759</v>
      </c>
      <c r="B731" t="s">
        <v>4553</v>
      </c>
      <c r="C731">
        <v>8.1300000000000008</v>
      </c>
      <c r="D731">
        <v>24.56</v>
      </c>
      <c r="E731">
        <v>-0.47</v>
      </c>
      <c r="F731">
        <v>4.9000000000000004</v>
      </c>
      <c r="G731">
        <v>15.47</v>
      </c>
      <c r="H731">
        <v>7.81</v>
      </c>
      <c r="I731">
        <v>31.86</v>
      </c>
      <c r="J731">
        <v>64.349999999999994</v>
      </c>
      <c r="K731">
        <v>66.92</v>
      </c>
      <c r="L731">
        <v>78.34</v>
      </c>
      <c r="M731">
        <v>107.5</v>
      </c>
      <c r="N731">
        <v>121.58</v>
      </c>
    </row>
    <row r="732" spans="1:14">
      <c r="A732" s="2" t="s">
        <v>760</v>
      </c>
      <c r="B732" t="s">
        <v>4554</v>
      </c>
      <c r="C732">
        <v>-8.25</v>
      </c>
      <c r="D732">
        <v>21.52</v>
      </c>
      <c r="E732">
        <v>5.74</v>
      </c>
      <c r="F732">
        <v>-43.88</v>
      </c>
      <c r="G732">
        <v>50.93</v>
      </c>
      <c r="H732">
        <v>-2.29</v>
      </c>
      <c r="I732">
        <v>-15.83</v>
      </c>
      <c r="J732">
        <v>14.37</v>
      </c>
      <c r="K732">
        <v>39.22</v>
      </c>
      <c r="L732">
        <v>-26.08</v>
      </c>
      <c r="M732">
        <v>10.91</v>
      </c>
      <c r="N732">
        <v>-17.329999999999998</v>
      </c>
    </row>
    <row r="733" spans="1:14">
      <c r="A733" s="2" t="s">
        <v>761</v>
      </c>
      <c r="B733" t="s">
        <v>4555</v>
      </c>
      <c r="C733">
        <v>-18.87</v>
      </c>
      <c r="D733">
        <v>-0.2</v>
      </c>
      <c r="E733">
        <v>4.41</v>
      </c>
      <c r="F733">
        <v>-22.98</v>
      </c>
      <c r="G733">
        <v>18.63</v>
      </c>
      <c r="H733">
        <v>62.3</v>
      </c>
      <c r="I733">
        <v>0.83</v>
      </c>
      <c r="J733">
        <v>30.97</v>
      </c>
      <c r="K733">
        <v>19.05</v>
      </c>
      <c r="L733">
        <v>-8.02</v>
      </c>
      <c r="M733">
        <v>-1.82</v>
      </c>
      <c r="N733">
        <v>38.9</v>
      </c>
    </row>
    <row r="734" spans="1:14">
      <c r="A734" s="2" t="s">
        <v>762</v>
      </c>
      <c r="B734" t="s">
        <v>4556</v>
      </c>
      <c r="C734">
        <v>-2.0499999999999998</v>
      </c>
      <c r="D734">
        <v>7.5</v>
      </c>
      <c r="E734">
        <v>-18.940000000000001</v>
      </c>
      <c r="F734">
        <v>19.59</v>
      </c>
      <c r="G734">
        <v>-6.44</v>
      </c>
      <c r="H734">
        <v>10.71</v>
      </c>
      <c r="I734">
        <v>-8.7799999999999994</v>
      </c>
      <c r="J734">
        <v>4.01</v>
      </c>
      <c r="K734">
        <v>-13.82</v>
      </c>
      <c r="L734">
        <v>-11.15</v>
      </c>
      <c r="M734">
        <v>-15.45</v>
      </c>
      <c r="N734">
        <v>9.64</v>
      </c>
    </row>
    <row r="735" spans="1:14">
      <c r="A735" s="2" t="s">
        <v>763</v>
      </c>
      <c r="B735" t="s">
        <v>4557</v>
      </c>
      <c r="C735">
        <v>-1.93</v>
      </c>
      <c r="D735">
        <v>-11.07</v>
      </c>
      <c r="E735">
        <v>-3.95</v>
      </c>
      <c r="F735">
        <v>1.07</v>
      </c>
      <c r="G735">
        <v>2.11</v>
      </c>
      <c r="H735">
        <v>5.19</v>
      </c>
      <c r="I735">
        <v>34.270000000000003</v>
      </c>
      <c r="J735">
        <v>13.61</v>
      </c>
      <c r="K735">
        <v>26.68</v>
      </c>
      <c r="L735">
        <v>30.77</v>
      </c>
      <c r="M735">
        <v>59.91</v>
      </c>
      <c r="N735">
        <v>73.58</v>
      </c>
    </row>
    <row r="736" spans="1:14">
      <c r="A736" s="2" t="s">
        <v>764</v>
      </c>
      <c r="B736" t="s">
        <v>4558</v>
      </c>
      <c r="C736">
        <v>1.35</v>
      </c>
      <c r="D736">
        <v>-14.08</v>
      </c>
      <c r="E736">
        <v>17.77</v>
      </c>
      <c r="F736">
        <v>1.69</v>
      </c>
      <c r="G736">
        <v>2.68</v>
      </c>
      <c r="H736">
        <v>-6.25</v>
      </c>
      <c r="I736">
        <v>-10.72</v>
      </c>
      <c r="J736">
        <v>-29.1</v>
      </c>
      <c r="K736">
        <v>-10.34</v>
      </c>
      <c r="L736">
        <v>-15.24</v>
      </c>
      <c r="M736">
        <v>-17.97</v>
      </c>
      <c r="N736">
        <v>-12.22</v>
      </c>
    </row>
    <row r="737" spans="1:14">
      <c r="A737" s="2" t="s">
        <v>765</v>
      </c>
      <c r="B737" t="s">
        <v>4559</v>
      </c>
      <c r="C737">
        <v>1.85</v>
      </c>
      <c r="D737">
        <v>2.3199999999999998</v>
      </c>
      <c r="E737">
        <v>-4.55</v>
      </c>
      <c r="F737">
        <v>-38.72</v>
      </c>
      <c r="G737">
        <v>-7.27</v>
      </c>
      <c r="H737">
        <v>35.619999999999997</v>
      </c>
      <c r="I737">
        <v>30.84</v>
      </c>
      <c r="J737">
        <v>70.849999999999994</v>
      </c>
      <c r="K737">
        <v>0.4</v>
      </c>
      <c r="L737">
        <v>-57.3</v>
      </c>
      <c r="M737">
        <v>-54.25</v>
      </c>
      <c r="N737">
        <v>-13.91</v>
      </c>
    </row>
    <row r="738" spans="1:14">
      <c r="A738" s="2" t="s">
        <v>766</v>
      </c>
      <c r="B738" t="s">
        <v>4560</v>
      </c>
      <c r="C738">
        <v>-28.96</v>
      </c>
      <c r="D738">
        <v>27.12</v>
      </c>
      <c r="E738">
        <v>-23.21</v>
      </c>
      <c r="F738">
        <v>3.65</v>
      </c>
      <c r="G738">
        <v>45.92</v>
      </c>
      <c r="I738">
        <v>-24.93</v>
      </c>
      <c r="J738">
        <v>-15.47</v>
      </c>
      <c r="K738">
        <v>-24.49</v>
      </c>
      <c r="L738">
        <v>-26.83</v>
      </c>
      <c r="M738">
        <v>21.06</v>
      </c>
    </row>
    <row r="739" spans="1:14">
      <c r="A739" s="2" t="s">
        <v>767</v>
      </c>
      <c r="B739" t="s">
        <v>4561</v>
      </c>
      <c r="C739">
        <v>-4.7300000000000004</v>
      </c>
      <c r="D739">
        <v>19.899999999999999</v>
      </c>
      <c r="E739">
        <v>13.08</v>
      </c>
      <c r="F739">
        <v>-17.12</v>
      </c>
      <c r="G739">
        <v>16.3</v>
      </c>
      <c r="I739">
        <v>-8.4</v>
      </c>
      <c r="J739">
        <v>-2.2999999999999998</v>
      </c>
      <c r="K739">
        <v>-21.88</v>
      </c>
      <c r="L739">
        <v>-18.989999999999998</v>
      </c>
      <c r="M739">
        <v>1.02</v>
      </c>
    </row>
    <row r="740" spans="1:14">
      <c r="A740" s="2" t="s">
        <v>768</v>
      </c>
      <c r="B740" t="s">
        <v>4562</v>
      </c>
      <c r="C740">
        <v>-0.67</v>
      </c>
      <c r="D740">
        <v>8.6</v>
      </c>
      <c r="E740">
        <v>-0.85</v>
      </c>
      <c r="F740">
        <v>4.84</v>
      </c>
      <c r="G740">
        <v>5.18</v>
      </c>
      <c r="H740">
        <v>-4.93</v>
      </c>
      <c r="I740">
        <v>12.43</v>
      </c>
      <c r="J740">
        <v>15.29</v>
      </c>
      <c r="K740">
        <v>19.440000000000001</v>
      </c>
      <c r="L740">
        <v>16.75</v>
      </c>
      <c r="M740">
        <v>26.3</v>
      </c>
      <c r="N740">
        <v>25.52</v>
      </c>
    </row>
    <row r="741" spans="1:14">
      <c r="A741" s="2" t="s">
        <v>769</v>
      </c>
      <c r="B741" t="s">
        <v>4563</v>
      </c>
      <c r="C741">
        <v>-5.97</v>
      </c>
      <c r="D741">
        <v>-17.52</v>
      </c>
      <c r="E741">
        <v>37.950000000000003</v>
      </c>
      <c r="F741">
        <v>10.78</v>
      </c>
      <c r="G741">
        <v>33.17</v>
      </c>
      <c r="H741">
        <v>2.4700000000000002</v>
      </c>
      <c r="I741">
        <v>-3.73</v>
      </c>
      <c r="J741">
        <v>-20.46</v>
      </c>
      <c r="K741">
        <v>-0.02</v>
      </c>
      <c r="L741">
        <v>37.29</v>
      </c>
      <c r="M741">
        <v>105.93</v>
      </c>
      <c r="N741">
        <v>152.72</v>
      </c>
    </row>
    <row r="742" spans="1:14">
      <c r="A742" s="2" t="s">
        <v>770</v>
      </c>
      <c r="B742" t="s">
        <v>4564</v>
      </c>
      <c r="C742">
        <v>-10.86</v>
      </c>
      <c r="D742">
        <v>-2.1800000000000002</v>
      </c>
      <c r="E742">
        <v>7.57</v>
      </c>
      <c r="F742">
        <v>-12.13</v>
      </c>
      <c r="G742">
        <v>10.210000000000001</v>
      </c>
      <c r="H742">
        <v>15.76</v>
      </c>
      <c r="I742">
        <v>-11.24</v>
      </c>
      <c r="J742">
        <v>-13.34</v>
      </c>
      <c r="K742">
        <v>3.44</v>
      </c>
      <c r="L742">
        <v>-1.1100000000000001</v>
      </c>
      <c r="M742">
        <v>4</v>
      </c>
      <c r="N742">
        <v>17.46</v>
      </c>
    </row>
    <row r="743" spans="1:14">
      <c r="A743" s="2" t="s">
        <v>771</v>
      </c>
      <c r="B743" t="s">
        <v>4565</v>
      </c>
      <c r="C743">
        <v>18.52</v>
      </c>
      <c r="D743">
        <v>-3.3</v>
      </c>
      <c r="E743">
        <v>-23.12</v>
      </c>
      <c r="F743">
        <v>-6.59</v>
      </c>
      <c r="G743">
        <v>4.47</v>
      </c>
      <c r="H743">
        <v>4.3</v>
      </c>
      <c r="I743">
        <v>42.64</v>
      </c>
      <c r="J743">
        <v>42.79</v>
      </c>
      <c r="K743">
        <v>31.58</v>
      </c>
      <c r="L743">
        <v>-16.48</v>
      </c>
      <c r="M743">
        <v>21.76</v>
      </c>
      <c r="N743">
        <v>-10.82</v>
      </c>
    </row>
    <row r="744" spans="1:14">
      <c r="A744" s="2" t="s">
        <v>772</v>
      </c>
      <c r="B744" t="s">
        <v>4566</v>
      </c>
      <c r="C744">
        <v>-4.43</v>
      </c>
      <c r="D744">
        <v>-9.01</v>
      </c>
      <c r="E744">
        <v>-8.66</v>
      </c>
      <c r="F744">
        <v>26.89</v>
      </c>
      <c r="G744">
        <v>9.49</v>
      </c>
      <c r="H744">
        <v>1.35</v>
      </c>
      <c r="I744">
        <v>20.32</v>
      </c>
      <c r="J744">
        <v>50.49</v>
      </c>
      <c r="K744">
        <v>20.59</v>
      </c>
      <c r="L744">
        <v>47.41</v>
      </c>
      <c r="M744">
        <v>41.26</v>
      </c>
      <c r="N744">
        <v>60.14</v>
      </c>
    </row>
    <row r="745" spans="1:14">
      <c r="A745" s="2" t="s">
        <v>773</v>
      </c>
      <c r="B745" t="s">
        <v>4567</v>
      </c>
      <c r="C745">
        <v>44.31</v>
      </c>
      <c r="D745">
        <v>-36.64</v>
      </c>
      <c r="E745">
        <v>16.98</v>
      </c>
      <c r="F745">
        <v>-24.05</v>
      </c>
      <c r="G745">
        <v>51.52</v>
      </c>
      <c r="I745">
        <v>23.46</v>
      </c>
      <c r="J745">
        <v>-25.71</v>
      </c>
      <c r="K745">
        <v>-1.1100000000000001</v>
      </c>
      <c r="L745">
        <v>-25.8</v>
      </c>
      <c r="M745">
        <v>-30.9</v>
      </c>
    </row>
    <row r="746" spans="1:14">
      <c r="A746" s="2" t="s">
        <v>774</v>
      </c>
      <c r="B746" t="s">
        <v>4568</v>
      </c>
      <c r="C746">
        <v>1.1200000000000001</v>
      </c>
      <c r="D746">
        <v>15.59</v>
      </c>
      <c r="E746">
        <v>-7.4</v>
      </c>
      <c r="F746">
        <v>-5.0999999999999996</v>
      </c>
      <c r="G746">
        <v>0.56999999999999995</v>
      </c>
      <c r="H746">
        <v>-4.09</v>
      </c>
      <c r="I746">
        <v>-4.97</v>
      </c>
      <c r="J746">
        <v>10.26</v>
      </c>
      <c r="K746">
        <v>5.62</v>
      </c>
      <c r="L746">
        <v>13.67</v>
      </c>
      <c r="M746">
        <v>25.63</v>
      </c>
      <c r="N746">
        <v>45.8</v>
      </c>
    </row>
    <row r="747" spans="1:14">
      <c r="A747" s="2" t="s">
        <v>775</v>
      </c>
      <c r="B747" t="s">
        <v>4569</v>
      </c>
      <c r="C747">
        <v>2.0499999999999998</v>
      </c>
      <c r="D747">
        <v>-10.75</v>
      </c>
      <c r="E747">
        <v>-8.3000000000000007</v>
      </c>
      <c r="F747">
        <v>-5.98</v>
      </c>
      <c r="G747">
        <v>21.51</v>
      </c>
      <c r="H747">
        <v>0.95</v>
      </c>
      <c r="I747">
        <v>-26.34</v>
      </c>
      <c r="J747">
        <v>-32.21</v>
      </c>
      <c r="K747">
        <v>-35.14</v>
      </c>
      <c r="L747">
        <v>-33.81</v>
      </c>
      <c r="M747">
        <v>-18.09</v>
      </c>
      <c r="N747">
        <v>-17.21</v>
      </c>
    </row>
    <row r="748" spans="1:14">
      <c r="A748" s="2" t="s">
        <v>776</v>
      </c>
      <c r="B748" t="s">
        <v>4570</v>
      </c>
      <c r="C748">
        <v>84.27</v>
      </c>
      <c r="D748">
        <v>89.03</v>
      </c>
      <c r="E748">
        <v>48.62</v>
      </c>
      <c r="F748">
        <v>-42.08</v>
      </c>
      <c r="G748">
        <v>63.7</v>
      </c>
      <c r="H748">
        <v>-77.47</v>
      </c>
      <c r="I748">
        <v>49.29</v>
      </c>
      <c r="J748">
        <v>114.93</v>
      </c>
      <c r="K748">
        <v>679.47</v>
      </c>
      <c r="L748">
        <v>40.81</v>
      </c>
      <c r="M748">
        <v>25.97</v>
      </c>
      <c r="N748">
        <v>-14.06</v>
      </c>
    </row>
    <row r="749" spans="1:14">
      <c r="A749" s="2" t="s">
        <v>777</v>
      </c>
      <c r="B749" t="s">
        <v>4571</v>
      </c>
      <c r="C749">
        <v>0.34</v>
      </c>
      <c r="D749">
        <v>26.91</v>
      </c>
      <c r="E749">
        <v>-30.92</v>
      </c>
      <c r="F749">
        <v>18.88</v>
      </c>
      <c r="G749">
        <v>59.83</v>
      </c>
      <c r="H749">
        <v>-48.68</v>
      </c>
      <c r="I749">
        <v>18.71</v>
      </c>
      <c r="J749">
        <v>18.78</v>
      </c>
      <c r="K749">
        <v>-11.48</v>
      </c>
      <c r="L749">
        <v>31.79</v>
      </c>
      <c r="M749">
        <v>21.8</v>
      </c>
      <c r="N749">
        <v>5.57</v>
      </c>
    </row>
    <row r="750" spans="1:14">
      <c r="A750" s="2" t="s">
        <v>778</v>
      </c>
      <c r="B750" t="s">
        <v>4572</v>
      </c>
      <c r="C750">
        <v>1.59</v>
      </c>
      <c r="D750">
        <v>-1.23</v>
      </c>
      <c r="E750">
        <v>-2.84</v>
      </c>
      <c r="F750">
        <v>2.56</v>
      </c>
      <c r="G750">
        <v>4.57</v>
      </c>
      <c r="H750">
        <v>12.45</v>
      </c>
      <c r="I750">
        <v>-3.81</v>
      </c>
      <c r="J750">
        <v>-6.2</v>
      </c>
      <c r="K750">
        <v>-8.3800000000000008</v>
      </c>
      <c r="L750">
        <v>-11.76</v>
      </c>
      <c r="M750">
        <v>12.38</v>
      </c>
      <c r="N750">
        <v>15.95</v>
      </c>
    </row>
    <row r="751" spans="1:14">
      <c r="A751" s="2" t="s">
        <v>779</v>
      </c>
      <c r="B751" t="s">
        <v>4573</v>
      </c>
      <c r="C751">
        <v>12.94</v>
      </c>
      <c r="D751">
        <v>0.3</v>
      </c>
      <c r="E751">
        <v>9.5399999999999991</v>
      </c>
      <c r="F751">
        <v>-4.45</v>
      </c>
      <c r="G751">
        <v>-4.68</v>
      </c>
      <c r="H751">
        <v>49.31</v>
      </c>
      <c r="I751">
        <v>-3.1</v>
      </c>
      <c r="J751">
        <v>13.91</v>
      </c>
      <c r="K751">
        <v>7.3</v>
      </c>
      <c r="L751">
        <v>-3.98</v>
      </c>
      <c r="M751">
        <v>8.02</v>
      </c>
      <c r="N751">
        <v>96.23</v>
      </c>
    </row>
    <row r="752" spans="1:14">
      <c r="A752" s="2" t="s">
        <v>780</v>
      </c>
      <c r="B752" t="s">
        <v>4574</v>
      </c>
      <c r="C752">
        <v>4.5999999999999996</v>
      </c>
      <c r="D752">
        <v>5.3</v>
      </c>
      <c r="E752">
        <v>-4.25</v>
      </c>
      <c r="F752">
        <v>0.11</v>
      </c>
      <c r="G752">
        <v>-2.36</v>
      </c>
      <c r="I752">
        <v>-0.32</v>
      </c>
      <c r="J752">
        <v>1.98</v>
      </c>
      <c r="K752">
        <v>-2.65</v>
      </c>
      <c r="L752">
        <v>0.51</v>
      </c>
      <c r="M752">
        <v>2.41</v>
      </c>
    </row>
    <row r="753" spans="1:14">
      <c r="A753" s="2" t="s">
        <v>781</v>
      </c>
      <c r="B753" t="s">
        <v>4575</v>
      </c>
      <c r="C753">
        <v>13.27</v>
      </c>
      <c r="D753">
        <v>-1.58</v>
      </c>
      <c r="E753">
        <v>-15.07</v>
      </c>
      <c r="F753">
        <v>0.53</v>
      </c>
      <c r="G753">
        <v>15.92</v>
      </c>
      <c r="H753">
        <v>-4.37</v>
      </c>
      <c r="I753">
        <v>2.23</v>
      </c>
      <c r="J753">
        <v>2.74</v>
      </c>
      <c r="K753">
        <v>14.3</v>
      </c>
      <c r="L753">
        <v>11.64</v>
      </c>
      <c r="M753">
        <v>81.5</v>
      </c>
      <c r="N753">
        <v>23.37</v>
      </c>
    </row>
    <row r="754" spans="1:14">
      <c r="A754" s="2" t="s">
        <v>782</v>
      </c>
      <c r="B754" t="s">
        <v>4576</v>
      </c>
      <c r="C754">
        <v>9.51</v>
      </c>
      <c r="D754">
        <v>13.12</v>
      </c>
      <c r="E754">
        <v>-10.199999999999999</v>
      </c>
      <c r="F754">
        <v>-6.19</v>
      </c>
      <c r="G754">
        <v>-5.3</v>
      </c>
      <c r="H754">
        <v>15.07</v>
      </c>
      <c r="I754">
        <v>12.83</v>
      </c>
      <c r="J754">
        <v>27.4</v>
      </c>
      <c r="K754">
        <v>15.25</v>
      </c>
      <c r="L754">
        <v>7.9</v>
      </c>
      <c r="M754">
        <v>3.54</v>
      </c>
      <c r="N754">
        <v>11.77</v>
      </c>
    </row>
    <row r="755" spans="1:14">
      <c r="A755" s="2" t="s">
        <v>783</v>
      </c>
      <c r="B755" t="s">
        <v>4577</v>
      </c>
      <c r="C755">
        <v>-9.84</v>
      </c>
      <c r="D755">
        <v>-21.53</v>
      </c>
      <c r="E755">
        <v>9.82</v>
      </c>
      <c r="F755">
        <v>20.83</v>
      </c>
      <c r="G755">
        <v>-7.52</v>
      </c>
      <c r="H755">
        <v>-9.06</v>
      </c>
      <c r="I755">
        <v>18.68</v>
      </c>
      <c r="J755">
        <v>32.229999999999997</v>
      </c>
      <c r="K755">
        <v>-3.2</v>
      </c>
      <c r="L755">
        <v>38.35</v>
      </c>
      <c r="M755">
        <v>27.75</v>
      </c>
      <c r="N755">
        <v>8.4</v>
      </c>
    </row>
    <row r="756" spans="1:14">
      <c r="A756" s="2" t="s">
        <v>784</v>
      </c>
      <c r="B756" t="s">
        <v>4578</v>
      </c>
      <c r="C756">
        <v>-8.1999999999999993</v>
      </c>
      <c r="D756">
        <v>28</v>
      </c>
      <c r="E756">
        <v>-34.85</v>
      </c>
      <c r="F756">
        <v>9.4700000000000006</v>
      </c>
      <c r="G756">
        <v>-12.37</v>
      </c>
      <c r="I756">
        <v>52.23</v>
      </c>
      <c r="J756">
        <v>52.51</v>
      </c>
      <c r="K756">
        <v>-2.2200000000000002</v>
      </c>
      <c r="L756">
        <v>6.08</v>
      </c>
      <c r="M756">
        <v>-17.39</v>
      </c>
    </row>
    <row r="757" spans="1:14">
      <c r="A757" s="2" t="s">
        <v>785</v>
      </c>
      <c r="B757" t="s">
        <v>4579</v>
      </c>
      <c r="C757">
        <v>-31.28</v>
      </c>
      <c r="D757">
        <v>6.09</v>
      </c>
      <c r="E757">
        <v>19.98</v>
      </c>
      <c r="F757">
        <v>0.2</v>
      </c>
      <c r="G757">
        <v>-24.81</v>
      </c>
      <c r="H757">
        <v>38.42</v>
      </c>
      <c r="I757">
        <v>-50.79</v>
      </c>
      <c r="J757">
        <v>-47.74</v>
      </c>
      <c r="K757">
        <v>-29.42</v>
      </c>
      <c r="L757">
        <v>-37.799999999999997</v>
      </c>
      <c r="M757">
        <v>-53.52</v>
      </c>
      <c r="N757">
        <v>-29.3</v>
      </c>
    </row>
    <row r="758" spans="1:14">
      <c r="A758" s="2" t="s">
        <v>786</v>
      </c>
      <c r="B758" t="s">
        <v>4580</v>
      </c>
      <c r="C758">
        <v>43.03</v>
      </c>
      <c r="D758">
        <v>-3.89</v>
      </c>
      <c r="E758">
        <v>-31.46</v>
      </c>
      <c r="F758">
        <v>35.11</v>
      </c>
      <c r="G758">
        <v>7.64</v>
      </c>
      <c r="H758">
        <v>-2.7</v>
      </c>
      <c r="I758">
        <v>35.53</v>
      </c>
      <c r="J758">
        <v>47.16</v>
      </c>
      <c r="K758">
        <v>9.16</v>
      </c>
      <c r="L758">
        <v>43.15</v>
      </c>
      <c r="M758">
        <v>22.59</v>
      </c>
      <c r="N758">
        <v>21.59</v>
      </c>
    </row>
    <row r="759" spans="1:14">
      <c r="A759" s="2" t="s">
        <v>787</v>
      </c>
      <c r="B759" t="s">
        <v>4581</v>
      </c>
      <c r="C759">
        <v>-15.56</v>
      </c>
      <c r="D759">
        <v>-8.06</v>
      </c>
      <c r="E759">
        <v>10.98</v>
      </c>
      <c r="F759">
        <v>14.94</v>
      </c>
      <c r="G759">
        <v>3.36</v>
      </c>
      <c r="H759">
        <v>10.050000000000001</v>
      </c>
      <c r="I759">
        <v>139.34</v>
      </c>
      <c r="J759">
        <v>266.97000000000003</v>
      </c>
      <c r="K759">
        <v>206.47</v>
      </c>
      <c r="L759">
        <v>248.19</v>
      </c>
      <c r="M759">
        <v>324.8</v>
      </c>
      <c r="N759">
        <v>451.09</v>
      </c>
    </row>
    <row r="760" spans="1:14">
      <c r="A760" s="2" t="s">
        <v>788</v>
      </c>
      <c r="B760" t="s">
        <v>4582</v>
      </c>
      <c r="C760">
        <v>-23.68</v>
      </c>
      <c r="D760">
        <v>24.51</v>
      </c>
      <c r="E760">
        <v>7.82</v>
      </c>
      <c r="F760">
        <v>-32.380000000000003</v>
      </c>
      <c r="G760">
        <v>100.78</v>
      </c>
      <c r="I760">
        <v>-19.62</v>
      </c>
      <c r="J760">
        <v>-18.3</v>
      </c>
      <c r="K760">
        <v>3.21</v>
      </c>
      <c r="L760">
        <v>-42.85</v>
      </c>
      <c r="M760">
        <v>0.93</v>
      </c>
    </row>
    <row r="761" spans="1:14">
      <c r="A761" s="2" t="s">
        <v>789</v>
      </c>
      <c r="B761" t="s">
        <v>4583</v>
      </c>
      <c r="C761">
        <v>8.08</v>
      </c>
      <c r="D761">
        <v>3.21</v>
      </c>
      <c r="E761">
        <v>-6.99</v>
      </c>
      <c r="F761">
        <v>30.07</v>
      </c>
      <c r="G761">
        <v>-31.14</v>
      </c>
      <c r="H761">
        <v>26</v>
      </c>
      <c r="I761">
        <v>-37.61</v>
      </c>
      <c r="J761">
        <v>-6.47</v>
      </c>
      <c r="K761">
        <v>-21.97</v>
      </c>
      <c r="L761">
        <v>-11.4</v>
      </c>
      <c r="M761">
        <v>-33.81</v>
      </c>
      <c r="N761">
        <v>-17.13</v>
      </c>
    </row>
    <row r="762" spans="1:14">
      <c r="A762" s="2" t="s">
        <v>790</v>
      </c>
      <c r="B762" t="s">
        <v>4584</v>
      </c>
      <c r="C762">
        <v>-15.67</v>
      </c>
      <c r="D762">
        <v>-14.29</v>
      </c>
      <c r="E762">
        <v>-7.55</v>
      </c>
      <c r="F762">
        <v>21.22</v>
      </c>
      <c r="G762">
        <v>-10.19</v>
      </c>
      <c r="H762">
        <v>-1.03</v>
      </c>
      <c r="I762">
        <v>-11.02</v>
      </c>
      <c r="J762">
        <v>-2.7</v>
      </c>
      <c r="K762">
        <v>-17.75</v>
      </c>
      <c r="L762">
        <v>5.89</v>
      </c>
      <c r="M762">
        <v>-2.29</v>
      </c>
      <c r="N762">
        <v>-13.66</v>
      </c>
    </row>
    <row r="763" spans="1:14">
      <c r="A763" s="2" t="s">
        <v>791</v>
      </c>
      <c r="B763" t="s">
        <v>4585</v>
      </c>
      <c r="C763">
        <v>-4.99</v>
      </c>
      <c r="D763">
        <v>-11.98</v>
      </c>
      <c r="E763">
        <v>-13.48</v>
      </c>
      <c r="F763">
        <v>20.69</v>
      </c>
      <c r="G763">
        <v>1.57</v>
      </c>
      <c r="H763">
        <v>0.28000000000000003</v>
      </c>
      <c r="I763">
        <v>42.28</v>
      </c>
      <c r="J763">
        <v>41.58</v>
      </c>
      <c r="K763">
        <v>58.52</v>
      </c>
      <c r="L763">
        <v>20.9</v>
      </c>
      <c r="M763">
        <v>22.4</v>
      </c>
      <c r="N763">
        <v>36.119999999999997</v>
      </c>
    </row>
    <row r="764" spans="1:14">
      <c r="A764" s="2" t="s">
        <v>792</v>
      </c>
      <c r="B764" t="s">
        <v>4586</v>
      </c>
      <c r="C764">
        <v>23.95</v>
      </c>
      <c r="D764">
        <v>30.54</v>
      </c>
      <c r="E764">
        <v>2.85</v>
      </c>
      <c r="F764">
        <v>5.93</v>
      </c>
      <c r="G764">
        <v>20.62</v>
      </c>
      <c r="H764">
        <v>-10.78</v>
      </c>
      <c r="I764">
        <v>42.31</v>
      </c>
      <c r="J764">
        <v>104.86</v>
      </c>
      <c r="K764">
        <v>150.6</v>
      </c>
      <c r="L764">
        <v>114.22</v>
      </c>
      <c r="M764">
        <v>75.680000000000007</v>
      </c>
      <c r="N764">
        <v>107.78</v>
      </c>
    </row>
    <row r="765" spans="1:14">
      <c r="A765" s="2" t="s">
        <v>793</v>
      </c>
      <c r="B765" t="s">
        <v>4587</v>
      </c>
      <c r="C765">
        <v>2.09</v>
      </c>
      <c r="D765">
        <v>-0.4</v>
      </c>
      <c r="E765">
        <v>2.97</v>
      </c>
      <c r="F765">
        <v>4.25</v>
      </c>
      <c r="G765">
        <v>16.41</v>
      </c>
      <c r="H765">
        <v>-19.079999999999998</v>
      </c>
      <c r="I765">
        <v>0.05</v>
      </c>
      <c r="J765">
        <v>7.67</v>
      </c>
      <c r="K765">
        <v>7.51</v>
      </c>
      <c r="L765">
        <v>1.4</v>
      </c>
      <c r="M765">
        <v>25.45</v>
      </c>
      <c r="N765">
        <v>11.17</v>
      </c>
    </row>
    <row r="766" spans="1:14">
      <c r="A766" s="2" t="s">
        <v>794</v>
      </c>
      <c r="B766" t="s">
        <v>4588</v>
      </c>
      <c r="C766">
        <v>35.24</v>
      </c>
      <c r="D766">
        <v>11.88</v>
      </c>
      <c r="E766">
        <v>-7.64</v>
      </c>
      <c r="F766">
        <v>-22.93</v>
      </c>
      <c r="G766">
        <v>-32.07</v>
      </c>
      <c r="H766">
        <v>-1.21</v>
      </c>
      <c r="I766">
        <v>60.89</v>
      </c>
      <c r="J766">
        <v>47.08</v>
      </c>
      <c r="K766">
        <v>32.18</v>
      </c>
      <c r="L766">
        <v>1.73</v>
      </c>
      <c r="M766">
        <v>9</v>
      </c>
      <c r="N766">
        <v>-5.08</v>
      </c>
    </row>
    <row r="767" spans="1:14">
      <c r="A767" s="2" t="s">
        <v>795</v>
      </c>
      <c r="B767" t="s">
        <v>4589</v>
      </c>
      <c r="C767">
        <v>-3.32</v>
      </c>
      <c r="D767">
        <v>8.4700000000000006</v>
      </c>
      <c r="E767">
        <v>8.2899999999999991</v>
      </c>
      <c r="F767">
        <v>-9.6999999999999993</v>
      </c>
      <c r="G767">
        <v>25.49</v>
      </c>
      <c r="H767">
        <v>-5.0999999999999996</v>
      </c>
      <c r="I767">
        <v>-9.61</v>
      </c>
      <c r="J767">
        <v>-19.100000000000001</v>
      </c>
      <c r="K767">
        <v>-19.170000000000002</v>
      </c>
      <c r="L767">
        <v>-19.809999999999999</v>
      </c>
      <c r="M767">
        <v>-3.99</v>
      </c>
      <c r="N767">
        <v>-8.52</v>
      </c>
    </row>
    <row r="768" spans="1:14">
      <c r="A768" s="2" t="s">
        <v>796</v>
      </c>
      <c r="B768" t="s">
        <v>4590</v>
      </c>
      <c r="C768">
        <v>-26.95</v>
      </c>
      <c r="D768">
        <v>10.220000000000001</v>
      </c>
      <c r="E768">
        <v>-5.93</v>
      </c>
      <c r="F768">
        <v>4.0599999999999996</v>
      </c>
      <c r="G768">
        <v>12.65</v>
      </c>
      <c r="H768">
        <v>2.78</v>
      </c>
      <c r="I768">
        <v>-24.21</v>
      </c>
      <c r="J768">
        <v>-15.16</v>
      </c>
      <c r="K768">
        <v>-28.97</v>
      </c>
      <c r="L768">
        <v>-15.73</v>
      </c>
      <c r="M768">
        <v>-22.42</v>
      </c>
      <c r="N768">
        <v>-6.91</v>
      </c>
    </row>
    <row r="769" spans="1:14">
      <c r="A769" s="2" t="s">
        <v>797</v>
      </c>
      <c r="B769" t="s">
        <v>4591</v>
      </c>
      <c r="C769">
        <v>2.11</v>
      </c>
      <c r="D769">
        <v>1.87</v>
      </c>
      <c r="E769">
        <v>7.56</v>
      </c>
      <c r="F769">
        <v>-28.3</v>
      </c>
      <c r="G769">
        <v>-14.51</v>
      </c>
      <c r="I769">
        <v>8.58</v>
      </c>
      <c r="J769">
        <v>2.4300000000000002</v>
      </c>
      <c r="K769">
        <v>-9.7200000000000006</v>
      </c>
      <c r="L769">
        <v>-35.68</v>
      </c>
      <c r="M769">
        <v>-55.82</v>
      </c>
    </row>
    <row r="770" spans="1:14">
      <c r="A770" s="2" t="s">
        <v>798</v>
      </c>
      <c r="B770" t="s">
        <v>4592</v>
      </c>
      <c r="C770">
        <v>24.9</v>
      </c>
      <c r="D770">
        <v>-33.619999999999997</v>
      </c>
      <c r="E770">
        <v>3.19</v>
      </c>
      <c r="F770">
        <v>-29.4</v>
      </c>
      <c r="G770">
        <v>23.29</v>
      </c>
      <c r="I770">
        <v>4.68</v>
      </c>
      <c r="J770">
        <v>-28.33</v>
      </c>
      <c r="K770">
        <v>-8.85</v>
      </c>
      <c r="L770">
        <v>-31.22</v>
      </c>
      <c r="M770">
        <v>-28.6</v>
      </c>
    </row>
    <row r="771" spans="1:14">
      <c r="A771" s="2" t="s">
        <v>799</v>
      </c>
      <c r="B771" t="s">
        <v>4593</v>
      </c>
      <c r="C771">
        <v>3.82</v>
      </c>
      <c r="D771">
        <v>-4.83</v>
      </c>
      <c r="E771">
        <v>-63.4</v>
      </c>
      <c r="F771">
        <v>-35.590000000000003</v>
      </c>
      <c r="G771">
        <v>28.17</v>
      </c>
      <c r="H771">
        <v>-8.18</v>
      </c>
      <c r="I771">
        <v>-54.01</v>
      </c>
      <c r="J771">
        <v>-17.52</v>
      </c>
      <c r="K771">
        <v>156.51</v>
      </c>
      <c r="L771">
        <v>-77.78</v>
      </c>
      <c r="M771">
        <v>-94.31</v>
      </c>
      <c r="N771">
        <v>-23.6</v>
      </c>
    </row>
    <row r="772" spans="1:14">
      <c r="A772" s="2" t="s">
        <v>800</v>
      </c>
      <c r="B772" t="s">
        <v>4594</v>
      </c>
      <c r="C772">
        <v>-1.75</v>
      </c>
      <c r="D772">
        <v>-2.91</v>
      </c>
      <c r="E772">
        <v>1.82</v>
      </c>
      <c r="F772">
        <v>2.92</v>
      </c>
      <c r="G772">
        <v>1.28</v>
      </c>
      <c r="H772">
        <v>0.89</v>
      </c>
      <c r="I772">
        <v>-1.37</v>
      </c>
      <c r="J772">
        <v>-5.9</v>
      </c>
      <c r="K772">
        <v>-0.63</v>
      </c>
      <c r="L772">
        <v>-2.93</v>
      </c>
      <c r="M772">
        <v>4.1500000000000004</v>
      </c>
      <c r="N772">
        <v>4.62</v>
      </c>
    </row>
    <row r="773" spans="1:14">
      <c r="A773" s="2" t="s">
        <v>801</v>
      </c>
      <c r="B773" t="s">
        <v>4595</v>
      </c>
      <c r="C773">
        <v>-11.2</v>
      </c>
      <c r="D773">
        <v>16.48</v>
      </c>
      <c r="E773">
        <v>-5.68</v>
      </c>
      <c r="F773">
        <v>-19.8</v>
      </c>
      <c r="G773">
        <v>15.98</v>
      </c>
      <c r="H773">
        <v>-0.68</v>
      </c>
      <c r="I773">
        <v>-1.02</v>
      </c>
      <c r="J773">
        <v>24.7</v>
      </c>
      <c r="K773">
        <v>13.4</v>
      </c>
      <c r="L773">
        <v>6.65</v>
      </c>
      <c r="M773">
        <v>5.46</v>
      </c>
      <c r="N773">
        <v>21</v>
      </c>
    </row>
    <row r="774" spans="1:14">
      <c r="A774" s="2" t="s">
        <v>802</v>
      </c>
      <c r="B774" t="s">
        <v>4596</v>
      </c>
      <c r="C774">
        <v>-2.97</v>
      </c>
      <c r="D774">
        <v>6.25</v>
      </c>
      <c r="E774">
        <v>-8.33</v>
      </c>
      <c r="F774">
        <v>-5.95</v>
      </c>
      <c r="G774">
        <v>25.18</v>
      </c>
      <c r="H774">
        <v>3.28</v>
      </c>
      <c r="I774">
        <v>1.1499999999999999</v>
      </c>
      <c r="J774">
        <v>2.7</v>
      </c>
      <c r="K774">
        <v>7.76</v>
      </c>
      <c r="L774">
        <v>-8.9499999999999993</v>
      </c>
      <c r="M774">
        <v>19.22</v>
      </c>
      <c r="N774">
        <v>18.63</v>
      </c>
    </row>
    <row r="775" spans="1:14">
      <c r="A775" s="2" t="s">
        <v>803</v>
      </c>
      <c r="B775" t="s">
        <v>4597</v>
      </c>
      <c r="C775">
        <v>21.54</v>
      </c>
      <c r="D775">
        <v>-1.87</v>
      </c>
      <c r="E775">
        <v>-18.77</v>
      </c>
      <c r="F775">
        <v>-0.53</v>
      </c>
      <c r="G775">
        <v>-11.66</v>
      </c>
      <c r="H775">
        <v>13.41</v>
      </c>
      <c r="I775">
        <v>3.29</v>
      </c>
      <c r="J775">
        <v>2.0099999999999998</v>
      </c>
      <c r="K775">
        <v>-14.7</v>
      </c>
      <c r="L775">
        <v>-8.98</v>
      </c>
      <c r="M775">
        <v>-3.26</v>
      </c>
      <c r="N775">
        <v>21.52</v>
      </c>
    </row>
    <row r="776" spans="1:14">
      <c r="A776" s="2" t="s">
        <v>804</v>
      </c>
      <c r="B776" t="s">
        <v>4598</v>
      </c>
      <c r="C776">
        <v>-7.63</v>
      </c>
      <c r="D776">
        <v>-2.52</v>
      </c>
      <c r="E776">
        <v>-0.79</v>
      </c>
      <c r="F776">
        <v>1.4</v>
      </c>
      <c r="G776">
        <v>2.94</v>
      </c>
      <c r="H776">
        <v>1.6</v>
      </c>
      <c r="I776">
        <v>-4.62</v>
      </c>
      <c r="J776">
        <v>6.66</v>
      </c>
      <c r="K776">
        <v>0.61</v>
      </c>
      <c r="L776">
        <v>-21.38</v>
      </c>
      <c r="M776">
        <v>-5.99</v>
      </c>
      <c r="N776">
        <v>2.72</v>
      </c>
    </row>
    <row r="777" spans="1:14">
      <c r="A777" s="2" t="s">
        <v>805</v>
      </c>
      <c r="B777" t="s">
        <v>4599</v>
      </c>
      <c r="C777">
        <v>5.95</v>
      </c>
      <c r="D777">
        <v>34.39</v>
      </c>
      <c r="E777">
        <v>-0.05</v>
      </c>
      <c r="F777">
        <v>11.24</v>
      </c>
      <c r="G777">
        <v>-21.75</v>
      </c>
      <c r="H777">
        <v>18.47</v>
      </c>
      <c r="I777">
        <v>-26.86</v>
      </c>
      <c r="J777">
        <v>-79.64</v>
      </c>
      <c r="K777">
        <v>-92.35</v>
      </c>
      <c r="L777">
        <v>-44.61</v>
      </c>
      <c r="M777">
        <v>-28.01</v>
      </c>
      <c r="N777">
        <v>-1.97</v>
      </c>
    </row>
    <row r="778" spans="1:14">
      <c r="A778" s="2" t="s">
        <v>806</v>
      </c>
      <c r="B778" t="s">
        <v>4600</v>
      </c>
      <c r="C778">
        <v>-7.81</v>
      </c>
      <c r="D778">
        <v>5.58</v>
      </c>
      <c r="E778">
        <v>-30.84</v>
      </c>
      <c r="F778">
        <v>10.29</v>
      </c>
      <c r="G778">
        <v>21.02</v>
      </c>
      <c r="H778">
        <v>-34.5</v>
      </c>
      <c r="I778">
        <v>-10.43</v>
      </c>
      <c r="J778">
        <v>7.1</v>
      </c>
      <c r="K778">
        <v>-9.26</v>
      </c>
      <c r="L778">
        <v>-4.4000000000000004</v>
      </c>
      <c r="M778">
        <v>-33.06</v>
      </c>
      <c r="N778">
        <v>-9.2799999999999994</v>
      </c>
    </row>
    <row r="779" spans="1:14">
      <c r="A779" s="2" t="s">
        <v>807</v>
      </c>
      <c r="B779" t="s">
        <v>4601</v>
      </c>
      <c r="C779">
        <v>31.49</v>
      </c>
      <c r="D779">
        <v>15.01</v>
      </c>
      <c r="E779">
        <v>19.64</v>
      </c>
      <c r="F779">
        <v>24.67</v>
      </c>
      <c r="G779">
        <v>12.38</v>
      </c>
      <c r="H779">
        <v>15.25</v>
      </c>
      <c r="I779">
        <v>-17.41</v>
      </c>
      <c r="J779">
        <v>-10.55</v>
      </c>
      <c r="K779">
        <v>21.11</v>
      </c>
      <c r="L779">
        <v>47.4</v>
      </c>
      <c r="M779">
        <v>38.46</v>
      </c>
      <c r="N779">
        <v>112.56</v>
      </c>
    </row>
    <row r="780" spans="1:14">
      <c r="A780" s="2" t="s">
        <v>808</v>
      </c>
      <c r="B780" t="s">
        <v>4602</v>
      </c>
      <c r="C780">
        <v>-6.87</v>
      </c>
      <c r="D780">
        <v>33.26</v>
      </c>
      <c r="E780">
        <v>-11.88</v>
      </c>
      <c r="F780">
        <v>-8.93</v>
      </c>
      <c r="G780">
        <v>13.77</v>
      </c>
      <c r="H780">
        <v>-5.82</v>
      </c>
      <c r="I780">
        <v>-15.06</v>
      </c>
      <c r="J780">
        <v>20.52</v>
      </c>
      <c r="K780">
        <v>15.85</v>
      </c>
      <c r="L780">
        <v>-6.36</v>
      </c>
      <c r="M780">
        <v>-16.91</v>
      </c>
      <c r="N780">
        <v>-26.87</v>
      </c>
    </row>
    <row r="781" spans="1:14">
      <c r="A781" s="2" t="s">
        <v>809</v>
      </c>
      <c r="B781" t="s">
        <v>4603</v>
      </c>
      <c r="C781">
        <v>-4.05</v>
      </c>
      <c r="D781">
        <v>-9.89</v>
      </c>
      <c r="E781">
        <v>-4.78</v>
      </c>
      <c r="F781">
        <v>-26.37</v>
      </c>
      <c r="G781">
        <v>43.76</v>
      </c>
      <c r="H781">
        <v>-7.24</v>
      </c>
      <c r="I781">
        <v>-2.2400000000000002</v>
      </c>
      <c r="J781">
        <v>-13.62</v>
      </c>
      <c r="K781">
        <v>-12.12</v>
      </c>
      <c r="L781">
        <v>-13.74</v>
      </c>
      <c r="M781">
        <v>43.51</v>
      </c>
      <c r="N781">
        <v>19.12</v>
      </c>
    </row>
    <row r="782" spans="1:14">
      <c r="A782" s="2" t="s">
        <v>810</v>
      </c>
      <c r="B782" t="s">
        <v>4604</v>
      </c>
      <c r="C782">
        <v>59.62</v>
      </c>
      <c r="D782">
        <v>15.45</v>
      </c>
      <c r="E782">
        <v>72.540000000000006</v>
      </c>
      <c r="F782">
        <v>-29.56</v>
      </c>
      <c r="G782">
        <v>87.94</v>
      </c>
      <c r="I782">
        <v>-29.74</v>
      </c>
      <c r="J782">
        <v>-53.22</v>
      </c>
      <c r="K782">
        <v>409.82</v>
      </c>
      <c r="L782">
        <v>-14.8</v>
      </c>
      <c r="M782">
        <v>48.22</v>
      </c>
    </row>
    <row r="783" spans="1:14">
      <c r="A783" s="2" t="s">
        <v>811</v>
      </c>
      <c r="B783" t="s">
        <v>4605</v>
      </c>
      <c r="C783">
        <v>-14.23</v>
      </c>
      <c r="D783">
        <v>11.61</v>
      </c>
      <c r="E783">
        <v>42.57</v>
      </c>
      <c r="F783">
        <v>-11.53</v>
      </c>
      <c r="G783">
        <v>46.55</v>
      </c>
      <c r="H783">
        <v>-72.33</v>
      </c>
      <c r="I783">
        <v>-45.65</v>
      </c>
      <c r="J783">
        <v>-11.94</v>
      </c>
      <c r="K783">
        <v>-23.03</v>
      </c>
      <c r="L783">
        <v>-44.05</v>
      </c>
      <c r="M783">
        <v>-22.06</v>
      </c>
      <c r="N783">
        <v>-63.57</v>
      </c>
    </row>
    <row r="784" spans="1:14">
      <c r="A784" s="2" t="s">
        <v>812</v>
      </c>
      <c r="B784" t="s">
        <v>4606</v>
      </c>
      <c r="C784">
        <v>2.0699999999999998</v>
      </c>
      <c r="D784">
        <v>3.21</v>
      </c>
      <c r="E784">
        <v>-15.37</v>
      </c>
      <c r="F784">
        <v>10.89</v>
      </c>
      <c r="G784">
        <v>-3.3</v>
      </c>
      <c r="I784">
        <v>-18.25</v>
      </c>
      <c r="J784">
        <v>3.45</v>
      </c>
      <c r="K784">
        <v>-18.71</v>
      </c>
      <c r="L784">
        <v>-0.46</v>
      </c>
      <c r="M784">
        <v>-7.9</v>
      </c>
    </row>
    <row r="785" spans="1:14">
      <c r="A785" s="2" t="s">
        <v>813</v>
      </c>
      <c r="B785" t="s">
        <v>4607</v>
      </c>
      <c r="C785">
        <v>-2.35</v>
      </c>
      <c r="D785">
        <v>10.43</v>
      </c>
      <c r="E785">
        <v>-9.39</v>
      </c>
      <c r="F785">
        <v>11.14</v>
      </c>
      <c r="G785">
        <v>8.6</v>
      </c>
      <c r="H785">
        <v>-10.52</v>
      </c>
      <c r="I785">
        <v>-3.08</v>
      </c>
      <c r="J785">
        <v>-3.54</v>
      </c>
      <c r="K785">
        <v>-3.04</v>
      </c>
      <c r="L785">
        <v>5.8</v>
      </c>
      <c r="M785">
        <v>0.28999999999999998</v>
      </c>
      <c r="N785">
        <v>13.02</v>
      </c>
    </row>
    <row r="786" spans="1:14">
      <c r="A786" s="2" t="s">
        <v>814</v>
      </c>
      <c r="B786" t="s">
        <v>4608</v>
      </c>
      <c r="C786">
        <v>-19.53</v>
      </c>
      <c r="D786">
        <v>-20.14</v>
      </c>
      <c r="E786">
        <v>-9.9700000000000006</v>
      </c>
      <c r="F786">
        <v>47.08</v>
      </c>
      <c r="G786">
        <v>29.97</v>
      </c>
      <c r="H786">
        <v>27.2</v>
      </c>
      <c r="I786">
        <v>30.02</v>
      </c>
      <c r="J786">
        <v>-1.89</v>
      </c>
      <c r="K786">
        <v>-30.16</v>
      </c>
      <c r="L786">
        <v>-11.38</v>
      </c>
      <c r="M786">
        <v>18.64</v>
      </c>
      <c r="N786">
        <v>30.65</v>
      </c>
    </row>
    <row r="787" spans="1:14">
      <c r="A787" s="2" t="s">
        <v>815</v>
      </c>
      <c r="B787" t="s">
        <v>4609</v>
      </c>
      <c r="C787">
        <v>-2.83</v>
      </c>
      <c r="D787">
        <v>49.99</v>
      </c>
      <c r="E787">
        <v>-13.17</v>
      </c>
      <c r="F787">
        <v>-9.59</v>
      </c>
      <c r="G787">
        <v>24.2</v>
      </c>
      <c r="H787">
        <v>5.87</v>
      </c>
      <c r="I787">
        <v>-27.7</v>
      </c>
      <c r="J787">
        <v>-31.08</v>
      </c>
      <c r="K787">
        <v>3.35</v>
      </c>
      <c r="L787">
        <v>-14.78</v>
      </c>
      <c r="M787">
        <v>-7.61</v>
      </c>
      <c r="N787">
        <v>20.34</v>
      </c>
    </row>
    <row r="788" spans="1:14">
      <c r="A788" s="2" t="s">
        <v>816</v>
      </c>
      <c r="B788" t="s">
        <v>4610</v>
      </c>
      <c r="C788">
        <v>-97.56</v>
      </c>
      <c r="D788">
        <v>24497.5</v>
      </c>
      <c r="E788">
        <v>1167.3800000000001</v>
      </c>
      <c r="F788">
        <v>227.35</v>
      </c>
      <c r="G788">
        <v>-68.59</v>
      </c>
      <c r="H788">
        <v>36.44</v>
      </c>
      <c r="I788">
        <v>-97.14</v>
      </c>
      <c r="J788">
        <v>240.21</v>
      </c>
      <c r="K788">
        <v>3848.64</v>
      </c>
      <c r="L788">
        <v>1959.82</v>
      </c>
      <c r="M788">
        <v>-43.31</v>
      </c>
      <c r="N788">
        <v>-30.83</v>
      </c>
    </row>
    <row r="789" spans="1:14">
      <c r="A789" s="2" t="s">
        <v>817</v>
      </c>
      <c r="B789" t="s">
        <v>4611</v>
      </c>
      <c r="C789">
        <v>29.37</v>
      </c>
      <c r="D789">
        <v>38.54</v>
      </c>
      <c r="E789">
        <v>-26.87</v>
      </c>
      <c r="F789">
        <v>62.98</v>
      </c>
      <c r="G789">
        <v>-36.81</v>
      </c>
      <c r="H789">
        <v>72.010000000000005</v>
      </c>
      <c r="I789">
        <v>65.72</v>
      </c>
      <c r="J789">
        <v>150.74</v>
      </c>
      <c r="K789">
        <v>21.34</v>
      </c>
      <c r="L789">
        <v>75.64</v>
      </c>
      <c r="M789">
        <v>45.45</v>
      </c>
      <c r="N789">
        <v>40.76</v>
      </c>
    </row>
    <row r="790" spans="1:14">
      <c r="A790" s="2" t="s">
        <v>818</v>
      </c>
      <c r="B790" t="s">
        <v>4612</v>
      </c>
      <c r="C790">
        <v>-2.77</v>
      </c>
      <c r="D790">
        <v>-3.05</v>
      </c>
      <c r="E790">
        <v>30.78</v>
      </c>
      <c r="F790">
        <v>24.37</v>
      </c>
      <c r="G790">
        <v>-8.02</v>
      </c>
      <c r="H790">
        <v>-8.02</v>
      </c>
      <c r="I790">
        <v>4.21</v>
      </c>
      <c r="J790">
        <v>-25.66</v>
      </c>
      <c r="K790">
        <v>-10.01</v>
      </c>
      <c r="L790">
        <v>25.43</v>
      </c>
      <c r="M790">
        <v>1.31</v>
      </c>
      <c r="N790">
        <v>31.89</v>
      </c>
    </row>
    <row r="791" spans="1:14">
      <c r="A791" s="2" t="s">
        <v>819</v>
      </c>
      <c r="B791" t="s">
        <v>4613</v>
      </c>
      <c r="C791">
        <v>0.71</v>
      </c>
      <c r="D791">
        <v>6.94</v>
      </c>
      <c r="E791">
        <v>-23.81</v>
      </c>
      <c r="F791">
        <v>8.86</v>
      </c>
      <c r="G791">
        <v>14.23</v>
      </c>
      <c r="H791">
        <v>1.61</v>
      </c>
      <c r="I791">
        <v>-4.43</v>
      </c>
      <c r="J791">
        <v>10.6</v>
      </c>
      <c r="K791">
        <v>-23.59</v>
      </c>
      <c r="L791">
        <v>-21.71</v>
      </c>
      <c r="M791">
        <v>8.5299999999999994</v>
      </c>
      <c r="N791">
        <v>38.950000000000003</v>
      </c>
    </row>
    <row r="792" spans="1:14">
      <c r="A792" s="2" t="s">
        <v>820</v>
      </c>
      <c r="B792" t="s">
        <v>4614</v>
      </c>
      <c r="C792">
        <v>-3.12</v>
      </c>
      <c r="D792">
        <v>5.74</v>
      </c>
      <c r="E792">
        <v>8.7100000000000009</v>
      </c>
      <c r="F792">
        <v>4.8</v>
      </c>
      <c r="G792">
        <v>-2.68</v>
      </c>
      <c r="H792">
        <v>20.010000000000002</v>
      </c>
      <c r="I792">
        <v>-0.6</v>
      </c>
      <c r="J792">
        <v>16.52</v>
      </c>
      <c r="K792">
        <v>7.59</v>
      </c>
      <c r="L792">
        <v>12.16</v>
      </c>
      <c r="M792">
        <v>-12.51</v>
      </c>
      <c r="N792">
        <v>58.99</v>
      </c>
    </row>
    <row r="793" spans="1:14">
      <c r="A793" s="2" t="s">
        <v>821</v>
      </c>
      <c r="B793" t="s">
        <v>4615</v>
      </c>
      <c r="C793">
        <v>97.31</v>
      </c>
      <c r="D793">
        <v>3320.91</v>
      </c>
      <c r="E793">
        <v>-98.83</v>
      </c>
      <c r="F793">
        <v>202.91</v>
      </c>
      <c r="G793">
        <v>662.74</v>
      </c>
      <c r="H793">
        <v>-87.38</v>
      </c>
      <c r="I793">
        <v>-78.790000000000006</v>
      </c>
      <c r="J793">
        <v>230.8</v>
      </c>
      <c r="K793">
        <v>-74.569999999999993</v>
      </c>
      <c r="L793">
        <v>-69.36</v>
      </c>
      <c r="M793">
        <v>127.13</v>
      </c>
      <c r="N793">
        <v>301.67</v>
      </c>
    </row>
    <row r="794" spans="1:14">
      <c r="A794" s="2" t="s">
        <v>822</v>
      </c>
      <c r="B794" t="s">
        <v>4616</v>
      </c>
      <c r="C794">
        <v>1.64</v>
      </c>
      <c r="D794">
        <v>8.3800000000000008</v>
      </c>
      <c r="E794">
        <v>35.1</v>
      </c>
      <c r="F794">
        <v>28.87</v>
      </c>
      <c r="G794">
        <v>1.22</v>
      </c>
      <c r="I794">
        <v>48.81</v>
      </c>
      <c r="J794">
        <v>-10.06</v>
      </c>
      <c r="K794">
        <v>46.97</v>
      </c>
      <c r="L794">
        <v>14.65</v>
      </c>
      <c r="M794">
        <v>-1.87</v>
      </c>
    </row>
    <row r="795" spans="1:14">
      <c r="A795" s="2" t="s">
        <v>823</v>
      </c>
      <c r="B795" t="s">
        <v>4617</v>
      </c>
      <c r="C795">
        <v>745.13</v>
      </c>
      <c r="D795">
        <v>-84.59</v>
      </c>
      <c r="E795">
        <v>-36.6</v>
      </c>
      <c r="F795">
        <v>-12.93</v>
      </c>
      <c r="G795">
        <v>-15.58</v>
      </c>
      <c r="H795">
        <v>7.6</v>
      </c>
      <c r="I795">
        <v>233.91</v>
      </c>
      <c r="J795">
        <v>-31.57</v>
      </c>
      <c r="K795">
        <v>-16.579999999999998</v>
      </c>
      <c r="L795">
        <v>-40.08</v>
      </c>
      <c r="M795">
        <v>-9.6199999999999992</v>
      </c>
      <c r="N795">
        <v>-29.38</v>
      </c>
    </row>
    <row r="796" spans="1:14">
      <c r="A796" s="2" t="s">
        <v>824</v>
      </c>
      <c r="B796" t="s">
        <v>4618</v>
      </c>
      <c r="C796">
        <v>5.28</v>
      </c>
      <c r="D796">
        <v>26.49</v>
      </c>
      <c r="E796">
        <v>-7.93</v>
      </c>
      <c r="F796">
        <v>3.39</v>
      </c>
      <c r="G796">
        <v>10.039999999999999</v>
      </c>
      <c r="H796">
        <v>12.62</v>
      </c>
      <c r="I796">
        <v>0</v>
      </c>
      <c r="J796">
        <v>11.71</v>
      </c>
      <c r="K796">
        <v>13.96</v>
      </c>
      <c r="L796">
        <v>20.05</v>
      </c>
      <c r="M796">
        <v>16.649999999999999</v>
      </c>
      <c r="N796">
        <v>50.91</v>
      </c>
    </row>
    <row r="797" spans="1:14">
      <c r="A797" s="2" t="s">
        <v>825</v>
      </c>
      <c r="B797" t="s">
        <v>4619</v>
      </c>
      <c r="C797">
        <v>5.33</v>
      </c>
      <c r="D797">
        <v>7.04</v>
      </c>
      <c r="E797">
        <v>-13.09</v>
      </c>
      <c r="F797">
        <v>0.61</v>
      </c>
      <c r="G797">
        <v>-6.21</v>
      </c>
      <c r="H797">
        <v>5.28</v>
      </c>
      <c r="I797">
        <v>-2.48</v>
      </c>
      <c r="J797">
        <v>-3.22</v>
      </c>
      <c r="K797">
        <v>-17.420000000000002</v>
      </c>
      <c r="L797">
        <v>-13.19</v>
      </c>
      <c r="M797">
        <v>-22.8</v>
      </c>
      <c r="N797">
        <v>9.61</v>
      </c>
    </row>
    <row r="798" spans="1:14">
      <c r="A798" s="2" t="s">
        <v>826</v>
      </c>
      <c r="B798" t="s">
        <v>4620</v>
      </c>
      <c r="C798">
        <v>13.25</v>
      </c>
      <c r="D798">
        <v>5.41</v>
      </c>
      <c r="E798">
        <v>5.43</v>
      </c>
      <c r="F798">
        <v>-1.96</v>
      </c>
      <c r="G798">
        <v>10.38</v>
      </c>
      <c r="H798">
        <v>43.99</v>
      </c>
      <c r="I798">
        <v>81.28</v>
      </c>
      <c r="J798">
        <v>97.08</v>
      </c>
      <c r="K798">
        <v>107.19</v>
      </c>
      <c r="L798">
        <v>101.42</v>
      </c>
      <c r="M798">
        <v>130.59</v>
      </c>
      <c r="N798">
        <v>151.6</v>
      </c>
    </row>
    <row r="799" spans="1:14">
      <c r="A799" s="2" t="s">
        <v>827</v>
      </c>
      <c r="B799" t="s">
        <v>4621</v>
      </c>
      <c r="C799">
        <v>-54.22</v>
      </c>
      <c r="D799">
        <v>-37.46</v>
      </c>
      <c r="E799">
        <v>298.26</v>
      </c>
      <c r="F799">
        <v>-44.48</v>
      </c>
      <c r="G799">
        <v>-76.849999999999994</v>
      </c>
      <c r="H799">
        <v>733.65</v>
      </c>
      <c r="I799">
        <v>-13.12</v>
      </c>
      <c r="J799">
        <v>52.7</v>
      </c>
      <c r="K799">
        <v>10.89</v>
      </c>
      <c r="L799">
        <v>7.25</v>
      </c>
      <c r="M799">
        <v>-36.94</v>
      </c>
      <c r="N799">
        <v>22.39</v>
      </c>
    </row>
    <row r="800" spans="1:14">
      <c r="A800" s="2" t="s">
        <v>828</v>
      </c>
      <c r="B800" t="s">
        <v>4622</v>
      </c>
      <c r="C800">
        <v>19.920000000000002</v>
      </c>
      <c r="D800">
        <v>14.84</v>
      </c>
      <c r="E800">
        <v>-6.51</v>
      </c>
      <c r="F800">
        <v>14.01</v>
      </c>
      <c r="G800">
        <v>13.03</v>
      </c>
      <c r="H800">
        <v>-0.77</v>
      </c>
      <c r="I800">
        <v>-15.69</v>
      </c>
      <c r="J800">
        <v>-13.9</v>
      </c>
      <c r="K800">
        <v>21.46</v>
      </c>
      <c r="L800">
        <v>59.99</v>
      </c>
      <c r="M800">
        <v>65.75</v>
      </c>
      <c r="N800">
        <v>80.39</v>
      </c>
    </row>
    <row r="801" spans="1:14">
      <c r="A801" s="2" t="s">
        <v>829</v>
      </c>
      <c r="B801" t="s">
        <v>4623</v>
      </c>
      <c r="C801">
        <v>-5.92</v>
      </c>
      <c r="D801">
        <v>-17.059999999999999</v>
      </c>
      <c r="E801">
        <v>30.98</v>
      </c>
      <c r="F801">
        <v>-2.99</v>
      </c>
      <c r="G801">
        <v>3.68</v>
      </c>
      <c r="H801">
        <v>7.65</v>
      </c>
      <c r="I801">
        <v>-26.55</v>
      </c>
      <c r="J801">
        <v>-39.89</v>
      </c>
      <c r="K801">
        <v>-26.25</v>
      </c>
      <c r="L801">
        <v>-20.36</v>
      </c>
      <c r="M801">
        <v>-30.45</v>
      </c>
      <c r="N801">
        <v>-18.98</v>
      </c>
    </row>
    <row r="802" spans="1:14">
      <c r="A802" s="2" t="s">
        <v>830</v>
      </c>
      <c r="B802" t="s">
        <v>4624</v>
      </c>
      <c r="C802">
        <v>1.81</v>
      </c>
      <c r="D802">
        <v>1.56</v>
      </c>
      <c r="E802">
        <v>1.85</v>
      </c>
      <c r="F802">
        <v>1.57</v>
      </c>
      <c r="G802">
        <v>3.52</v>
      </c>
      <c r="H802">
        <v>-0.47</v>
      </c>
      <c r="I802">
        <v>2.2400000000000002</v>
      </c>
      <c r="J802">
        <v>2.44</v>
      </c>
      <c r="K802">
        <v>9.4</v>
      </c>
      <c r="L802">
        <v>1.77</v>
      </c>
      <c r="M802">
        <v>3.82</v>
      </c>
      <c r="N802">
        <v>21.95</v>
      </c>
    </row>
    <row r="803" spans="1:14">
      <c r="A803" s="2" t="s">
        <v>831</v>
      </c>
      <c r="B803" t="s">
        <v>4625</v>
      </c>
      <c r="C803">
        <v>-5.84</v>
      </c>
      <c r="D803">
        <v>8.07</v>
      </c>
      <c r="E803">
        <v>-1.68</v>
      </c>
      <c r="F803">
        <v>3.14</v>
      </c>
      <c r="G803">
        <v>20.83</v>
      </c>
      <c r="H803">
        <v>-0.61</v>
      </c>
      <c r="I803">
        <v>-1.81</v>
      </c>
      <c r="J803">
        <v>4.09</v>
      </c>
      <c r="K803">
        <v>2.95</v>
      </c>
      <c r="L803">
        <v>4.34</v>
      </c>
      <c r="M803">
        <v>29.02</v>
      </c>
      <c r="N803">
        <v>31.46</v>
      </c>
    </row>
    <row r="804" spans="1:14">
      <c r="A804" s="2" t="s">
        <v>832</v>
      </c>
      <c r="B804" t="s">
        <v>4626</v>
      </c>
      <c r="C804">
        <v>342.23</v>
      </c>
      <c r="D804">
        <v>329.15</v>
      </c>
      <c r="E804">
        <v>-49.71</v>
      </c>
      <c r="F804">
        <v>173.67</v>
      </c>
      <c r="G804">
        <v>-28.51</v>
      </c>
      <c r="H804">
        <v>79.84</v>
      </c>
      <c r="I804">
        <v>-49.32</v>
      </c>
      <c r="J804">
        <v>4028.15</v>
      </c>
      <c r="K804">
        <v>2519.4299999999998</v>
      </c>
      <c r="L804">
        <v>82.58</v>
      </c>
      <c r="M804">
        <v>959.75</v>
      </c>
      <c r="N804">
        <v>9477.2199999999993</v>
      </c>
    </row>
    <row r="805" spans="1:14">
      <c r="A805" s="2" t="s">
        <v>833</v>
      </c>
      <c r="B805" t="s">
        <v>4627</v>
      </c>
      <c r="C805">
        <v>-18.41</v>
      </c>
      <c r="D805">
        <v>1.81</v>
      </c>
      <c r="E805">
        <v>12.92</v>
      </c>
      <c r="F805">
        <v>-11.64</v>
      </c>
      <c r="G805">
        <v>7.3</v>
      </c>
      <c r="H805">
        <v>9.2799999999999994</v>
      </c>
      <c r="I805">
        <v>-9.92</v>
      </c>
      <c r="J805">
        <v>-9.6300000000000008</v>
      </c>
      <c r="K805">
        <v>-0.34</v>
      </c>
      <c r="L805">
        <v>7.71</v>
      </c>
      <c r="M805">
        <v>32.130000000000003</v>
      </c>
      <c r="N805">
        <v>26.15</v>
      </c>
    </row>
    <row r="806" spans="1:14">
      <c r="A806" s="2" t="s">
        <v>834</v>
      </c>
      <c r="B806" t="s">
        <v>4628</v>
      </c>
      <c r="C806">
        <v>10.78</v>
      </c>
      <c r="D806">
        <v>-13.39</v>
      </c>
      <c r="E806">
        <v>21.75</v>
      </c>
      <c r="F806">
        <v>5.89</v>
      </c>
      <c r="G806">
        <v>-20.67</v>
      </c>
      <c r="I806">
        <v>65.180000000000007</v>
      </c>
      <c r="J806">
        <v>23.42</v>
      </c>
      <c r="K806">
        <v>22.74</v>
      </c>
      <c r="L806">
        <v>30</v>
      </c>
      <c r="M806">
        <v>9.6</v>
      </c>
    </row>
    <row r="807" spans="1:14">
      <c r="A807" s="2" t="s">
        <v>835</v>
      </c>
      <c r="B807" t="s">
        <v>4629</v>
      </c>
      <c r="C807">
        <v>8.91</v>
      </c>
      <c r="D807">
        <v>-8.2100000000000009</v>
      </c>
      <c r="E807">
        <v>-1.19</v>
      </c>
      <c r="F807">
        <v>1.49</v>
      </c>
      <c r="G807">
        <v>21.75</v>
      </c>
      <c r="H807">
        <v>-19.059999999999999</v>
      </c>
      <c r="I807">
        <v>-16.23</v>
      </c>
      <c r="J807">
        <v>2.96</v>
      </c>
      <c r="K807">
        <v>-14.82</v>
      </c>
      <c r="L807">
        <v>-7.46</v>
      </c>
      <c r="M807">
        <v>14.5</v>
      </c>
      <c r="N807">
        <v>-0.78</v>
      </c>
    </row>
    <row r="808" spans="1:14">
      <c r="A808" s="2" t="s">
        <v>836</v>
      </c>
      <c r="B808" t="s">
        <v>4630</v>
      </c>
      <c r="C808">
        <v>-13.16</v>
      </c>
      <c r="D808">
        <v>8.82</v>
      </c>
      <c r="E808">
        <v>2.67</v>
      </c>
      <c r="F808">
        <v>-0.79</v>
      </c>
      <c r="G808">
        <v>18.559999999999999</v>
      </c>
      <c r="H808">
        <v>8.8000000000000007</v>
      </c>
      <c r="I808">
        <v>-16.73</v>
      </c>
      <c r="J808">
        <v>-5.08</v>
      </c>
      <c r="K808">
        <v>-2.88</v>
      </c>
      <c r="L808">
        <v>-7.2</v>
      </c>
      <c r="M808">
        <v>3.55</v>
      </c>
      <c r="N808">
        <v>10.1</v>
      </c>
    </row>
    <row r="809" spans="1:14">
      <c r="A809" s="2" t="s">
        <v>837</v>
      </c>
      <c r="B809" t="s">
        <v>4631</v>
      </c>
      <c r="C809">
        <v>-6.33</v>
      </c>
      <c r="D809">
        <v>5.39</v>
      </c>
      <c r="E809">
        <v>-8.69</v>
      </c>
      <c r="F809">
        <v>1.3</v>
      </c>
      <c r="G809">
        <v>-10.02</v>
      </c>
      <c r="H809">
        <v>-2.83</v>
      </c>
      <c r="I809">
        <v>-15.79</v>
      </c>
      <c r="J809">
        <v>-26.15</v>
      </c>
      <c r="K809">
        <v>-32.67</v>
      </c>
      <c r="L809">
        <v>-36.229999999999997</v>
      </c>
      <c r="M809">
        <v>-29.82</v>
      </c>
      <c r="N809">
        <v>-16.059999999999999</v>
      </c>
    </row>
    <row r="810" spans="1:14">
      <c r="A810" s="2" t="s">
        <v>838</v>
      </c>
      <c r="B810" t="s">
        <v>4632</v>
      </c>
      <c r="C810">
        <v>-13.18</v>
      </c>
      <c r="D810">
        <v>-6.71</v>
      </c>
      <c r="E810">
        <v>7.8</v>
      </c>
      <c r="F810">
        <v>11.7</v>
      </c>
      <c r="G810">
        <v>79.3</v>
      </c>
      <c r="H810">
        <v>-36.869999999999997</v>
      </c>
      <c r="I810">
        <v>11.74</v>
      </c>
      <c r="J810">
        <v>-9.82</v>
      </c>
      <c r="K810">
        <v>7.14</v>
      </c>
      <c r="L810">
        <v>-15.04</v>
      </c>
      <c r="M810">
        <v>67.900000000000006</v>
      </c>
      <c r="N810">
        <v>-1.07</v>
      </c>
    </row>
    <row r="811" spans="1:14">
      <c r="A811" s="2" t="s">
        <v>839</v>
      </c>
      <c r="B811" t="s">
        <v>4633</v>
      </c>
      <c r="C811">
        <v>13.85</v>
      </c>
      <c r="D811">
        <v>0.16</v>
      </c>
      <c r="E811">
        <v>-7.11</v>
      </c>
      <c r="F811">
        <v>0.32</v>
      </c>
      <c r="G811">
        <v>12.04</v>
      </c>
      <c r="H811">
        <v>-18.190000000000001</v>
      </c>
      <c r="I811">
        <v>-2.15</v>
      </c>
      <c r="J811">
        <v>3.31</v>
      </c>
      <c r="K811">
        <v>-0.95</v>
      </c>
      <c r="L811">
        <v>-34.6</v>
      </c>
      <c r="M811">
        <v>-33.31</v>
      </c>
      <c r="N811">
        <v>-24.25</v>
      </c>
    </row>
    <row r="812" spans="1:14">
      <c r="A812" s="2" t="s">
        <v>840</v>
      </c>
      <c r="B812" t="s">
        <v>4634</v>
      </c>
      <c r="C812">
        <v>-6.47</v>
      </c>
      <c r="D812">
        <v>8.98</v>
      </c>
      <c r="E812">
        <v>-12.91</v>
      </c>
      <c r="F812">
        <v>25.67</v>
      </c>
      <c r="G812">
        <v>-6.61</v>
      </c>
      <c r="H812">
        <v>20.93</v>
      </c>
      <c r="I812">
        <v>0.28999999999999998</v>
      </c>
      <c r="J812">
        <v>10.99</v>
      </c>
      <c r="K812">
        <v>-9.2799999999999994</v>
      </c>
      <c r="L812">
        <v>-5.69</v>
      </c>
      <c r="M812">
        <v>0.53</v>
      </c>
      <c r="N812">
        <v>60.95</v>
      </c>
    </row>
    <row r="813" spans="1:14">
      <c r="A813" s="2" t="s">
        <v>841</v>
      </c>
      <c r="B813" t="s">
        <v>4635</v>
      </c>
      <c r="C813">
        <v>2.67</v>
      </c>
      <c r="D813">
        <v>6.02</v>
      </c>
      <c r="E813">
        <v>7.29</v>
      </c>
      <c r="F813">
        <v>1.05</v>
      </c>
      <c r="G813">
        <v>0.67</v>
      </c>
      <c r="H813">
        <v>-2.76</v>
      </c>
      <c r="I813">
        <v>13.62</v>
      </c>
      <c r="J813">
        <v>23.65</v>
      </c>
      <c r="K813">
        <v>28.24</v>
      </c>
      <c r="L813">
        <v>28.32</v>
      </c>
      <c r="M813">
        <v>20.29</v>
      </c>
      <c r="N813">
        <v>29.69</v>
      </c>
    </row>
    <row r="814" spans="1:14">
      <c r="A814" s="2" t="s">
        <v>842</v>
      </c>
      <c r="B814" t="s">
        <v>4636</v>
      </c>
      <c r="C814">
        <v>-1.04</v>
      </c>
      <c r="D814">
        <v>17.48</v>
      </c>
      <c r="E814">
        <v>-0.42</v>
      </c>
      <c r="F814">
        <v>7.44</v>
      </c>
      <c r="G814">
        <v>-7.38</v>
      </c>
      <c r="I814">
        <v>1.0900000000000001</v>
      </c>
      <c r="J814">
        <v>4.68</v>
      </c>
      <c r="K814">
        <v>11.52</v>
      </c>
      <c r="L814">
        <v>2.0099999999999998</v>
      </c>
      <c r="M814">
        <v>-8.86</v>
      </c>
    </row>
    <row r="815" spans="1:14">
      <c r="A815" s="2" t="s">
        <v>843</v>
      </c>
      <c r="B815" t="s">
        <v>4637</v>
      </c>
      <c r="C815">
        <v>-46.56</v>
      </c>
      <c r="D815">
        <v>48.97</v>
      </c>
      <c r="E815">
        <v>-45.69</v>
      </c>
      <c r="F815">
        <v>31.71</v>
      </c>
      <c r="G815">
        <v>33.229999999999997</v>
      </c>
      <c r="I815">
        <v>490.56</v>
      </c>
      <c r="J815">
        <v>657.85</v>
      </c>
      <c r="K815">
        <v>541.39</v>
      </c>
      <c r="L815">
        <v>593.74</v>
      </c>
      <c r="M815">
        <v>250.18</v>
      </c>
    </row>
    <row r="816" spans="1:14">
      <c r="A816" s="2" t="s">
        <v>844</v>
      </c>
      <c r="B816" t="s">
        <v>4638</v>
      </c>
      <c r="C816">
        <v>0.97</v>
      </c>
      <c r="D816">
        <v>16.309999999999999</v>
      </c>
      <c r="E816">
        <v>20.83</v>
      </c>
      <c r="F816">
        <v>-19.920000000000002</v>
      </c>
      <c r="G816">
        <v>4.28</v>
      </c>
      <c r="H816">
        <v>64.83</v>
      </c>
      <c r="I816">
        <v>-13.25</v>
      </c>
      <c r="J816">
        <v>15.24</v>
      </c>
      <c r="K816">
        <v>19.18</v>
      </c>
      <c r="L816">
        <v>12</v>
      </c>
      <c r="M816">
        <v>7.52</v>
      </c>
      <c r="N816">
        <v>113.89</v>
      </c>
    </row>
    <row r="817" spans="1:14">
      <c r="A817" s="2" t="s">
        <v>845</v>
      </c>
      <c r="B817" t="s">
        <v>4639</v>
      </c>
      <c r="C817">
        <v>6.85</v>
      </c>
      <c r="D817">
        <v>-7.01</v>
      </c>
      <c r="E817">
        <v>40.96</v>
      </c>
      <c r="F817">
        <v>-14.69</v>
      </c>
      <c r="G817">
        <v>74.59</v>
      </c>
      <c r="H817">
        <v>30.74</v>
      </c>
      <c r="I817">
        <v>-51.39</v>
      </c>
      <c r="J817">
        <v>-40.04</v>
      </c>
      <c r="K817">
        <v>-19.899999999999999</v>
      </c>
      <c r="L817">
        <v>-37.979999999999997</v>
      </c>
      <c r="M817">
        <v>-9.4</v>
      </c>
      <c r="N817">
        <v>-10.84</v>
      </c>
    </row>
    <row r="818" spans="1:14">
      <c r="A818" s="2" t="s">
        <v>846</v>
      </c>
      <c r="B818" t="s">
        <v>4640</v>
      </c>
      <c r="C818">
        <v>-6.66</v>
      </c>
      <c r="D818">
        <v>0.53</v>
      </c>
      <c r="E818">
        <v>0.87</v>
      </c>
      <c r="F818">
        <v>-12.3</v>
      </c>
      <c r="G818">
        <v>20.36</v>
      </c>
      <c r="H818">
        <v>-20.91</v>
      </c>
      <c r="I818">
        <v>16.010000000000002</v>
      </c>
      <c r="J818">
        <v>16.77</v>
      </c>
      <c r="K818">
        <v>-0.74</v>
      </c>
      <c r="L818">
        <v>-13.15</v>
      </c>
      <c r="M818">
        <v>-1.1399999999999999</v>
      </c>
      <c r="N818">
        <v>-18.66</v>
      </c>
    </row>
    <row r="819" spans="1:14">
      <c r="A819" s="2" t="s">
        <v>847</v>
      </c>
      <c r="B819" t="s">
        <v>4641</v>
      </c>
      <c r="C819">
        <v>-2.42</v>
      </c>
      <c r="D819">
        <v>-14.18</v>
      </c>
      <c r="E819">
        <v>-9.73</v>
      </c>
      <c r="F819">
        <v>10.75</v>
      </c>
      <c r="G819">
        <v>7.0000000000000007E-2</v>
      </c>
      <c r="H819">
        <v>5.04</v>
      </c>
      <c r="I819">
        <v>149.87</v>
      </c>
      <c r="J819">
        <v>77.2</v>
      </c>
      <c r="K819">
        <v>12.21</v>
      </c>
      <c r="L819">
        <v>9.17</v>
      </c>
      <c r="M819">
        <v>6.98</v>
      </c>
      <c r="N819">
        <v>11.47</v>
      </c>
    </row>
    <row r="820" spans="1:14">
      <c r="A820" s="2" t="s">
        <v>848</v>
      </c>
      <c r="B820" t="s">
        <v>4642</v>
      </c>
      <c r="C820">
        <v>11.1</v>
      </c>
      <c r="D820">
        <v>25.8</v>
      </c>
      <c r="E820">
        <v>-3.42</v>
      </c>
      <c r="F820">
        <v>3.33</v>
      </c>
      <c r="G820">
        <v>23.71</v>
      </c>
      <c r="H820">
        <v>-30.08</v>
      </c>
      <c r="I820">
        <v>-14.11</v>
      </c>
      <c r="J820">
        <v>7.39</v>
      </c>
      <c r="K820">
        <v>5.21</v>
      </c>
      <c r="L820">
        <v>3.02</v>
      </c>
      <c r="M820">
        <v>4.58</v>
      </c>
      <c r="N820">
        <v>5.16</v>
      </c>
    </row>
    <row r="821" spans="1:14">
      <c r="A821" s="2" t="s">
        <v>849</v>
      </c>
      <c r="B821" t="s">
        <v>4643</v>
      </c>
      <c r="C821">
        <v>13.77</v>
      </c>
      <c r="D821">
        <v>1.84</v>
      </c>
      <c r="E821">
        <v>1.91</v>
      </c>
      <c r="F821">
        <v>-5.78</v>
      </c>
      <c r="G821">
        <v>-2.11</v>
      </c>
      <c r="H821">
        <v>-13.75</v>
      </c>
      <c r="I821">
        <v>-4.63</v>
      </c>
      <c r="J821">
        <v>-2.4300000000000002</v>
      </c>
      <c r="K821">
        <v>4.9000000000000004</v>
      </c>
      <c r="L821">
        <v>-1.83</v>
      </c>
      <c r="M821">
        <v>-3.92</v>
      </c>
      <c r="N821">
        <v>-2.11</v>
      </c>
    </row>
    <row r="822" spans="1:14">
      <c r="A822" s="2" t="s">
        <v>850</v>
      </c>
      <c r="B822" t="s">
        <v>4644</v>
      </c>
      <c r="C822">
        <v>-7.6</v>
      </c>
      <c r="D822">
        <v>35.549999999999997</v>
      </c>
      <c r="E822">
        <v>-32.49</v>
      </c>
      <c r="F822">
        <v>0.43</v>
      </c>
      <c r="G822">
        <v>28</v>
      </c>
      <c r="I822">
        <v>28.5</v>
      </c>
      <c r="J822">
        <v>21.43</v>
      </c>
      <c r="K822">
        <v>-39.08</v>
      </c>
      <c r="L822">
        <v>-18.350000000000001</v>
      </c>
      <c r="M822">
        <v>11.67</v>
      </c>
    </row>
    <row r="823" spans="1:14">
      <c r="A823" s="2" t="s">
        <v>851</v>
      </c>
      <c r="B823" t="s">
        <v>4645</v>
      </c>
      <c r="C823">
        <v>57.87</v>
      </c>
      <c r="D823">
        <v>0.95</v>
      </c>
      <c r="E823">
        <v>-16.55</v>
      </c>
      <c r="F823">
        <v>-44.04</v>
      </c>
      <c r="G823">
        <v>87.9</v>
      </c>
      <c r="I823">
        <v>-39.15</v>
      </c>
      <c r="J823">
        <v>-33.520000000000003</v>
      </c>
      <c r="K823">
        <v>-21.88</v>
      </c>
      <c r="L823">
        <v>-54.53</v>
      </c>
      <c r="M823">
        <v>-74.98</v>
      </c>
    </row>
    <row r="824" spans="1:14">
      <c r="A824" s="2" t="s">
        <v>852</v>
      </c>
      <c r="B824" t="s">
        <v>4646</v>
      </c>
      <c r="C824">
        <v>-0.04</v>
      </c>
      <c r="D824">
        <v>-16.309999999999999</v>
      </c>
      <c r="E824">
        <v>22.59</v>
      </c>
      <c r="F824">
        <v>22.96</v>
      </c>
      <c r="G824">
        <v>-16.579999999999998</v>
      </c>
      <c r="H824">
        <v>45.82</v>
      </c>
      <c r="I824">
        <v>-32.04</v>
      </c>
      <c r="J824">
        <v>-28.66</v>
      </c>
      <c r="K824">
        <v>26</v>
      </c>
      <c r="L824">
        <v>-0.23</v>
      </c>
      <c r="M824">
        <v>34.270000000000003</v>
      </c>
      <c r="N824">
        <v>5.53</v>
      </c>
    </row>
    <row r="825" spans="1:14">
      <c r="A825" s="2" t="s">
        <v>853</v>
      </c>
      <c r="B825" t="s">
        <v>4647</v>
      </c>
      <c r="C825">
        <v>-13.12</v>
      </c>
      <c r="D825">
        <v>-3.55</v>
      </c>
      <c r="E825">
        <v>38.26</v>
      </c>
      <c r="F825">
        <v>-41.03</v>
      </c>
      <c r="G825">
        <v>28.01</v>
      </c>
      <c r="H825">
        <v>-26.81</v>
      </c>
      <c r="I825">
        <v>-27.26</v>
      </c>
      <c r="J825">
        <v>-37.26</v>
      </c>
      <c r="K825">
        <v>-33</v>
      </c>
      <c r="L825">
        <v>-29.47</v>
      </c>
      <c r="M825">
        <v>-8.01</v>
      </c>
      <c r="N825">
        <v>-10.41</v>
      </c>
    </row>
    <row r="826" spans="1:14">
      <c r="A826" s="2" t="s">
        <v>854</v>
      </c>
      <c r="B826" t="s">
        <v>4648</v>
      </c>
      <c r="C826">
        <v>49.75</v>
      </c>
      <c r="D826">
        <v>1.23</v>
      </c>
      <c r="E826">
        <v>-1.44</v>
      </c>
      <c r="F826">
        <v>-16.3</v>
      </c>
      <c r="G826">
        <v>68.92</v>
      </c>
      <c r="H826">
        <v>-31.29</v>
      </c>
      <c r="I826">
        <v>22.31</v>
      </c>
      <c r="J826">
        <v>22.3</v>
      </c>
      <c r="K826">
        <v>21.89</v>
      </c>
      <c r="L826">
        <v>19.649999999999999</v>
      </c>
      <c r="M826">
        <v>82.56</v>
      </c>
      <c r="N826">
        <v>17.739999999999998</v>
      </c>
    </row>
    <row r="827" spans="1:14">
      <c r="A827" s="2" t="s">
        <v>855</v>
      </c>
      <c r="B827" t="s">
        <v>4649</v>
      </c>
      <c r="C827">
        <v>-0.9</v>
      </c>
      <c r="D827">
        <v>11.88</v>
      </c>
      <c r="E827">
        <v>-13.37</v>
      </c>
      <c r="F827">
        <v>9.2100000000000009</v>
      </c>
      <c r="G827">
        <v>2.2799999999999998</v>
      </c>
      <c r="H827">
        <v>3.86</v>
      </c>
      <c r="I827">
        <v>2.8</v>
      </c>
      <c r="J827">
        <v>16.88</v>
      </c>
      <c r="K827">
        <v>-0.52</v>
      </c>
      <c r="L827">
        <v>6.55</v>
      </c>
      <c r="M827">
        <v>24.03</v>
      </c>
      <c r="N827">
        <v>14.44</v>
      </c>
    </row>
    <row r="828" spans="1:14">
      <c r="A828" s="2" t="s">
        <v>856</v>
      </c>
      <c r="B828" t="s">
        <v>4650</v>
      </c>
      <c r="C828">
        <v>1.04</v>
      </c>
      <c r="D828">
        <v>5.49</v>
      </c>
      <c r="E828">
        <v>-4.67</v>
      </c>
      <c r="F828">
        <v>1.17</v>
      </c>
      <c r="G828">
        <v>2.7</v>
      </c>
      <c r="H828">
        <v>-9.31</v>
      </c>
      <c r="I828">
        <v>10.5</v>
      </c>
      <c r="J828">
        <v>11.92</v>
      </c>
      <c r="K828">
        <v>17.48</v>
      </c>
      <c r="L828">
        <v>14.19</v>
      </c>
      <c r="M828">
        <v>10.65</v>
      </c>
      <c r="N828">
        <v>16.829999999999998</v>
      </c>
    </row>
    <row r="829" spans="1:14">
      <c r="A829" s="2" t="s">
        <v>857</v>
      </c>
      <c r="B829" t="s">
        <v>4651</v>
      </c>
      <c r="C829">
        <v>7.62</v>
      </c>
      <c r="D829">
        <v>-0.19</v>
      </c>
      <c r="E829">
        <v>-6.65</v>
      </c>
      <c r="F829">
        <v>5.98</v>
      </c>
      <c r="G829">
        <v>8.51</v>
      </c>
      <c r="H829">
        <v>12.52</v>
      </c>
      <c r="I829">
        <v>-25.25</v>
      </c>
      <c r="J829">
        <v>-20.82</v>
      </c>
      <c r="K829">
        <v>-13.35</v>
      </c>
      <c r="L829">
        <v>0.15</v>
      </c>
      <c r="M829">
        <v>13.63</v>
      </c>
      <c r="N829">
        <v>13.52</v>
      </c>
    </row>
    <row r="830" spans="1:14">
      <c r="A830" s="2" t="s">
        <v>858</v>
      </c>
      <c r="B830" t="s">
        <v>4652</v>
      </c>
      <c r="C830">
        <v>-10.26</v>
      </c>
      <c r="D830">
        <v>-9.57</v>
      </c>
      <c r="E830">
        <v>14.49</v>
      </c>
      <c r="F830">
        <v>-5.05</v>
      </c>
      <c r="G830">
        <v>-6.48</v>
      </c>
      <c r="H830">
        <v>16.43</v>
      </c>
      <c r="I830">
        <v>-16.829999999999998</v>
      </c>
      <c r="J830">
        <v>-26.5</v>
      </c>
      <c r="K830">
        <v>-7.85</v>
      </c>
      <c r="L830">
        <v>-22.1</v>
      </c>
      <c r="M830">
        <v>-23.65</v>
      </c>
      <c r="N830">
        <v>-2.1800000000000002</v>
      </c>
    </row>
    <row r="831" spans="1:14">
      <c r="A831" s="2" t="s">
        <v>859</v>
      </c>
      <c r="B831" t="s">
        <v>4653</v>
      </c>
      <c r="C831">
        <v>-2.23</v>
      </c>
      <c r="D831">
        <v>-1.03</v>
      </c>
      <c r="E831">
        <v>-3.99</v>
      </c>
      <c r="F831">
        <v>5.39</v>
      </c>
      <c r="G831">
        <v>-1.42</v>
      </c>
      <c r="H831">
        <v>-0.59</v>
      </c>
      <c r="I831">
        <v>-11.44</v>
      </c>
      <c r="J831">
        <v>-14.99</v>
      </c>
      <c r="K831">
        <v>-13.89</v>
      </c>
      <c r="L831">
        <v>-0.83</v>
      </c>
      <c r="M831">
        <v>-5.5</v>
      </c>
      <c r="N831">
        <v>-8.1999999999999993</v>
      </c>
    </row>
    <row r="832" spans="1:14">
      <c r="A832" s="2" t="s">
        <v>860</v>
      </c>
      <c r="B832" t="s">
        <v>4654</v>
      </c>
      <c r="C832">
        <v>-13.82</v>
      </c>
      <c r="D832">
        <v>24.81</v>
      </c>
      <c r="E832">
        <v>-25.48</v>
      </c>
      <c r="F832">
        <v>-16.36</v>
      </c>
      <c r="G832">
        <v>20.69</v>
      </c>
      <c r="I832">
        <v>3.65</v>
      </c>
      <c r="J832">
        <v>19.09</v>
      </c>
      <c r="K832">
        <v>-19.98</v>
      </c>
      <c r="L832">
        <v>-38.61</v>
      </c>
      <c r="M832">
        <v>-4.5199999999999996</v>
      </c>
    </row>
    <row r="833" spans="1:14">
      <c r="A833" s="2" t="s">
        <v>861</v>
      </c>
      <c r="B833" t="s">
        <v>4655</v>
      </c>
      <c r="C833">
        <v>2.78</v>
      </c>
      <c r="D833">
        <v>3.71</v>
      </c>
      <c r="E833">
        <v>11.1</v>
      </c>
      <c r="F833">
        <v>23.65</v>
      </c>
      <c r="G833">
        <v>-30.06</v>
      </c>
      <c r="H833">
        <v>-22.82</v>
      </c>
      <c r="I833">
        <v>43.95</v>
      </c>
      <c r="J833">
        <v>46.95</v>
      </c>
      <c r="K833">
        <v>23.94</v>
      </c>
      <c r="L833">
        <v>8.02</v>
      </c>
      <c r="M833">
        <v>-13.64</v>
      </c>
      <c r="N833">
        <v>9.74</v>
      </c>
    </row>
    <row r="834" spans="1:14">
      <c r="A834" s="2" t="s">
        <v>862</v>
      </c>
      <c r="B834" t="s">
        <v>4656</v>
      </c>
      <c r="C834">
        <v>3.18</v>
      </c>
      <c r="D834">
        <v>0.55000000000000004</v>
      </c>
      <c r="E834">
        <v>-4.49</v>
      </c>
      <c r="F834">
        <v>-2.71</v>
      </c>
      <c r="G834">
        <v>-2.96</v>
      </c>
      <c r="H834">
        <v>0.59</v>
      </c>
      <c r="I834">
        <v>15.57</v>
      </c>
      <c r="J834">
        <v>14.94</v>
      </c>
      <c r="K834">
        <v>10.95</v>
      </c>
      <c r="L834">
        <v>6.79</v>
      </c>
      <c r="M834">
        <v>5</v>
      </c>
      <c r="N834">
        <v>7.43</v>
      </c>
    </row>
    <row r="835" spans="1:14">
      <c r="A835" s="2" t="s">
        <v>863</v>
      </c>
      <c r="B835" t="s">
        <v>4657</v>
      </c>
      <c r="C835">
        <v>9.69</v>
      </c>
      <c r="D835">
        <v>3.94</v>
      </c>
      <c r="E835">
        <v>-10.78</v>
      </c>
      <c r="F835">
        <v>9.83</v>
      </c>
      <c r="G835">
        <v>-3.82</v>
      </c>
      <c r="H835">
        <v>0.3</v>
      </c>
      <c r="I835">
        <v>17.059999999999999</v>
      </c>
      <c r="J835">
        <v>12.45</v>
      </c>
      <c r="K835">
        <v>-7.37</v>
      </c>
      <c r="L835">
        <v>-0.23</v>
      </c>
      <c r="M835">
        <v>-6.45</v>
      </c>
      <c r="N835">
        <v>18.010000000000002</v>
      </c>
    </row>
    <row r="836" spans="1:14">
      <c r="A836" s="2" t="s">
        <v>864</v>
      </c>
      <c r="B836" t="s">
        <v>4658</v>
      </c>
      <c r="C836">
        <v>5.25</v>
      </c>
      <c r="D836">
        <v>2.93</v>
      </c>
      <c r="E836">
        <v>-9.2899999999999991</v>
      </c>
      <c r="F836">
        <v>5.59</v>
      </c>
      <c r="G836">
        <v>-1.25</v>
      </c>
      <c r="H836">
        <v>16.18</v>
      </c>
      <c r="I836">
        <v>6.09</v>
      </c>
      <c r="J836">
        <v>4.04</v>
      </c>
      <c r="K836">
        <v>2.95</v>
      </c>
      <c r="L836">
        <v>-0.28999999999999998</v>
      </c>
      <c r="M836">
        <v>0.04</v>
      </c>
      <c r="N836">
        <v>17.82</v>
      </c>
    </row>
    <row r="837" spans="1:14">
      <c r="A837" s="2" t="s">
        <v>865</v>
      </c>
      <c r="B837" t="s">
        <v>4659</v>
      </c>
      <c r="C837">
        <v>-1.62</v>
      </c>
      <c r="D837">
        <v>3.91</v>
      </c>
      <c r="E837">
        <v>-20.94</v>
      </c>
      <c r="F837">
        <v>5.41</v>
      </c>
      <c r="G837">
        <v>19.260000000000002</v>
      </c>
      <c r="H837">
        <v>-6.42</v>
      </c>
      <c r="I837">
        <v>-18.03</v>
      </c>
      <c r="J837">
        <v>-9.2100000000000009</v>
      </c>
      <c r="K837">
        <v>-36.76</v>
      </c>
      <c r="L837">
        <v>-36.42</v>
      </c>
      <c r="M837">
        <v>-16.739999999999998</v>
      </c>
      <c r="N837">
        <v>-5.89</v>
      </c>
    </row>
    <row r="838" spans="1:14">
      <c r="A838" s="2" t="s">
        <v>866</v>
      </c>
      <c r="B838" t="s">
        <v>4660</v>
      </c>
      <c r="C838">
        <v>-75.959999999999994</v>
      </c>
      <c r="D838">
        <v>205.59</v>
      </c>
      <c r="E838">
        <v>-14.64</v>
      </c>
      <c r="F838">
        <v>372.24</v>
      </c>
      <c r="G838">
        <v>-81.040000000000006</v>
      </c>
      <c r="H838">
        <v>8.42</v>
      </c>
      <c r="I838">
        <v>-6.75</v>
      </c>
      <c r="J838">
        <v>-26.5</v>
      </c>
      <c r="K838">
        <v>50.22</v>
      </c>
      <c r="L838">
        <v>882.48</v>
      </c>
      <c r="M838">
        <v>-5.24</v>
      </c>
      <c r="N838">
        <v>-36.26</v>
      </c>
    </row>
    <row r="839" spans="1:14">
      <c r="A839" s="2" t="s">
        <v>867</v>
      </c>
      <c r="B839" t="s">
        <v>4661</v>
      </c>
      <c r="C839">
        <v>2.12</v>
      </c>
      <c r="D839">
        <v>23.64</v>
      </c>
      <c r="E839">
        <v>-11.45</v>
      </c>
      <c r="F839">
        <v>-2.5299999999999998</v>
      </c>
      <c r="G839">
        <v>8.8699999999999992</v>
      </c>
      <c r="H839">
        <v>-6.19</v>
      </c>
      <c r="I839">
        <v>11.64</v>
      </c>
      <c r="J839">
        <v>48.94</v>
      </c>
      <c r="K839">
        <v>22.57</v>
      </c>
      <c r="L839">
        <v>4.53</v>
      </c>
      <c r="M839">
        <v>3.85</v>
      </c>
      <c r="N839">
        <v>5.59</v>
      </c>
    </row>
    <row r="840" spans="1:14">
      <c r="A840" s="2" t="s">
        <v>868</v>
      </c>
      <c r="B840" t="s">
        <v>4662</v>
      </c>
      <c r="C840">
        <v>-7.38</v>
      </c>
      <c r="D840">
        <v>-13.61</v>
      </c>
      <c r="E840">
        <v>-13.43</v>
      </c>
      <c r="F840">
        <v>-1.56</v>
      </c>
      <c r="G840">
        <v>-4.0999999999999996</v>
      </c>
      <c r="H840">
        <v>43.77</v>
      </c>
      <c r="I840">
        <v>-8.27</v>
      </c>
      <c r="J840">
        <v>-12.21</v>
      </c>
      <c r="K840">
        <v>-25.43</v>
      </c>
      <c r="L840">
        <v>-24.81</v>
      </c>
      <c r="M840">
        <v>-24.61</v>
      </c>
      <c r="N840">
        <v>29.95</v>
      </c>
    </row>
    <row r="841" spans="1:14">
      <c r="A841" s="2" t="s">
        <v>869</v>
      </c>
      <c r="B841" t="s">
        <v>4663</v>
      </c>
      <c r="C841">
        <v>0.85</v>
      </c>
      <c r="D841">
        <v>3.47</v>
      </c>
      <c r="E841">
        <v>-23.55</v>
      </c>
      <c r="F841">
        <v>9.44</v>
      </c>
      <c r="G841">
        <v>-2.95</v>
      </c>
      <c r="H841">
        <v>3.24</v>
      </c>
      <c r="I841">
        <v>-16.57</v>
      </c>
      <c r="J841">
        <v>23.04</v>
      </c>
      <c r="K841">
        <v>-28.03</v>
      </c>
      <c r="L841">
        <v>-4.68</v>
      </c>
      <c r="M841">
        <v>-6.76</v>
      </c>
      <c r="N841">
        <v>-2.5099999999999998</v>
      </c>
    </row>
    <row r="842" spans="1:14">
      <c r="A842" s="2" t="s">
        <v>870</v>
      </c>
      <c r="B842" t="s">
        <v>4664</v>
      </c>
      <c r="C842">
        <v>5</v>
      </c>
      <c r="D842">
        <v>6.04</v>
      </c>
      <c r="E842">
        <v>8.81</v>
      </c>
      <c r="F842">
        <v>-40.17</v>
      </c>
      <c r="G842">
        <v>21.16</v>
      </c>
      <c r="H842">
        <v>-1.65</v>
      </c>
      <c r="I842">
        <v>-25.06</v>
      </c>
      <c r="J842">
        <v>33.28</v>
      </c>
      <c r="K842">
        <v>56.33</v>
      </c>
      <c r="L842">
        <v>37.159999999999997</v>
      </c>
      <c r="M842">
        <v>63.29</v>
      </c>
      <c r="N842">
        <v>-22.03</v>
      </c>
    </row>
    <row r="843" spans="1:14">
      <c r="A843" s="2" t="s">
        <v>871</v>
      </c>
      <c r="B843" t="s">
        <v>4665</v>
      </c>
      <c r="C843">
        <v>-13.08</v>
      </c>
      <c r="D843">
        <v>15.44</v>
      </c>
      <c r="E843">
        <v>-4.45</v>
      </c>
      <c r="F843">
        <v>-1.9</v>
      </c>
      <c r="G843">
        <v>7.17</v>
      </c>
      <c r="H843">
        <v>26.24</v>
      </c>
      <c r="I843">
        <v>9.7100000000000009</v>
      </c>
      <c r="J843">
        <v>15.93</v>
      </c>
      <c r="K843">
        <v>20.100000000000001</v>
      </c>
      <c r="L843">
        <v>9.58</v>
      </c>
      <c r="M843">
        <v>50.07</v>
      </c>
      <c r="N843">
        <v>45.77</v>
      </c>
    </row>
    <row r="844" spans="1:14">
      <c r="A844" s="2" t="s">
        <v>872</v>
      </c>
      <c r="B844" t="s">
        <v>4666</v>
      </c>
      <c r="C844">
        <v>-9.76</v>
      </c>
      <c r="D844">
        <v>2.54</v>
      </c>
      <c r="E844">
        <v>-5.72</v>
      </c>
      <c r="F844">
        <v>-0.55000000000000004</v>
      </c>
      <c r="G844">
        <v>7.86</v>
      </c>
      <c r="H844">
        <v>5.48</v>
      </c>
      <c r="I844">
        <v>-7.11</v>
      </c>
      <c r="J844">
        <v>2.2599999999999998</v>
      </c>
      <c r="K844">
        <v>6.04</v>
      </c>
      <c r="L844">
        <v>9.9</v>
      </c>
      <c r="M844">
        <v>20.11</v>
      </c>
      <c r="N844">
        <v>28.44</v>
      </c>
    </row>
    <row r="845" spans="1:14">
      <c r="A845" s="2" t="s">
        <v>873</v>
      </c>
      <c r="B845" t="s">
        <v>4667</v>
      </c>
      <c r="C845">
        <v>6.61</v>
      </c>
      <c r="D845">
        <v>0.42</v>
      </c>
      <c r="E845">
        <v>-6.55</v>
      </c>
      <c r="F845">
        <v>-24.92</v>
      </c>
      <c r="G845">
        <v>-7.97</v>
      </c>
      <c r="H845">
        <v>75.87</v>
      </c>
      <c r="I845">
        <v>-16.11</v>
      </c>
      <c r="J845">
        <v>-10.87</v>
      </c>
      <c r="K845">
        <v>18.8</v>
      </c>
      <c r="L845">
        <v>-17.8</v>
      </c>
      <c r="M845">
        <v>13.42</v>
      </c>
      <c r="N845">
        <v>22.57</v>
      </c>
    </row>
    <row r="846" spans="1:14">
      <c r="A846" s="2" t="s">
        <v>874</v>
      </c>
      <c r="B846" t="s">
        <v>4668</v>
      </c>
      <c r="C846">
        <v>-9.36</v>
      </c>
      <c r="D846">
        <v>52.46</v>
      </c>
      <c r="E846">
        <v>-36.92</v>
      </c>
      <c r="F846">
        <v>-4.3600000000000003</v>
      </c>
      <c r="G846">
        <v>31.8</v>
      </c>
      <c r="H846">
        <v>-13.76</v>
      </c>
      <c r="I846">
        <v>22.98</v>
      </c>
      <c r="J846">
        <v>71.44</v>
      </c>
      <c r="K846">
        <v>-5.03</v>
      </c>
      <c r="L846">
        <v>-19.05</v>
      </c>
      <c r="M846">
        <v>-8.19</v>
      </c>
      <c r="N846">
        <v>26.01</v>
      </c>
    </row>
    <row r="847" spans="1:14">
      <c r="A847" s="2" t="s">
        <v>875</v>
      </c>
      <c r="B847" t="s">
        <v>4669</v>
      </c>
      <c r="C847">
        <v>-41.75</v>
      </c>
      <c r="D847">
        <v>228</v>
      </c>
      <c r="E847">
        <v>-79.67</v>
      </c>
      <c r="F847">
        <v>1300</v>
      </c>
      <c r="G847">
        <v>276.04000000000002</v>
      </c>
      <c r="I847">
        <v>9900</v>
      </c>
      <c r="J847">
        <v>49100</v>
      </c>
      <c r="K847">
        <v>6566.67</v>
      </c>
      <c r="L847">
        <v>93233.33</v>
      </c>
      <c r="M847">
        <v>350866.7</v>
      </c>
    </row>
    <row r="848" spans="1:14">
      <c r="A848" s="2" t="s">
        <v>876</v>
      </c>
      <c r="B848" t="s">
        <v>4670</v>
      </c>
      <c r="C848">
        <v>5.48</v>
      </c>
      <c r="D848">
        <v>8.58</v>
      </c>
      <c r="E848">
        <v>-17.25</v>
      </c>
      <c r="F848">
        <v>5.29</v>
      </c>
      <c r="G848">
        <v>11.35</v>
      </c>
      <c r="H848">
        <v>33.04</v>
      </c>
      <c r="I848">
        <v>13.44</v>
      </c>
      <c r="J848">
        <v>27.8</v>
      </c>
      <c r="K848">
        <v>12.4</v>
      </c>
      <c r="L848">
        <v>20.51</v>
      </c>
      <c r="M848">
        <v>34.65</v>
      </c>
      <c r="N848">
        <v>44.44</v>
      </c>
    </row>
    <row r="849" spans="1:14">
      <c r="A849" s="2" t="s">
        <v>877</v>
      </c>
      <c r="B849" t="s">
        <v>4671</v>
      </c>
      <c r="C849">
        <v>-57.23</v>
      </c>
      <c r="D849">
        <v>116.2</v>
      </c>
      <c r="E849">
        <v>-94.21</v>
      </c>
      <c r="F849">
        <v>3039.85</v>
      </c>
      <c r="G849">
        <v>-54.81</v>
      </c>
      <c r="I849">
        <v>-67.12</v>
      </c>
      <c r="J849">
        <v>-37.630000000000003</v>
      </c>
      <c r="K849">
        <v>-94.16</v>
      </c>
      <c r="L849">
        <v>57.7</v>
      </c>
      <c r="M849">
        <v>-95.72</v>
      </c>
    </row>
    <row r="850" spans="1:14">
      <c r="A850" s="2" t="s">
        <v>878</v>
      </c>
      <c r="B850" t="s">
        <v>4672</v>
      </c>
      <c r="C850">
        <v>19.27</v>
      </c>
      <c r="D850">
        <v>4.8499999999999996</v>
      </c>
      <c r="E850">
        <v>-4.2699999999999996</v>
      </c>
      <c r="F850">
        <v>37.44</v>
      </c>
      <c r="G850">
        <v>8.76</v>
      </c>
      <c r="H850">
        <v>-22.18</v>
      </c>
      <c r="I850">
        <v>-38.42</v>
      </c>
      <c r="J850">
        <v>-45.48</v>
      </c>
      <c r="K850">
        <v>-24.02</v>
      </c>
      <c r="L850">
        <v>21.3</v>
      </c>
      <c r="M850">
        <v>-13.45</v>
      </c>
      <c r="N850">
        <v>12.84</v>
      </c>
    </row>
    <row r="851" spans="1:14">
      <c r="A851" s="2" t="s">
        <v>879</v>
      </c>
      <c r="B851" t="s">
        <v>4673</v>
      </c>
      <c r="C851">
        <v>-0.51</v>
      </c>
      <c r="D851">
        <v>-2.88</v>
      </c>
      <c r="E851">
        <v>-15.13</v>
      </c>
      <c r="F851">
        <v>7.75</v>
      </c>
      <c r="G851">
        <v>10.31</v>
      </c>
      <c r="H851">
        <v>-14.67</v>
      </c>
      <c r="I851">
        <v>0.08</v>
      </c>
      <c r="J851">
        <v>4.66</v>
      </c>
      <c r="K851">
        <v>-5.17</v>
      </c>
      <c r="L851">
        <v>1.4</v>
      </c>
      <c r="M851">
        <v>-3.55</v>
      </c>
      <c r="N851">
        <v>-10.31</v>
      </c>
    </row>
    <row r="852" spans="1:14">
      <c r="A852" s="2" t="s">
        <v>880</v>
      </c>
      <c r="B852" t="s">
        <v>4674</v>
      </c>
      <c r="C852">
        <v>1.51</v>
      </c>
      <c r="D852">
        <v>-3.9</v>
      </c>
      <c r="E852">
        <v>-4.79</v>
      </c>
      <c r="F852">
        <v>4.45</v>
      </c>
      <c r="G852">
        <v>-2.98</v>
      </c>
      <c r="I852">
        <v>-19.37</v>
      </c>
      <c r="J852">
        <v>-18.47</v>
      </c>
      <c r="K852">
        <v>-15.07</v>
      </c>
      <c r="L852">
        <v>4.67</v>
      </c>
      <c r="M852">
        <v>-1.28</v>
      </c>
    </row>
    <row r="853" spans="1:14">
      <c r="A853" s="2" t="s">
        <v>881</v>
      </c>
      <c r="B853" t="s">
        <v>4675</v>
      </c>
      <c r="C853">
        <v>-10.76</v>
      </c>
      <c r="D853">
        <v>13.94</v>
      </c>
      <c r="E853">
        <v>5.09</v>
      </c>
      <c r="F853">
        <v>-23.44</v>
      </c>
      <c r="G853">
        <v>17.940000000000001</v>
      </c>
      <c r="H853">
        <v>-1.56</v>
      </c>
      <c r="I853">
        <v>0.78</v>
      </c>
      <c r="J853">
        <v>7</v>
      </c>
      <c r="K853">
        <v>26.23</v>
      </c>
      <c r="L853">
        <v>-8.4</v>
      </c>
      <c r="M853">
        <v>-11.14</v>
      </c>
      <c r="N853">
        <v>19.329999999999998</v>
      </c>
    </row>
    <row r="854" spans="1:14">
      <c r="A854" s="2" t="s">
        <v>882</v>
      </c>
      <c r="B854" t="s">
        <v>4676</v>
      </c>
      <c r="C854">
        <v>0.43</v>
      </c>
      <c r="D854">
        <v>0.43</v>
      </c>
      <c r="E854">
        <v>0.23</v>
      </c>
      <c r="F854">
        <v>0.03</v>
      </c>
      <c r="G854">
        <v>9.91</v>
      </c>
      <c r="H854">
        <v>0.16</v>
      </c>
      <c r="I854">
        <v>40.479999999999997</v>
      </c>
      <c r="J854">
        <v>40.9</v>
      </c>
      <c r="K854">
        <v>29.82</v>
      </c>
      <c r="L854">
        <v>16.66</v>
      </c>
      <c r="M854">
        <v>13.27</v>
      </c>
      <c r="N854">
        <v>29.43</v>
      </c>
    </row>
    <row r="855" spans="1:14">
      <c r="A855" s="2" t="s">
        <v>883</v>
      </c>
      <c r="B855" t="s">
        <v>4677</v>
      </c>
      <c r="C855">
        <v>-10.95</v>
      </c>
      <c r="D855">
        <v>-28.73</v>
      </c>
      <c r="E855">
        <v>-0.49</v>
      </c>
      <c r="F855">
        <v>1.93</v>
      </c>
      <c r="G855">
        <v>-18.989999999999998</v>
      </c>
      <c r="I855">
        <v>-49.69</v>
      </c>
      <c r="J855">
        <v>-68.42</v>
      </c>
      <c r="K855">
        <v>-60.26</v>
      </c>
      <c r="L855">
        <v>-61.36</v>
      </c>
      <c r="M855">
        <v>-69.33</v>
      </c>
    </row>
    <row r="856" spans="1:14">
      <c r="A856" s="2" t="s">
        <v>884</v>
      </c>
      <c r="B856" t="s">
        <v>4678</v>
      </c>
      <c r="C856">
        <v>0.9</v>
      </c>
      <c r="D856">
        <v>-22.8</v>
      </c>
      <c r="E856">
        <v>45.72</v>
      </c>
      <c r="F856">
        <v>-4.82</v>
      </c>
      <c r="G856">
        <v>9.34</v>
      </c>
      <c r="H856">
        <v>49.36</v>
      </c>
      <c r="I856">
        <v>-3.23</v>
      </c>
      <c r="J856">
        <v>-14.07</v>
      </c>
      <c r="K856">
        <v>26.16</v>
      </c>
      <c r="L856">
        <v>17</v>
      </c>
      <c r="M856">
        <v>42.39</v>
      </c>
      <c r="N856">
        <v>157.91</v>
      </c>
    </row>
    <row r="857" spans="1:14">
      <c r="A857" s="2" t="s">
        <v>885</v>
      </c>
      <c r="B857" t="s">
        <v>4679</v>
      </c>
      <c r="C857">
        <v>-62.91</v>
      </c>
      <c r="D857">
        <v>1532.7</v>
      </c>
      <c r="E857">
        <v>-88.61</v>
      </c>
      <c r="F857">
        <v>20.03</v>
      </c>
      <c r="G857">
        <v>699.36</v>
      </c>
      <c r="I857">
        <v>-48.73</v>
      </c>
      <c r="J857">
        <v>53.39</v>
      </c>
      <c r="K857">
        <v>85.33</v>
      </c>
      <c r="L857">
        <v>150.91999999999999</v>
      </c>
      <c r="M857">
        <v>-22.12</v>
      </c>
    </row>
    <row r="858" spans="1:14">
      <c r="A858" s="2" t="s">
        <v>886</v>
      </c>
      <c r="B858" t="s">
        <v>4680</v>
      </c>
      <c r="C858">
        <v>-4.3099999999999996</v>
      </c>
      <c r="D858">
        <v>16.14</v>
      </c>
      <c r="E858">
        <v>-1.86</v>
      </c>
      <c r="F858">
        <v>-0.65</v>
      </c>
      <c r="G858">
        <v>1.56</v>
      </c>
      <c r="H858">
        <v>12.28</v>
      </c>
      <c r="I858">
        <v>26.66</v>
      </c>
      <c r="J858">
        <v>46.12</v>
      </c>
      <c r="K858">
        <v>34.01</v>
      </c>
      <c r="L858">
        <v>33.15</v>
      </c>
      <c r="M858">
        <v>43.06</v>
      </c>
      <c r="N858">
        <v>34.200000000000003</v>
      </c>
    </row>
    <row r="859" spans="1:14">
      <c r="A859" s="2" t="s">
        <v>887</v>
      </c>
      <c r="B859" t="s">
        <v>4681</v>
      </c>
      <c r="C859">
        <v>28.93</v>
      </c>
      <c r="D859">
        <v>-22.38</v>
      </c>
      <c r="E859">
        <v>64.42</v>
      </c>
      <c r="F859">
        <v>-10.73</v>
      </c>
      <c r="G859">
        <v>-34.630000000000003</v>
      </c>
      <c r="H859">
        <v>74.97</v>
      </c>
      <c r="I859">
        <v>-52.83</v>
      </c>
      <c r="J859">
        <v>-52.93</v>
      </c>
      <c r="K859">
        <v>-14.1</v>
      </c>
      <c r="L859">
        <v>-27.18</v>
      </c>
      <c r="M859">
        <v>-58.35</v>
      </c>
      <c r="N859">
        <v>-0.28000000000000003</v>
      </c>
    </row>
    <row r="860" spans="1:14">
      <c r="A860" s="2" t="s">
        <v>888</v>
      </c>
      <c r="B860" t="s">
        <v>4682</v>
      </c>
      <c r="C860">
        <v>16.61</v>
      </c>
      <c r="D860">
        <v>-13.44</v>
      </c>
      <c r="E860">
        <v>-17.86</v>
      </c>
      <c r="F860">
        <v>14.16</v>
      </c>
      <c r="G860">
        <v>57.24</v>
      </c>
      <c r="H860">
        <v>-37.630000000000003</v>
      </c>
      <c r="I860">
        <v>-4.21</v>
      </c>
      <c r="J860">
        <v>-6.26</v>
      </c>
      <c r="K860">
        <v>-7.15</v>
      </c>
      <c r="L860">
        <v>0.08</v>
      </c>
      <c r="M860">
        <v>53.51</v>
      </c>
      <c r="N860">
        <v>10.72</v>
      </c>
    </row>
    <row r="861" spans="1:14">
      <c r="A861" s="2" t="s">
        <v>889</v>
      </c>
      <c r="B861" t="s">
        <v>4683</v>
      </c>
      <c r="C861">
        <v>1.54</v>
      </c>
      <c r="D861">
        <v>236.25</v>
      </c>
      <c r="E861">
        <v>-13.89</v>
      </c>
      <c r="F861">
        <v>-41.9</v>
      </c>
      <c r="G861">
        <v>-5.01</v>
      </c>
      <c r="I861">
        <v>-48.87</v>
      </c>
      <c r="J861">
        <v>18.98</v>
      </c>
      <c r="K861">
        <v>-30.16</v>
      </c>
      <c r="L861">
        <v>-56.95</v>
      </c>
      <c r="M861">
        <v>-43.17</v>
      </c>
    </row>
    <row r="862" spans="1:14">
      <c r="A862" s="2" t="s">
        <v>890</v>
      </c>
      <c r="B862" t="s">
        <v>4684</v>
      </c>
      <c r="C862">
        <v>-0.01</v>
      </c>
      <c r="D862">
        <v>-5.91</v>
      </c>
      <c r="E862">
        <v>-16.54</v>
      </c>
      <c r="F862">
        <v>8.51</v>
      </c>
      <c r="G862">
        <v>16.239999999999998</v>
      </c>
      <c r="H862">
        <v>23.39</v>
      </c>
      <c r="I862">
        <v>-19.309999999999999</v>
      </c>
      <c r="J862">
        <v>-8.91</v>
      </c>
      <c r="K862">
        <v>-19.86</v>
      </c>
      <c r="L862">
        <v>-7.17</v>
      </c>
      <c r="M862">
        <v>-0.3</v>
      </c>
      <c r="N862">
        <v>49.06</v>
      </c>
    </row>
    <row r="863" spans="1:14">
      <c r="A863" s="2" t="s">
        <v>891</v>
      </c>
      <c r="B863" t="s">
        <v>4685</v>
      </c>
      <c r="C863">
        <v>1.73</v>
      </c>
      <c r="D863">
        <v>2.13</v>
      </c>
      <c r="E863">
        <v>0.02</v>
      </c>
      <c r="F863">
        <v>-1.23</v>
      </c>
      <c r="G863">
        <v>-4.6900000000000004</v>
      </c>
      <c r="H863">
        <v>0.72</v>
      </c>
      <c r="I863">
        <v>-8.1300000000000008</v>
      </c>
      <c r="J863">
        <v>-6.76</v>
      </c>
      <c r="K863">
        <v>-6.04</v>
      </c>
      <c r="L863">
        <v>-8.07</v>
      </c>
      <c r="M863">
        <v>-1.1399999999999999</v>
      </c>
      <c r="N863">
        <v>9.2100000000000009</v>
      </c>
    </row>
    <row r="864" spans="1:14">
      <c r="A864" s="2" t="s">
        <v>892</v>
      </c>
      <c r="B864" t="s">
        <v>4686</v>
      </c>
      <c r="C864">
        <v>-3</v>
      </c>
      <c r="D864">
        <v>20.12</v>
      </c>
      <c r="E864">
        <v>-16.190000000000001</v>
      </c>
      <c r="F864">
        <v>-6.53</v>
      </c>
      <c r="G864">
        <v>10.45</v>
      </c>
      <c r="H864">
        <v>15.79</v>
      </c>
      <c r="I864">
        <v>-9.11</v>
      </c>
      <c r="J864">
        <v>9.7899999999999991</v>
      </c>
      <c r="K864">
        <v>-14.98</v>
      </c>
      <c r="L864">
        <v>-17</v>
      </c>
      <c r="M864">
        <v>-19.32</v>
      </c>
      <c r="N864">
        <v>0.01</v>
      </c>
    </row>
    <row r="865" spans="1:14">
      <c r="A865" s="2" t="s">
        <v>893</v>
      </c>
      <c r="B865" t="s">
        <v>4687</v>
      </c>
      <c r="C865">
        <v>10.4</v>
      </c>
      <c r="D865">
        <v>5.85</v>
      </c>
      <c r="E865">
        <v>11.11</v>
      </c>
      <c r="F865">
        <v>11.35</v>
      </c>
      <c r="G865">
        <v>19.07</v>
      </c>
      <c r="H865">
        <v>-27.41</v>
      </c>
      <c r="I865">
        <v>-13.3</v>
      </c>
      <c r="J865">
        <v>-2.3199999999999998</v>
      </c>
      <c r="K865">
        <v>69.28</v>
      </c>
      <c r="L865">
        <v>46.04</v>
      </c>
      <c r="M865">
        <v>49.17</v>
      </c>
      <c r="N865">
        <v>62.74</v>
      </c>
    </row>
    <row r="866" spans="1:14">
      <c r="A866" s="2" t="s">
        <v>894</v>
      </c>
      <c r="B866" t="s">
        <v>4688</v>
      </c>
      <c r="C866">
        <v>8.4499999999999993</v>
      </c>
      <c r="D866">
        <v>9.86</v>
      </c>
      <c r="E866">
        <v>-14.31</v>
      </c>
      <c r="F866">
        <v>-16.93</v>
      </c>
      <c r="G866">
        <v>5.25</v>
      </c>
      <c r="I866">
        <v>58.95</v>
      </c>
      <c r="J866">
        <v>51.66</v>
      </c>
      <c r="K866">
        <v>17.649999999999999</v>
      </c>
      <c r="L866">
        <v>-8.9499999999999993</v>
      </c>
      <c r="M866">
        <v>-4.71</v>
      </c>
    </row>
    <row r="867" spans="1:14">
      <c r="A867" s="2" t="s">
        <v>895</v>
      </c>
      <c r="B867" t="s">
        <v>4689</v>
      </c>
      <c r="C867">
        <v>-21.96</v>
      </c>
      <c r="D867">
        <v>6.21</v>
      </c>
      <c r="E867">
        <v>45.56</v>
      </c>
      <c r="F867">
        <v>-16.899999999999999</v>
      </c>
      <c r="G867">
        <v>62.34</v>
      </c>
      <c r="H867">
        <v>-31.72</v>
      </c>
      <c r="I867">
        <v>-48.2</v>
      </c>
      <c r="J867">
        <v>7.3</v>
      </c>
      <c r="K867">
        <v>32.9</v>
      </c>
      <c r="L867">
        <v>-24.79</v>
      </c>
      <c r="M867">
        <v>45.77</v>
      </c>
      <c r="N867">
        <v>50.27</v>
      </c>
    </row>
    <row r="868" spans="1:14">
      <c r="A868" s="2" t="s">
        <v>896</v>
      </c>
      <c r="B868" t="s">
        <v>4690</v>
      </c>
      <c r="C868">
        <v>-12.36</v>
      </c>
      <c r="D868">
        <v>1.94</v>
      </c>
      <c r="E868">
        <v>-2.98</v>
      </c>
      <c r="F868">
        <v>25.48</v>
      </c>
      <c r="G868">
        <v>-3.73</v>
      </c>
      <c r="H868">
        <v>-12.77</v>
      </c>
      <c r="I868">
        <v>67.08</v>
      </c>
      <c r="J868">
        <v>33.380000000000003</v>
      </c>
      <c r="K868">
        <v>-19.48</v>
      </c>
      <c r="L868">
        <v>11.72</v>
      </c>
      <c r="M868">
        <v>62.14</v>
      </c>
      <c r="N868">
        <v>1.83</v>
      </c>
    </row>
    <row r="869" spans="1:14">
      <c r="A869" s="2" t="s">
        <v>897</v>
      </c>
      <c r="B869" t="s">
        <v>4691</v>
      </c>
      <c r="C869">
        <v>-2.82</v>
      </c>
      <c r="D869">
        <v>24.12</v>
      </c>
      <c r="E869">
        <v>-14.53</v>
      </c>
      <c r="F869">
        <v>7.09</v>
      </c>
      <c r="G869">
        <v>14.35</v>
      </c>
      <c r="H869">
        <v>-7.59</v>
      </c>
      <c r="I869">
        <v>1.62</v>
      </c>
      <c r="J869">
        <v>19.329999999999998</v>
      </c>
      <c r="K869">
        <v>4.32</v>
      </c>
      <c r="L869">
        <v>8.92</v>
      </c>
      <c r="M869">
        <v>13.68</v>
      </c>
      <c r="N869">
        <v>33</v>
      </c>
    </row>
    <row r="870" spans="1:14">
      <c r="A870" s="2" t="s">
        <v>898</v>
      </c>
      <c r="B870" t="s">
        <v>4692</v>
      </c>
      <c r="C870">
        <v>-5.72</v>
      </c>
      <c r="D870">
        <v>6.24</v>
      </c>
      <c r="E870">
        <v>-12.44</v>
      </c>
      <c r="F870">
        <v>20.97</v>
      </c>
      <c r="G870">
        <v>25.31</v>
      </c>
      <c r="H870">
        <v>5.59</v>
      </c>
      <c r="I870">
        <v>3.39</v>
      </c>
      <c r="J870">
        <v>-0.11</v>
      </c>
      <c r="K870">
        <v>-3.89</v>
      </c>
      <c r="L870">
        <v>6.42</v>
      </c>
      <c r="M870">
        <v>51.67</v>
      </c>
      <c r="N870">
        <v>30.99</v>
      </c>
    </row>
    <row r="871" spans="1:14">
      <c r="A871" s="2" t="s">
        <v>899</v>
      </c>
      <c r="B871" t="s">
        <v>4693</v>
      </c>
      <c r="C871">
        <v>-13.25</v>
      </c>
      <c r="D871">
        <v>2.0499999999999998</v>
      </c>
      <c r="E871">
        <v>10.27</v>
      </c>
      <c r="F871">
        <v>40.450000000000003</v>
      </c>
      <c r="G871">
        <v>16.05</v>
      </c>
      <c r="I871">
        <v>-12.44</v>
      </c>
      <c r="J871">
        <v>-10.69</v>
      </c>
      <c r="K871">
        <v>81.430000000000007</v>
      </c>
      <c r="L871">
        <v>177.19</v>
      </c>
      <c r="M871">
        <v>231.05</v>
      </c>
    </row>
    <row r="872" spans="1:14">
      <c r="A872" s="2" t="s">
        <v>900</v>
      </c>
      <c r="B872" t="s">
        <v>4694</v>
      </c>
      <c r="C872">
        <v>-5.01</v>
      </c>
      <c r="D872">
        <v>37.64</v>
      </c>
      <c r="E872">
        <v>-7.58</v>
      </c>
      <c r="F872">
        <v>-35.35</v>
      </c>
      <c r="G872">
        <v>65.239999999999995</v>
      </c>
      <c r="H872">
        <v>-24.41</v>
      </c>
      <c r="I872">
        <v>-51.65</v>
      </c>
      <c r="J872">
        <v>-15.48</v>
      </c>
      <c r="K872">
        <v>-32.22</v>
      </c>
      <c r="L872">
        <v>-40.54</v>
      </c>
      <c r="M872">
        <v>-13.81</v>
      </c>
      <c r="N872">
        <v>-38.520000000000003</v>
      </c>
    </row>
    <row r="873" spans="1:14">
      <c r="A873" s="2" t="s">
        <v>901</v>
      </c>
      <c r="B873" t="s">
        <v>4695</v>
      </c>
      <c r="C873">
        <v>7.94</v>
      </c>
      <c r="D873">
        <v>-0.43</v>
      </c>
      <c r="E873">
        <v>-30</v>
      </c>
      <c r="F873">
        <v>-1.95</v>
      </c>
      <c r="G873">
        <v>19.48</v>
      </c>
      <c r="H873">
        <v>16.05</v>
      </c>
      <c r="I873">
        <v>39.74</v>
      </c>
      <c r="J873">
        <v>38.159999999999997</v>
      </c>
      <c r="K873">
        <v>16.350000000000001</v>
      </c>
      <c r="L873">
        <v>2.7</v>
      </c>
      <c r="M873">
        <v>18.97</v>
      </c>
      <c r="N873">
        <v>58.57</v>
      </c>
    </row>
    <row r="874" spans="1:14">
      <c r="A874" s="2" t="s">
        <v>902</v>
      </c>
      <c r="B874" t="s">
        <v>4696</v>
      </c>
      <c r="C874">
        <v>-6.97</v>
      </c>
      <c r="D874">
        <v>-12.78</v>
      </c>
      <c r="E874">
        <v>-8.68</v>
      </c>
      <c r="F874">
        <v>18.899999999999999</v>
      </c>
      <c r="G874">
        <v>-4.55</v>
      </c>
      <c r="H874">
        <v>11.64</v>
      </c>
      <c r="I874">
        <v>-30.63</v>
      </c>
      <c r="J874">
        <v>-37.770000000000003</v>
      </c>
      <c r="K874">
        <v>-47.2</v>
      </c>
      <c r="L874">
        <v>-26.1</v>
      </c>
      <c r="M874">
        <v>-11.03</v>
      </c>
      <c r="N874">
        <v>-19.91</v>
      </c>
    </row>
    <row r="875" spans="1:14">
      <c r="A875" s="2" t="s">
        <v>903</v>
      </c>
      <c r="B875" t="s">
        <v>4697</v>
      </c>
      <c r="C875">
        <v>2.96</v>
      </c>
      <c r="D875">
        <v>13.03</v>
      </c>
      <c r="E875">
        <v>-6.4</v>
      </c>
      <c r="F875">
        <v>-5.69</v>
      </c>
      <c r="G875">
        <v>18.690000000000001</v>
      </c>
      <c r="I875">
        <v>-7.1</v>
      </c>
      <c r="J875">
        <v>-15.69</v>
      </c>
      <c r="K875">
        <v>11.43</v>
      </c>
      <c r="L875">
        <v>7.37</v>
      </c>
      <c r="M875">
        <v>11.75</v>
      </c>
    </row>
    <row r="876" spans="1:14">
      <c r="A876" s="2" t="s">
        <v>904</v>
      </c>
      <c r="B876" t="s">
        <v>4698</v>
      </c>
      <c r="C876">
        <v>-17.920000000000002</v>
      </c>
      <c r="D876">
        <v>6.84</v>
      </c>
      <c r="E876">
        <v>-15.69</v>
      </c>
      <c r="F876">
        <v>50.96</v>
      </c>
      <c r="G876">
        <v>165.4</v>
      </c>
      <c r="H876">
        <v>-73.260000000000005</v>
      </c>
      <c r="I876">
        <v>-16.54</v>
      </c>
      <c r="J876">
        <v>-11.4</v>
      </c>
      <c r="K876">
        <v>-24.77</v>
      </c>
      <c r="L876">
        <v>8.77</v>
      </c>
      <c r="M876">
        <v>213.47</v>
      </c>
      <c r="N876">
        <v>-12.88</v>
      </c>
    </row>
    <row r="877" spans="1:14">
      <c r="A877" s="2" t="s">
        <v>905</v>
      </c>
      <c r="B877" t="s">
        <v>4699</v>
      </c>
      <c r="C877">
        <v>-5.99</v>
      </c>
      <c r="D877">
        <v>7.94</v>
      </c>
      <c r="E877">
        <v>-14.65</v>
      </c>
      <c r="F877">
        <v>-7.55</v>
      </c>
      <c r="G877">
        <v>17.09</v>
      </c>
      <c r="H877">
        <v>-12.69</v>
      </c>
      <c r="I877">
        <v>9.0399999999999991</v>
      </c>
      <c r="J877">
        <v>-1.55</v>
      </c>
      <c r="K877">
        <v>-5.19</v>
      </c>
      <c r="L877">
        <v>-23.22</v>
      </c>
      <c r="M877">
        <v>-37.39</v>
      </c>
      <c r="N877">
        <v>-33.72</v>
      </c>
    </row>
    <row r="878" spans="1:14">
      <c r="A878" s="2" t="s">
        <v>906</v>
      </c>
      <c r="B878" t="s">
        <v>4700</v>
      </c>
      <c r="C878">
        <v>-13.61</v>
      </c>
      <c r="D878">
        <v>0.19</v>
      </c>
      <c r="E878">
        <v>18.38</v>
      </c>
      <c r="F878">
        <v>-0.55000000000000004</v>
      </c>
      <c r="G878">
        <v>1.1599999999999999</v>
      </c>
      <c r="H878">
        <v>-3.45</v>
      </c>
      <c r="I878">
        <v>-19.07</v>
      </c>
      <c r="J878">
        <v>-0.98</v>
      </c>
      <c r="K878">
        <v>-3.62</v>
      </c>
      <c r="L878">
        <v>2.92</v>
      </c>
      <c r="M878">
        <v>-0.59</v>
      </c>
      <c r="N878">
        <v>-5.58</v>
      </c>
    </row>
    <row r="879" spans="1:14">
      <c r="A879" s="2" t="s">
        <v>907</v>
      </c>
      <c r="B879" t="s">
        <v>4701</v>
      </c>
      <c r="C879">
        <v>-28.07</v>
      </c>
      <c r="D879">
        <v>62.61</v>
      </c>
      <c r="E879">
        <v>21.2</v>
      </c>
      <c r="F879">
        <v>-35.630000000000003</v>
      </c>
      <c r="G879">
        <v>34.92</v>
      </c>
      <c r="H879">
        <v>-2.71</v>
      </c>
      <c r="I879">
        <v>21.44</v>
      </c>
      <c r="J879">
        <v>90.4</v>
      </c>
      <c r="K879">
        <v>69.989999999999995</v>
      </c>
      <c r="L879">
        <v>-0.88</v>
      </c>
      <c r="M879">
        <v>25.5</v>
      </c>
      <c r="N879">
        <v>34.35</v>
      </c>
    </row>
    <row r="880" spans="1:14">
      <c r="A880" s="2" t="s">
        <v>908</v>
      </c>
      <c r="B880" t="s">
        <v>4702</v>
      </c>
      <c r="C880">
        <v>2.62</v>
      </c>
      <c r="D880">
        <v>4.6399999999999997</v>
      </c>
      <c r="E880">
        <v>-0.13</v>
      </c>
      <c r="F880">
        <v>-0.12</v>
      </c>
      <c r="G880">
        <v>-5.48</v>
      </c>
      <c r="I880">
        <v>0.32</v>
      </c>
      <c r="J880">
        <v>10.61</v>
      </c>
      <c r="K880">
        <v>11.17</v>
      </c>
      <c r="L880">
        <v>10.79</v>
      </c>
      <c r="M880">
        <v>14.84</v>
      </c>
    </row>
    <row r="881" spans="1:14">
      <c r="A881" s="2" t="s">
        <v>909</v>
      </c>
      <c r="B881" t="s">
        <v>4703</v>
      </c>
      <c r="C881">
        <v>-70.52</v>
      </c>
      <c r="D881">
        <v>239.94</v>
      </c>
      <c r="E881">
        <v>79.38</v>
      </c>
      <c r="F881">
        <v>-37.729999999999997</v>
      </c>
      <c r="G881">
        <v>-21.79</v>
      </c>
      <c r="H881">
        <v>-12.32</v>
      </c>
      <c r="I881">
        <v>-97.56</v>
      </c>
      <c r="J881">
        <v>-89.92</v>
      </c>
      <c r="K881">
        <v>-84.35</v>
      </c>
      <c r="L881">
        <v>-90.18</v>
      </c>
      <c r="M881">
        <v>-89.93</v>
      </c>
      <c r="N881">
        <v>-62.2</v>
      </c>
    </row>
    <row r="882" spans="1:14">
      <c r="A882" s="2" t="s">
        <v>910</v>
      </c>
      <c r="B882" t="s">
        <v>4704</v>
      </c>
      <c r="C882">
        <v>-14.2</v>
      </c>
      <c r="D882">
        <v>33.28</v>
      </c>
      <c r="E882">
        <v>-4.1399999999999997</v>
      </c>
      <c r="F882">
        <v>-2.0699999999999998</v>
      </c>
      <c r="G882">
        <v>0.06</v>
      </c>
      <c r="H882">
        <v>37.86</v>
      </c>
      <c r="I882">
        <v>12.89</v>
      </c>
      <c r="J882">
        <v>36.700000000000003</v>
      </c>
      <c r="K882">
        <v>31.92</v>
      </c>
      <c r="L882">
        <v>25.26</v>
      </c>
      <c r="M882">
        <v>4.33</v>
      </c>
      <c r="N882">
        <v>132.66</v>
      </c>
    </row>
    <row r="883" spans="1:14">
      <c r="A883" s="2" t="s">
        <v>911</v>
      </c>
      <c r="B883" t="s">
        <v>4705</v>
      </c>
      <c r="C883">
        <v>-1</v>
      </c>
      <c r="D883">
        <v>6.57</v>
      </c>
      <c r="E883">
        <v>-8.6999999999999993</v>
      </c>
      <c r="F883">
        <v>8.7100000000000009</v>
      </c>
      <c r="G883">
        <v>2.08</v>
      </c>
      <c r="H883">
        <v>11.75</v>
      </c>
      <c r="I883">
        <v>-15.08</v>
      </c>
      <c r="J883">
        <v>-11.05</v>
      </c>
      <c r="K883">
        <v>-11.7</v>
      </c>
      <c r="L883">
        <v>-8.57</v>
      </c>
      <c r="M883">
        <v>-12.26</v>
      </c>
      <c r="N883">
        <v>10.95</v>
      </c>
    </row>
    <row r="884" spans="1:14">
      <c r="A884" s="2" t="s">
        <v>912</v>
      </c>
      <c r="B884" t="s">
        <v>30</v>
      </c>
      <c r="C884">
        <v>9.5500000000000007</v>
      </c>
      <c r="D884">
        <v>7.25</v>
      </c>
      <c r="E884">
        <v>-0.55000000000000004</v>
      </c>
      <c r="F884">
        <v>-2.34</v>
      </c>
      <c r="G884">
        <v>0.08</v>
      </c>
      <c r="I884">
        <v>6.68</v>
      </c>
      <c r="J884">
        <v>8.9600000000000009</v>
      </c>
      <c r="K884">
        <v>6.74</v>
      </c>
      <c r="L884">
        <v>11.12</v>
      </c>
      <c r="M884">
        <v>11.27</v>
      </c>
    </row>
    <row r="885" spans="1:14">
      <c r="A885" s="2" t="s">
        <v>913</v>
      </c>
      <c r="B885" t="s">
        <v>4706</v>
      </c>
      <c r="C885">
        <v>6.03</v>
      </c>
      <c r="D885">
        <v>231.86</v>
      </c>
      <c r="E885">
        <v>-62.47</v>
      </c>
      <c r="F885">
        <v>-48.45</v>
      </c>
      <c r="G885">
        <v>106.75</v>
      </c>
      <c r="I885">
        <v>0.94</v>
      </c>
      <c r="J885">
        <v>272.7</v>
      </c>
      <c r="K885">
        <v>-38.15</v>
      </c>
      <c r="L885">
        <v>-61.67</v>
      </c>
      <c r="M885">
        <v>-41.48</v>
      </c>
    </row>
    <row r="886" spans="1:14">
      <c r="A886" s="2" t="s">
        <v>914</v>
      </c>
      <c r="B886" t="s">
        <v>4707</v>
      </c>
      <c r="C886">
        <v>97.55</v>
      </c>
      <c r="D886">
        <v>-2.5499999999999998</v>
      </c>
      <c r="E886">
        <v>-13.88</v>
      </c>
      <c r="F886">
        <v>-36.369999999999997</v>
      </c>
      <c r="G886">
        <v>349.25</v>
      </c>
      <c r="I886">
        <v>-24.12</v>
      </c>
      <c r="J886">
        <v>11.54</v>
      </c>
      <c r="K886">
        <v>-32.36</v>
      </c>
      <c r="L886">
        <v>-61.2</v>
      </c>
      <c r="M886">
        <v>206.85</v>
      </c>
    </row>
    <row r="887" spans="1:14">
      <c r="A887" s="2" t="s">
        <v>915</v>
      </c>
      <c r="B887" t="s">
        <v>4708</v>
      </c>
      <c r="C887">
        <v>-0.56000000000000005</v>
      </c>
      <c r="D887">
        <v>-5.82</v>
      </c>
      <c r="E887">
        <v>-5.57</v>
      </c>
      <c r="F887">
        <v>0.04</v>
      </c>
      <c r="G887">
        <v>7.95</v>
      </c>
      <c r="H887">
        <v>3.47</v>
      </c>
      <c r="I887">
        <v>-19.46</v>
      </c>
      <c r="J887">
        <v>-12.18</v>
      </c>
      <c r="K887">
        <v>-9.65</v>
      </c>
      <c r="L887">
        <v>-6.63</v>
      </c>
      <c r="M887">
        <v>0.03</v>
      </c>
      <c r="N887">
        <v>2.4700000000000002</v>
      </c>
    </row>
    <row r="888" spans="1:14">
      <c r="A888" s="2" t="s">
        <v>916</v>
      </c>
      <c r="B888" t="s">
        <v>4709</v>
      </c>
      <c r="C888">
        <v>6.82</v>
      </c>
      <c r="D888">
        <v>9.6</v>
      </c>
      <c r="E888">
        <v>-2.12</v>
      </c>
      <c r="F888">
        <v>5.91</v>
      </c>
      <c r="G888">
        <v>8.73</v>
      </c>
      <c r="H888">
        <v>-5.47</v>
      </c>
      <c r="I888">
        <v>-1.64</v>
      </c>
      <c r="J888">
        <v>9.93</v>
      </c>
      <c r="K888">
        <v>21.52</v>
      </c>
      <c r="L888">
        <v>11.59</v>
      </c>
      <c r="M888">
        <v>27.2</v>
      </c>
      <c r="N888">
        <v>8.82</v>
      </c>
    </row>
    <row r="889" spans="1:14">
      <c r="A889" s="2" t="s">
        <v>917</v>
      </c>
      <c r="B889" t="s">
        <v>4710</v>
      </c>
      <c r="C889">
        <v>-1.18</v>
      </c>
      <c r="D889">
        <v>18.670000000000002</v>
      </c>
      <c r="E889">
        <v>-6.54</v>
      </c>
      <c r="F889">
        <v>-4.28</v>
      </c>
      <c r="G889">
        <v>13.49</v>
      </c>
      <c r="H889">
        <v>14.27</v>
      </c>
      <c r="J889">
        <v>1.31</v>
      </c>
      <c r="K889">
        <v>-4.33</v>
      </c>
      <c r="L889">
        <v>-6.5</v>
      </c>
      <c r="M889">
        <v>-3.75</v>
      </c>
      <c r="N889">
        <v>2.76</v>
      </c>
    </row>
    <row r="890" spans="1:14">
      <c r="A890" s="2" t="s">
        <v>918</v>
      </c>
      <c r="B890" t="s">
        <v>4711</v>
      </c>
      <c r="D890">
        <v>12.75</v>
      </c>
      <c r="E890">
        <v>9.16</v>
      </c>
      <c r="F890">
        <v>-8.4600000000000009</v>
      </c>
      <c r="G890">
        <v>-16.16</v>
      </c>
      <c r="H890">
        <v>30.2</v>
      </c>
    </row>
    <row r="891" spans="1:14">
      <c r="A891" s="2" t="s">
        <v>919</v>
      </c>
      <c r="B891" t="s">
        <v>4712</v>
      </c>
      <c r="C891">
        <v>-8</v>
      </c>
      <c r="D891">
        <v>8.19</v>
      </c>
      <c r="E891">
        <v>-2.33</v>
      </c>
      <c r="F891">
        <v>-5.92</v>
      </c>
      <c r="G891">
        <v>42.12</v>
      </c>
      <c r="H891">
        <v>12.61</v>
      </c>
      <c r="I891">
        <v>-45.39</v>
      </c>
      <c r="J891">
        <v>2.67</v>
      </c>
      <c r="K891">
        <v>28.86</v>
      </c>
      <c r="L891">
        <v>2.5099999999999998</v>
      </c>
      <c r="M891">
        <v>6.91</v>
      </c>
      <c r="N891">
        <v>41.6</v>
      </c>
    </row>
    <row r="892" spans="1:14">
      <c r="A892" s="2" t="s">
        <v>920</v>
      </c>
      <c r="B892" t="s">
        <v>4713</v>
      </c>
      <c r="C892">
        <v>0.14000000000000001</v>
      </c>
      <c r="D892">
        <v>7.98</v>
      </c>
      <c r="E892">
        <v>-4.41</v>
      </c>
      <c r="F892">
        <v>3.78</v>
      </c>
      <c r="G892">
        <v>1.23</v>
      </c>
      <c r="H892">
        <v>4.01</v>
      </c>
      <c r="I892">
        <v>6.71</v>
      </c>
      <c r="J892">
        <v>4.0199999999999996</v>
      </c>
      <c r="K892">
        <v>-3.37</v>
      </c>
      <c r="L892">
        <v>2.63</v>
      </c>
      <c r="M892">
        <v>0.6</v>
      </c>
      <c r="N892">
        <v>15.77</v>
      </c>
    </row>
    <row r="893" spans="1:14">
      <c r="A893" s="2" t="s">
        <v>921</v>
      </c>
      <c r="B893" t="s">
        <v>4714</v>
      </c>
      <c r="C893">
        <v>-5.12</v>
      </c>
      <c r="D893">
        <v>92.08</v>
      </c>
      <c r="E893">
        <v>-39.369999999999997</v>
      </c>
      <c r="F893">
        <v>-8.6199999999999992</v>
      </c>
      <c r="G893">
        <v>31.66</v>
      </c>
      <c r="H893">
        <v>-12.54</v>
      </c>
      <c r="I893">
        <v>3.21</v>
      </c>
      <c r="J893">
        <v>45.12</v>
      </c>
      <c r="K893">
        <v>-16.02</v>
      </c>
      <c r="L893">
        <v>7.05</v>
      </c>
      <c r="M893">
        <v>3.15</v>
      </c>
      <c r="N893">
        <v>16.18</v>
      </c>
    </row>
    <row r="894" spans="1:14">
      <c r="A894" s="2" t="s">
        <v>922</v>
      </c>
      <c r="B894" t="s">
        <v>4715</v>
      </c>
      <c r="C894">
        <v>-7.17</v>
      </c>
      <c r="D894">
        <v>-1.96</v>
      </c>
      <c r="E894">
        <v>5.25</v>
      </c>
      <c r="F894">
        <v>-5.44</v>
      </c>
      <c r="G894">
        <v>10.37</v>
      </c>
      <c r="H894">
        <v>-14.23</v>
      </c>
      <c r="I894">
        <v>12.08</v>
      </c>
      <c r="J894">
        <v>18.05</v>
      </c>
      <c r="K894">
        <v>1.49</v>
      </c>
      <c r="L894">
        <v>1.93</v>
      </c>
      <c r="M894">
        <v>1.87</v>
      </c>
      <c r="N894">
        <v>-2.42</v>
      </c>
    </row>
    <row r="895" spans="1:14">
      <c r="A895" s="2" t="s">
        <v>923</v>
      </c>
      <c r="B895" t="s">
        <v>4716</v>
      </c>
      <c r="C895">
        <v>-7.63</v>
      </c>
      <c r="D895">
        <v>7.81</v>
      </c>
      <c r="E895">
        <v>10.72</v>
      </c>
      <c r="F895">
        <v>-7.49</v>
      </c>
      <c r="G895">
        <v>4.53</v>
      </c>
      <c r="H895">
        <v>0.54</v>
      </c>
      <c r="I895">
        <v>-10.65</v>
      </c>
      <c r="J895">
        <v>1.69</v>
      </c>
      <c r="K895">
        <v>15.93</v>
      </c>
      <c r="L895">
        <v>2.74</v>
      </c>
      <c r="M895">
        <v>19.649999999999999</v>
      </c>
      <c r="N895">
        <v>19.46</v>
      </c>
    </row>
    <row r="896" spans="1:14">
      <c r="A896" s="2" t="s">
        <v>924</v>
      </c>
      <c r="B896" t="s">
        <v>4717</v>
      </c>
      <c r="C896">
        <v>-18.760000000000002</v>
      </c>
      <c r="D896">
        <v>72.680000000000007</v>
      </c>
      <c r="E896">
        <v>-25.84</v>
      </c>
      <c r="F896">
        <v>-9.68</v>
      </c>
      <c r="G896">
        <v>-26.2</v>
      </c>
      <c r="H896">
        <v>79.540000000000006</v>
      </c>
      <c r="I896">
        <v>-3.84</v>
      </c>
      <c r="J896">
        <v>10.87</v>
      </c>
      <c r="K896">
        <v>35.869999999999997</v>
      </c>
      <c r="L896">
        <v>-14.05</v>
      </c>
      <c r="M896">
        <v>-38.520000000000003</v>
      </c>
      <c r="N896">
        <v>67.63</v>
      </c>
    </row>
    <row r="897" spans="1:14">
      <c r="A897" s="2" t="s">
        <v>925</v>
      </c>
      <c r="B897" t="s">
        <v>4718</v>
      </c>
      <c r="C897">
        <v>5.83</v>
      </c>
      <c r="D897">
        <v>-6.56</v>
      </c>
      <c r="E897">
        <v>7.81</v>
      </c>
      <c r="F897">
        <v>-6.85</v>
      </c>
      <c r="G897">
        <v>57.91</v>
      </c>
      <c r="H897">
        <v>-34.299999999999997</v>
      </c>
      <c r="I897">
        <v>15.1</v>
      </c>
      <c r="J897">
        <v>19.5</v>
      </c>
      <c r="K897">
        <v>13.53</v>
      </c>
      <c r="L897">
        <v>8.5500000000000007</v>
      </c>
      <c r="M897">
        <v>-6.31</v>
      </c>
      <c r="N897">
        <v>19.309999999999999</v>
      </c>
    </row>
    <row r="898" spans="1:14">
      <c r="A898" s="2" t="s">
        <v>926</v>
      </c>
      <c r="B898" t="s">
        <v>4719</v>
      </c>
      <c r="C898">
        <v>-8.08</v>
      </c>
      <c r="D898">
        <v>0.62</v>
      </c>
      <c r="E898">
        <v>0.51</v>
      </c>
      <c r="F898">
        <v>3.24</v>
      </c>
      <c r="G898">
        <v>3.68</v>
      </c>
      <c r="H898">
        <v>11.34</v>
      </c>
      <c r="I898">
        <v>16.87</v>
      </c>
      <c r="J898">
        <v>19.03</v>
      </c>
      <c r="K898">
        <v>9.4700000000000006</v>
      </c>
      <c r="L898">
        <v>6.34</v>
      </c>
      <c r="M898">
        <v>-0.86</v>
      </c>
      <c r="N898">
        <v>23.7</v>
      </c>
    </row>
    <row r="899" spans="1:14">
      <c r="A899" s="2" t="s">
        <v>927</v>
      </c>
      <c r="B899" t="s">
        <v>4720</v>
      </c>
      <c r="C899">
        <v>55201.89</v>
      </c>
      <c r="D899">
        <v>-99.82</v>
      </c>
      <c r="E899">
        <v>0</v>
      </c>
      <c r="F899">
        <v>54.72</v>
      </c>
      <c r="G899">
        <v>45462.2</v>
      </c>
      <c r="I899">
        <v>-84.46</v>
      </c>
      <c r="J899">
        <v>-99.98</v>
      </c>
      <c r="K899">
        <v>-99.98</v>
      </c>
      <c r="L899">
        <v>-99.99</v>
      </c>
      <c r="M899">
        <v>-90.2</v>
      </c>
    </row>
    <row r="900" spans="1:14">
      <c r="A900" s="2" t="s">
        <v>928</v>
      </c>
      <c r="B900" t="s">
        <v>4721</v>
      </c>
      <c r="C900">
        <v>1.57</v>
      </c>
      <c r="D900">
        <v>7.02</v>
      </c>
      <c r="E900">
        <v>0.82</v>
      </c>
      <c r="F900">
        <v>-7.43</v>
      </c>
      <c r="G900">
        <v>8.17</v>
      </c>
      <c r="H900">
        <v>16.77</v>
      </c>
      <c r="I900">
        <v>1.99</v>
      </c>
      <c r="J900">
        <v>21.72</v>
      </c>
      <c r="K900">
        <v>9.1999999999999993</v>
      </c>
      <c r="L900">
        <v>0.91</v>
      </c>
      <c r="M900">
        <v>4.34</v>
      </c>
      <c r="N900">
        <v>25.42</v>
      </c>
    </row>
    <row r="901" spans="1:14">
      <c r="A901" s="2" t="s">
        <v>929</v>
      </c>
      <c r="B901" t="s">
        <v>4722</v>
      </c>
      <c r="C901">
        <v>-10.36</v>
      </c>
      <c r="D901">
        <v>6.32</v>
      </c>
      <c r="E901">
        <v>-1.23</v>
      </c>
      <c r="F901">
        <v>1.48</v>
      </c>
      <c r="G901">
        <v>13.11</v>
      </c>
      <c r="H901">
        <v>-1.07</v>
      </c>
      <c r="I901">
        <v>2.59</v>
      </c>
      <c r="J901">
        <v>3.16</v>
      </c>
      <c r="K901">
        <v>5.03</v>
      </c>
      <c r="L901">
        <v>-4.41</v>
      </c>
      <c r="M901">
        <v>14.13</v>
      </c>
      <c r="N901">
        <v>20.05</v>
      </c>
    </row>
    <row r="902" spans="1:14">
      <c r="A902" s="2" t="s">
        <v>930</v>
      </c>
      <c r="B902" t="s">
        <v>4723</v>
      </c>
      <c r="C902">
        <v>-36.69</v>
      </c>
      <c r="D902">
        <v>137.05000000000001</v>
      </c>
      <c r="E902">
        <v>-18.190000000000001</v>
      </c>
      <c r="F902">
        <v>2.88</v>
      </c>
      <c r="G902">
        <v>46.7</v>
      </c>
      <c r="H902">
        <v>-14.48</v>
      </c>
      <c r="I902">
        <v>-65.56</v>
      </c>
      <c r="J902">
        <v>-7.2</v>
      </c>
      <c r="K902">
        <v>-40.33</v>
      </c>
      <c r="L902">
        <v>-33.53</v>
      </c>
      <c r="M902">
        <v>94.53</v>
      </c>
      <c r="N902">
        <v>21.37</v>
      </c>
    </row>
    <row r="903" spans="1:14">
      <c r="A903" s="2" t="s">
        <v>931</v>
      </c>
      <c r="B903" t="s">
        <v>4724</v>
      </c>
      <c r="C903">
        <v>6.01</v>
      </c>
      <c r="D903">
        <v>6.88</v>
      </c>
      <c r="E903">
        <v>10.71</v>
      </c>
      <c r="F903">
        <v>-15.4</v>
      </c>
      <c r="G903">
        <v>4.47</v>
      </c>
      <c r="H903">
        <v>15.04</v>
      </c>
      <c r="I903">
        <v>-2.2400000000000002</v>
      </c>
      <c r="J903">
        <v>17.010000000000002</v>
      </c>
      <c r="K903">
        <v>13.52</v>
      </c>
      <c r="L903">
        <v>-7.3</v>
      </c>
      <c r="M903">
        <v>14.44</v>
      </c>
      <c r="N903">
        <v>4.3899999999999997</v>
      </c>
    </row>
    <row r="904" spans="1:14">
      <c r="A904" s="2" t="s">
        <v>932</v>
      </c>
      <c r="B904" t="s">
        <v>4725</v>
      </c>
      <c r="C904">
        <v>-0.43</v>
      </c>
      <c r="D904">
        <v>-5.77</v>
      </c>
      <c r="E904">
        <v>3.24</v>
      </c>
      <c r="F904">
        <v>7.23</v>
      </c>
      <c r="G904">
        <v>-7.82</v>
      </c>
      <c r="H904">
        <v>5.45</v>
      </c>
      <c r="I904">
        <v>-2.36</v>
      </c>
      <c r="J904">
        <v>-4.7</v>
      </c>
      <c r="K904">
        <v>4.34</v>
      </c>
      <c r="L904">
        <v>1.61</v>
      </c>
      <c r="M904">
        <v>-10.72</v>
      </c>
      <c r="N904">
        <v>-2.15</v>
      </c>
    </row>
    <row r="905" spans="1:14">
      <c r="A905" s="2" t="s">
        <v>933</v>
      </c>
      <c r="B905" t="s">
        <v>4726</v>
      </c>
      <c r="C905">
        <v>-31.17</v>
      </c>
      <c r="D905">
        <v>39.28</v>
      </c>
      <c r="E905">
        <v>3.47</v>
      </c>
      <c r="F905">
        <v>-14.71</v>
      </c>
      <c r="G905">
        <v>30.52</v>
      </c>
      <c r="H905">
        <v>27.58</v>
      </c>
      <c r="I905">
        <v>-36.68</v>
      </c>
      <c r="J905">
        <v>23.48</v>
      </c>
      <c r="K905">
        <v>-31.52</v>
      </c>
      <c r="L905">
        <v>-13.41</v>
      </c>
      <c r="M905">
        <v>24.36</v>
      </c>
      <c r="N905">
        <v>56.42</v>
      </c>
    </row>
    <row r="906" spans="1:14">
      <c r="A906" s="2" t="s">
        <v>934</v>
      </c>
      <c r="B906" t="s">
        <v>4727</v>
      </c>
      <c r="C906">
        <v>-0.61</v>
      </c>
      <c r="D906">
        <v>-4.05</v>
      </c>
      <c r="E906">
        <v>1.94</v>
      </c>
      <c r="F906">
        <v>-23.83</v>
      </c>
      <c r="G906">
        <v>16.86</v>
      </c>
      <c r="H906">
        <v>3.44</v>
      </c>
      <c r="I906">
        <v>3.36</v>
      </c>
      <c r="J906">
        <v>25.68</v>
      </c>
      <c r="K906">
        <v>9.76</v>
      </c>
      <c r="L906">
        <v>-25.71</v>
      </c>
      <c r="M906">
        <v>-11.39</v>
      </c>
      <c r="N906">
        <v>15.98</v>
      </c>
    </row>
    <row r="907" spans="1:14">
      <c r="A907" s="2" t="s">
        <v>935</v>
      </c>
      <c r="B907" t="s">
        <v>4728</v>
      </c>
      <c r="C907">
        <v>-17.37</v>
      </c>
      <c r="D907">
        <v>32.06</v>
      </c>
      <c r="E907">
        <v>-16.09</v>
      </c>
      <c r="F907">
        <v>3.15</v>
      </c>
      <c r="G907">
        <v>-0.75</v>
      </c>
      <c r="I907">
        <v>19.45</v>
      </c>
      <c r="J907">
        <v>70.489999999999995</v>
      </c>
      <c r="K907">
        <v>47.07</v>
      </c>
      <c r="L907">
        <v>35.04</v>
      </c>
      <c r="M907">
        <v>74.97</v>
      </c>
    </row>
    <row r="908" spans="1:14">
      <c r="A908" s="2" t="s">
        <v>936</v>
      </c>
      <c r="B908" t="s">
        <v>4729</v>
      </c>
      <c r="C908">
        <v>0.04</v>
      </c>
      <c r="D908">
        <v>2.74</v>
      </c>
      <c r="E908">
        <v>8.83</v>
      </c>
      <c r="F908">
        <v>-2.15</v>
      </c>
      <c r="G908">
        <v>-3.96</v>
      </c>
      <c r="H908">
        <v>9.4700000000000006</v>
      </c>
      <c r="I908">
        <v>8.66</v>
      </c>
      <c r="J908">
        <v>10.18</v>
      </c>
      <c r="K908">
        <v>8.6</v>
      </c>
      <c r="L908">
        <v>8.1300000000000008</v>
      </c>
      <c r="M908">
        <v>5.9</v>
      </c>
      <c r="N908">
        <v>8.68</v>
      </c>
    </row>
    <row r="909" spans="1:14">
      <c r="A909" s="2" t="s">
        <v>937</v>
      </c>
      <c r="B909" t="s">
        <v>4730</v>
      </c>
      <c r="C909">
        <v>-14.53</v>
      </c>
      <c r="D909">
        <v>12.38</v>
      </c>
      <c r="E909">
        <v>1.36</v>
      </c>
      <c r="F909">
        <v>-3.07</v>
      </c>
      <c r="G909">
        <v>0.02</v>
      </c>
      <c r="H909">
        <v>-4.92</v>
      </c>
      <c r="I909">
        <v>40.06</v>
      </c>
      <c r="J909">
        <v>30.21</v>
      </c>
      <c r="K909">
        <v>12.06</v>
      </c>
      <c r="L909">
        <v>13.48</v>
      </c>
      <c r="M909">
        <v>20.51</v>
      </c>
      <c r="N909">
        <v>20.079999999999998</v>
      </c>
    </row>
    <row r="910" spans="1:14">
      <c r="A910" s="2" t="s">
        <v>938</v>
      </c>
      <c r="B910" t="s">
        <v>4731</v>
      </c>
      <c r="C910">
        <v>-11.06</v>
      </c>
      <c r="D910">
        <v>-2.7</v>
      </c>
      <c r="E910">
        <v>8.23</v>
      </c>
      <c r="F910">
        <v>9.8800000000000008</v>
      </c>
      <c r="G910">
        <v>-14.36</v>
      </c>
      <c r="H910">
        <v>34.14</v>
      </c>
      <c r="I910">
        <v>-11</v>
      </c>
      <c r="J910">
        <v>-15.32</v>
      </c>
      <c r="K910">
        <v>-5.79</v>
      </c>
      <c r="L910">
        <v>14.04</v>
      </c>
      <c r="M910">
        <v>-4.45</v>
      </c>
      <c r="N910">
        <v>2.2799999999999998</v>
      </c>
    </row>
    <row r="911" spans="1:14">
      <c r="A911" s="2" t="s">
        <v>939</v>
      </c>
      <c r="B911" t="s">
        <v>4732</v>
      </c>
      <c r="C911">
        <v>-41.16</v>
      </c>
      <c r="D911">
        <v>12.98</v>
      </c>
      <c r="E911">
        <v>-9.41</v>
      </c>
      <c r="F911">
        <v>82.04</v>
      </c>
      <c r="G911">
        <v>-8.5299999999999994</v>
      </c>
      <c r="H911">
        <v>-30.1</v>
      </c>
      <c r="I911">
        <v>174.99</v>
      </c>
      <c r="J911">
        <v>238.3</v>
      </c>
      <c r="K911">
        <v>178.73</v>
      </c>
      <c r="L911">
        <v>396.69</v>
      </c>
      <c r="M911">
        <v>2590.58</v>
      </c>
      <c r="N911">
        <v>-23.16</v>
      </c>
    </row>
    <row r="912" spans="1:14">
      <c r="A912" s="2" t="s">
        <v>940</v>
      </c>
      <c r="B912" t="s">
        <v>4733</v>
      </c>
      <c r="C912">
        <v>11.89</v>
      </c>
      <c r="D912">
        <v>-17.16</v>
      </c>
      <c r="E912">
        <v>3.31</v>
      </c>
      <c r="F912">
        <v>10.56</v>
      </c>
      <c r="G912">
        <v>-7.28</v>
      </c>
      <c r="H912">
        <v>-6.51</v>
      </c>
      <c r="I912">
        <v>-5.31</v>
      </c>
      <c r="J912">
        <v>-5.51</v>
      </c>
      <c r="K912">
        <v>-5.23</v>
      </c>
      <c r="L912">
        <v>-5.67</v>
      </c>
      <c r="M912">
        <v>-2.98</v>
      </c>
      <c r="N912">
        <v>12.41</v>
      </c>
    </row>
    <row r="913" spans="1:14">
      <c r="A913" s="2" t="s">
        <v>941</v>
      </c>
      <c r="B913" t="s">
        <v>4734</v>
      </c>
      <c r="C913">
        <v>4.07</v>
      </c>
      <c r="D913">
        <v>21.64</v>
      </c>
      <c r="E913">
        <v>-9.23</v>
      </c>
      <c r="F913">
        <v>0.65</v>
      </c>
      <c r="G913">
        <v>8.19</v>
      </c>
      <c r="H913">
        <v>-2.38</v>
      </c>
      <c r="I913">
        <v>-2.08</v>
      </c>
      <c r="J913">
        <v>4.83</v>
      </c>
      <c r="K913">
        <v>5.48</v>
      </c>
      <c r="L913">
        <v>5.48</v>
      </c>
      <c r="M913">
        <v>10.9</v>
      </c>
      <c r="N913">
        <v>117.15</v>
      </c>
    </row>
    <row r="914" spans="1:14">
      <c r="A914" s="2" t="s">
        <v>942</v>
      </c>
      <c r="B914" t="s">
        <v>4735</v>
      </c>
      <c r="C914">
        <v>9.85</v>
      </c>
      <c r="D914">
        <v>6.19</v>
      </c>
      <c r="E914">
        <v>-3.26</v>
      </c>
      <c r="F914">
        <v>13.42</v>
      </c>
      <c r="G914">
        <v>-8.7100000000000009</v>
      </c>
      <c r="H914">
        <v>-1.44</v>
      </c>
      <c r="I914">
        <v>-0.23</v>
      </c>
      <c r="J914">
        <v>-2.7</v>
      </c>
      <c r="K914">
        <v>-20.46</v>
      </c>
      <c r="L914">
        <v>-11.01</v>
      </c>
      <c r="M914">
        <v>1.72</v>
      </c>
      <c r="N914">
        <v>5.16</v>
      </c>
    </row>
    <row r="915" spans="1:14">
      <c r="A915" s="2" t="s">
        <v>943</v>
      </c>
      <c r="B915" t="s">
        <v>4736</v>
      </c>
      <c r="C915">
        <v>5.69</v>
      </c>
      <c r="D915">
        <v>-2.6</v>
      </c>
      <c r="E915">
        <v>1.39</v>
      </c>
      <c r="F915">
        <v>5.27</v>
      </c>
      <c r="G915">
        <v>15.76</v>
      </c>
      <c r="H915">
        <v>-16.760000000000002</v>
      </c>
      <c r="I915">
        <v>-10.039999999999999</v>
      </c>
      <c r="J915">
        <v>-12.62</v>
      </c>
      <c r="K915">
        <v>-12.6</v>
      </c>
      <c r="L915">
        <v>2.2799999999999998</v>
      </c>
      <c r="M915">
        <v>-0.22</v>
      </c>
      <c r="N915">
        <v>15.21</v>
      </c>
    </row>
    <row r="916" spans="1:14">
      <c r="A916" s="2" t="s">
        <v>944</v>
      </c>
      <c r="B916" t="s">
        <v>4737</v>
      </c>
      <c r="C916">
        <v>-69.62</v>
      </c>
      <c r="D916">
        <v>123.56</v>
      </c>
      <c r="E916">
        <v>264.88</v>
      </c>
      <c r="F916">
        <v>-77.97</v>
      </c>
      <c r="G916">
        <v>-84.26</v>
      </c>
      <c r="H916">
        <v>-46.67</v>
      </c>
      <c r="I916">
        <v>-60.88</v>
      </c>
      <c r="J916">
        <v>-52.26</v>
      </c>
      <c r="K916">
        <v>23.76</v>
      </c>
      <c r="L916">
        <v>537.85</v>
      </c>
      <c r="M916">
        <v>-53.79</v>
      </c>
      <c r="N916">
        <v>-82.24</v>
      </c>
    </row>
    <row r="917" spans="1:14">
      <c r="A917" s="2" t="s">
        <v>945</v>
      </c>
      <c r="B917" t="s">
        <v>4738</v>
      </c>
      <c r="C917">
        <v>33.76</v>
      </c>
      <c r="D917">
        <v>17.09</v>
      </c>
      <c r="E917">
        <v>-34.770000000000003</v>
      </c>
      <c r="F917">
        <v>-1.86</v>
      </c>
      <c r="G917">
        <v>93.33</v>
      </c>
      <c r="H917">
        <v>-48.34</v>
      </c>
      <c r="I917">
        <v>0.56000000000000005</v>
      </c>
      <c r="J917">
        <v>35</v>
      </c>
      <c r="K917">
        <v>-7.5</v>
      </c>
      <c r="L917">
        <v>-33.74</v>
      </c>
      <c r="M917">
        <v>56.86</v>
      </c>
      <c r="N917">
        <v>-23.96</v>
      </c>
    </row>
    <row r="918" spans="1:14">
      <c r="A918" s="2" t="s">
        <v>946</v>
      </c>
      <c r="B918" t="s">
        <v>4739</v>
      </c>
      <c r="C918">
        <v>-4.3</v>
      </c>
      <c r="D918">
        <v>43.94</v>
      </c>
      <c r="E918">
        <v>-5.51</v>
      </c>
      <c r="F918">
        <v>-29.14</v>
      </c>
      <c r="G918">
        <v>16.5</v>
      </c>
      <c r="H918">
        <v>-46.69</v>
      </c>
      <c r="I918">
        <v>-14.28</v>
      </c>
      <c r="J918">
        <v>34.04</v>
      </c>
      <c r="K918">
        <v>28.99</v>
      </c>
      <c r="L918">
        <v>6.26</v>
      </c>
      <c r="M918">
        <v>12.52</v>
      </c>
      <c r="N918">
        <v>12.25</v>
      </c>
    </row>
    <row r="919" spans="1:14">
      <c r="A919" s="2" t="s">
        <v>947</v>
      </c>
      <c r="B919" t="s">
        <v>4740</v>
      </c>
      <c r="C919">
        <v>11.7</v>
      </c>
      <c r="D919">
        <v>-12.95</v>
      </c>
      <c r="E919">
        <v>-2.46</v>
      </c>
      <c r="F919">
        <v>19.45</v>
      </c>
      <c r="G919">
        <v>34.299999999999997</v>
      </c>
      <c r="H919">
        <v>-28.58</v>
      </c>
      <c r="I919">
        <v>2.85</v>
      </c>
      <c r="J919">
        <v>-4.53</v>
      </c>
      <c r="K919">
        <v>-9.4499999999999993</v>
      </c>
      <c r="L919">
        <v>0.62</v>
      </c>
      <c r="M919">
        <v>14.55</v>
      </c>
      <c r="N919">
        <v>25.24</v>
      </c>
    </row>
    <row r="920" spans="1:14">
      <c r="A920" s="2" t="s">
        <v>948</v>
      </c>
      <c r="B920" t="s">
        <v>4741</v>
      </c>
      <c r="C920">
        <v>22.36</v>
      </c>
      <c r="D920">
        <v>20.9</v>
      </c>
      <c r="E920">
        <v>-39.29</v>
      </c>
      <c r="F920">
        <v>0.73</v>
      </c>
      <c r="G920">
        <v>318.2</v>
      </c>
      <c r="H920">
        <v>-81.28</v>
      </c>
      <c r="I920">
        <v>-37.090000000000003</v>
      </c>
      <c r="J920">
        <v>-2.48</v>
      </c>
      <c r="K920">
        <v>-57.51</v>
      </c>
      <c r="L920">
        <v>-51.11</v>
      </c>
      <c r="M920">
        <v>189.45</v>
      </c>
      <c r="N920">
        <v>-40.68</v>
      </c>
    </row>
    <row r="921" spans="1:14">
      <c r="A921" s="2" t="s">
        <v>949</v>
      </c>
      <c r="B921" t="s">
        <v>4742</v>
      </c>
      <c r="C921">
        <v>15.66</v>
      </c>
      <c r="D921">
        <v>2.68</v>
      </c>
      <c r="E921">
        <v>-5.49</v>
      </c>
      <c r="F921">
        <v>-11.99</v>
      </c>
      <c r="G921">
        <v>-13.9</v>
      </c>
      <c r="H921">
        <v>35.36</v>
      </c>
      <c r="I921">
        <v>0.09</v>
      </c>
      <c r="J921">
        <v>-23.83</v>
      </c>
      <c r="K921">
        <v>-11.37</v>
      </c>
      <c r="L921">
        <v>-8.01</v>
      </c>
      <c r="M921">
        <v>-40.549999999999997</v>
      </c>
      <c r="N921">
        <v>-15.01</v>
      </c>
    </row>
    <row r="922" spans="1:14">
      <c r="A922" s="2" t="s">
        <v>950</v>
      </c>
      <c r="B922" t="s">
        <v>4743</v>
      </c>
      <c r="C922">
        <v>-15.82</v>
      </c>
      <c r="D922">
        <v>-61.13</v>
      </c>
      <c r="E922">
        <v>225.42</v>
      </c>
      <c r="F922">
        <v>25.85</v>
      </c>
      <c r="G922">
        <v>5327.13</v>
      </c>
      <c r="H922">
        <v>-97.3</v>
      </c>
      <c r="I922">
        <v>-17.11</v>
      </c>
      <c r="J922">
        <v>-66.459999999999994</v>
      </c>
      <c r="K922">
        <v>-16.72</v>
      </c>
      <c r="L922">
        <v>30.75</v>
      </c>
      <c r="M922">
        <v>6482.79</v>
      </c>
      <c r="N922">
        <v>42.97</v>
      </c>
    </row>
    <row r="923" spans="1:14">
      <c r="A923" s="2" t="s">
        <v>951</v>
      </c>
      <c r="B923" t="s">
        <v>4744</v>
      </c>
      <c r="C923">
        <v>-13.35</v>
      </c>
      <c r="D923">
        <v>-2.81</v>
      </c>
      <c r="E923">
        <v>0.97</v>
      </c>
      <c r="F923">
        <v>-2.57</v>
      </c>
      <c r="G923">
        <v>77.67</v>
      </c>
      <c r="H923">
        <v>-39.43</v>
      </c>
      <c r="I923">
        <v>-19.739999999999998</v>
      </c>
      <c r="J923">
        <v>-9.4499999999999993</v>
      </c>
      <c r="K923">
        <v>-4.83</v>
      </c>
      <c r="L923">
        <v>-6.81</v>
      </c>
      <c r="M923">
        <v>32.86</v>
      </c>
      <c r="N923">
        <v>14.97</v>
      </c>
    </row>
    <row r="924" spans="1:14">
      <c r="A924" s="2" t="s">
        <v>952</v>
      </c>
      <c r="B924" t="s">
        <v>4745</v>
      </c>
      <c r="C924">
        <v>-1.47</v>
      </c>
      <c r="D924">
        <v>21.64</v>
      </c>
      <c r="E924">
        <v>-25.41</v>
      </c>
      <c r="F924">
        <v>67.23</v>
      </c>
      <c r="G924">
        <v>-26.41</v>
      </c>
      <c r="H924">
        <v>0.32</v>
      </c>
      <c r="I924">
        <v>6.91</v>
      </c>
      <c r="J924">
        <v>-0.89</v>
      </c>
      <c r="K924">
        <v>-2.41</v>
      </c>
      <c r="L924">
        <v>17.87</v>
      </c>
      <c r="M924">
        <v>-7.27</v>
      </c>
      <c r="N924">
        <v>39.07</v>
      </c>
    </row>
    <row r="925" spans="1:14">
      <c r="A925" s="2" t="s">
        <v>953</v>
      </c>
      <c r="B925" t="s">
        <v>4746</v>
      </c>
      <c r="C925">
        <v>-0.71</v>
      </c>
      <c r="D925">
        <v>790.15</v>
      </c>
      <c r="E925">
        <v>-86.05</v>
      </c>
      <c r="F925">
        <v>8.91</v>
      </c>
      <c r="G925">
        <v>467.92</v>
      </c>
      <c r="H925">
        <v>-57.67</v>
      </c>
      <c r="I925">
        <v>-14.66</v>
      </c>
      <c r="J925">
        <v>18.440000000000001</v>
      </c>
      <c r="K925">
        <v>24.68</v>
      </c>
      <c r="L925">
        <v>29.89</v>
      </c>
      <c r="M925">
        <v>-90.7</v>
      </c>
      <c r="N925">
        <v>208.29</v>
      </c>
    </row>
    <row r="926" spans="1:14">
      <c r="A926" s="2" t="s">
        <v>954</v>
      </c>
      <c r="B926" t="s">
        <v>4747</v>
      </c>
      <c r="C926">
        <v>8.61</v>
      </c>
      <c r="D926">
        <v>-3.96</v>
      </c>
      <c r="E926">
        <v>-15.72</v>
      </c>
      <c r="F926">
        <v>18.7</v>
      </c>
      <c r="G926">
        <v>1.88</v>
      </c>
      <c r="H926">
        <v>23.13</v>
      </c>
      <c r="I926">
        <v>14.38</v>
      </c>
      <c r="J926">
        <v>1.98</v>
      </c>
      <c r="K926">
        <v>-3.8</v>
      </c>
      <c r="L926">
        <v>-5.76</v>
      </c>
      <c r="M926">
        <v>9.76</v>
      </c>
      <c r="N926">
        <v>38.57</v>
      </c>
    </row>
    <row r="927" spans="1:14">
      <c r="A927" s="2" t="s">
        <v>955</v>
      </c>
      <c r="B927" t="s">
        <v>4748</v>
      </c>
      <c r="C927">
        <v>-1.23</v>
      </c>
      <c r="D927">
        <v>86.01</v>
      </c>
      <c r="E927">
        <v>-36.020000000000003</v>
      </c>
      <c r="F927">
        <v>16.68</v>
      </c>
      <c r="G927">
        <v>21.19</v>
      </c>
      <c r="H927">
        <v>-34.1</v>
      </c>
      <c r="I927">
        <v>10.64</v>
      </c>
      <c r="J927">
        <v>9.1</v>
      </c>
      <c r="K927">
        <v>42.2</v>
      </c>
      <c r="L927">
        <v>32.630000000000003</v>
      </c>
      <c r="M927">
        <v>-1.73</v>
      </c>
      <c r="N927">
        <v>38.28</v>
      </c>
    </row>
    <row r="928" spans="1:14">
      <c r="A928" s="2" t="s">
        <v>956</v>
      </c>
      <c r="B928" t="s">
        <v>4749</v>
      </c>
      <c r="C928">
        <v>-8.08</v>
      </c>
      <c r="D928">
        <v>4.46</v>
      </c>
      <c r="E928">
        <v>42.33</v>
      </c>
      <c r="F928">
        <v>6.66</v>
      </c>
      <c r="G928">
        <v>-17.68</v>
      </c>
      <c r="H928">
        <v>10.37</v>
      </c>
      <c r="I928">
        <v>0.1</v>
      </c>
      <c r="J928">
        <v>4.97</v>
      </c>
      <c r="K928">
        <v>65.67</v>
      </c>
      <c r="L928">
        <v>47.23</v>
      </c>
      <c r="M928">
        <v>19.41</v>
      </c>
      <c r="N928">
        <v>10.55</v>
      </c>
    </row>
    <row r="929" spans="1:14">
      <c r="A929" s="2" t="s">
        <v>957</v>
      </c>
      <c r="B929" t="s">
        <v>4750</v>
      </c>
      <c r="C929">
        <v>-11.97</v>
      </c>
      <c r="D929">
        <v>-18.77</v>
      </c>
      <c r="E929">
        <v>44.26</v>
      </c>
      <c r="F929">
        <v>-21.75</v>
      </c>
      <c r="G929">
        <v>36.28</v>
      </c>
      <c r="H929">
        <v>-29.96</v>
      </c>
      <c r="I929">
        <v>-12.09</v>
      </c>
      <c r="J929">
        <v>-39.619999999999997</v>
      </c>
      <c r="K929">
        <v>8.2200000000000006</v>
      </c>
      <c r="L929">
        <v>-23.77</v>
      </c>
      <c r="M929">
        <v>106.67</v>
      </c>
      <c r="N929">
        <v>-14.23</v>
      </c>
    </row>
    <row r="930" spans="1:14">
      <c r="A930" s="2" t="s">
        <v>958</v>
      </c>
      <c r="B930" t="s">
        <v>4751</v>
      </c>
      <c r="C930">
        <v>11162.07</v>
      </c>
      <c r="D930">
        <v>-82.91</v>
      </c>
      <c r="E930">
        <v>-100</v>
      </c>
      <c r="H930">
        <v>-100</v>
      </c>
      <c r="I930">
        <v>17089.47</v>
      </c>
      <c r="J930">
        <v>-74.069999999999993</v>
      </c>
      <c r="K930">
        <v>-100</v>
      </c>
      <c r="L930">
        <v>-100</v>
      </c>
      <c r="M930">
        <v>2979.72</v>
      </c>
    </row>
    <row r="931" spans="1:14">
      <c r="A931" s="2" t="s">
        <v>959</v>
      </c>
      <c r="B931" t="s">
        <v>4752</v>
      </c>
      <c r="C931">
        <v>-2.16</v>
      </c>
      <c r="D931">
        <v>9.7200000000000006</v>
      </c>
      <c r="E931">
        <v>2.92</v>
      </c>
      <c r="F931">
        <v>17.14</v>
      </c>
      <c r="G931">
        <v>34.29</v>
      </c>
      <c r="H931">
        <v>-43.7</v>
      </c>
      <c r="I931">
        <v>-43.05</v>
      </c>
      <c r="J931">
        <v>28.08</v>
      </c>
      <c r="K931">
        <v>26.82</v>
      </c>
      <c r="L931">
        <v>11.94</v>
      </c>
      <c r="M931">
        <v>55.99</v>
      </c>
      <c r="N931">
        <v>84.93</v>
      </c>
    </row>
    <row r="932" spans="1:14">
      <c r="A932" s="2" t="s">
        <v>960</v>
      </c>
      <c r="B932" t="s">
        <v>4753</v>
      </c>
      <c r="C932">
        <v>10.06</v>
      </c>
      <c r="D932">
        <v>-0.85</v>
      </c>
      <c r="E932">
        <v>-13.43</v>
      </c>
      <c r="F932">
        <v>33.46</v>
      </c>
      <c r="G932">
        <v>5.09</v>
      </c>
      <c r="H932">
        <v>15.93</v>
      </c>
      <c r="I932">
        <v>17.02</v>
      </c>
      <c r="J932">
        <v>4.58</v>
      </c>
      <c r="K932">
        <v>0.69</v>
      </c>
      <c r="L932">
        <v>33.590000000000003</v>
      </c>
      <c r="M932">
        <v>22.78</v>
      </c>
      <c r="N932">
        <v>41.98</v>
      </c>
    </row>
    <row r="933" spans="1:14">
      <c r="A933" s="2" t="s">
        <v>961</v>
      </c>
      <c r="B933" t="s">
        <v>4754</v>
      </c>
      <c r="C933">
        <v>-74.010000000000005</v>
      </c>
      <c r="D933">
        <v>401.41</v>
      </c>
      <c r="E933">
        <v>3.21</v>
      </c>
      <c r="F933">
        <v>43.68</v>
      </c>
      <c r="G933">
        <v>-6.97</v>
      </c>
      <c r="H933">
        <v>-81.94</v>
      </c>
      <c r="I933">
        <v>-82.05</v>
      </c>
      <c r="J933">
        <v>14.81</v>
      </c>
      <c r="K933">
        <v>215</v>
      </c>
      <c r="L933">
        <v>306.25</v>
      </c>
      <c r="M933">
        <v>-5.88</v>
      </c>
      <c r="N933">
        <v>140.18</v>
      </c>
    </row>
    <row r="934" spans="1:14">
      <c r="A934" s="2" t="s">
        <v>962</v>
      </c>
      <c r="B934" t="s">
        <v>4755</v>
      </c>
      <c r="C934">
        <v>1.9</v>
      </c>
      <c r="D934">
        <v>-1.1499999999999999</v>
      </c>
      <c r="E934">
        <v>2.25</v>
      </c>
      <c r="F934">
        <v>-7.98</v>
      </c>
      <c r="G934">
        <v>31.49</v>
      </c>
      <c r="I934">
        <v>3.03</v>
      </c>
      <c r="J934">
        <v>1.65</v>
      </c>
      <c r="K934">
        <v>5.21</v>
      </c>
      <c r="L934">
        <v>2.68</v>
      </c>
      <c r="M934">
        <v>1.83</v>
      </c>
    </row>
    <row r="935" spans="1:14">
      <c r="A935" s="2" t="s">
        <v>963</v>
      </c>
      <c r="B935" t="s">
        <v>4756</v>
      </c>
      <c r="C935">
        <v>-6.23</v>
      </c>
      <c r="D935">
        <v>26.69</v>
      </c>
      <c r="E935">
        <v>-9.34</v>
      </c>
      <c r="F935">
        <v>-33.090000000000003</v>
      </c>
      <c r="G935">
        <v>46.54</v>
      </c>
      <c r="H935">
        <v>-37.630000000000003</v>
      </c>
      <c r="I935">
        <v>174.29</v>
      </c>
      <c r="J935">
        <v>-10.81</v>
      </c>
      <c r="K935">
        <v>212.24</v>
      </c>
      <c r="L935">
        <v>-38.79</v>
      </c>
      <c r="M935">
        <v>-16.93</v>
      </c>
      <c r="N935">
        <v>-25.25</v>
      </c>
    </row>
    <row r="936" spans="1:14">
      <c r="A936" s="2" t="s">
        <v>964</v>
      </c>
      <c r="B936" t="s">
        <v>4757</v>
      </c>
      <c r="C936">
        <v>9.43</v>
      </c>
      <c r="D936">
        <v>156</v>
      </c>
      <c r="E936">
        <v>-57.54</v>
      </c>
      <c r="F936">
        <v>-48.48</v>
      </c>
      <c r="G936">
        <v>-6.28</v>
      </c>
      <c r="H936">
        <v>138.07</v>
      </c>
      <c r="I936">
        <v>-7.5</v>
      </c>
      <c r="J936">
        <v>73.900000000000006</v>
      </c>
      <c r="K936">
        <v>-25.57</v>
      </c>
      <c r="L936">
        <v>-81.11</v>
      </c>
      <c r="M936">
        <v>-84.35</v>
      </c>
      <c r="N936">
        <v>26.48</v>
      </c>
    </row>
    <row r="937" spans="1:14">
      <c r="A937" s="2" t="s">
        <v>965</v>
      </c>
      <c r="B937" t="s">
        <v>4758</v>
      </c>
      <c r="C937">
        <v>-3.37</v>
      </c>
      <c r="D937">
        <v>28.39</v>
      </c>
      <c r="E937">
        <v>-13.08</v>
      </c>
      <c r="F937">
        <v>8.25</v>
      </c>
      <c r="G937">
        <v>6.84</v>
      </c>
      <c r="H937">
        <v>-2.56</v>
      </c>
      <c r="I937">
        <v>-17.309999999999999</v>
      </c>
      <c r="J937">
        <v>17.12</v>
      </c>
      <c r="K937">
        <v>-0.15</v>
      </c>
      <c r="L937">
        <v>2.1</v>
      </c>
      <c r="M937">
        <v>11.04</v>
      </c>
      <c r="N937">
        <v>-2.19</v>
      </c>
    </row>
    <row r="938" spans="1:14">
      <c r="A938" s="2" t="s">
        <v>966</v>
      </c>
      <c r="B938" t="s">
        <v>4759</v>
      </c>
      <c r="C938">
        <v>-15.4</v>
      </c>
      <c r="D938">
        <v>-10</v>
      </c>
      <c r="E938">
        <v>6.93</v>
      </c>
      <c r="F938">
        <v>32.479999999999997</v>
      </c>
      <c r="G938">
        <v>0</v>
      </c>
      <c r="H938">
        <v>-19.690000000000001</v>
      </c>
      <c r="I938">
        <v>-22.26</v>
      </c>
      <c r="J938">
        <v>14.48</v>
      </c>
      <c r="K938">
        <v>20.67</v>
      </c>
      <c r="L938">
        <v>43.72</v>
      </c>
      <c r="M938">
        <v>-12.26</v>
      </c>
      <c r="N938">
        <v>20.8</v>
      </c>
    </row>
    <row r="939" spans="1:14">
      <c r="A939" s="2" t="s">
        <v>967</v>
      </c>
      <c r="B939" t="s">
        <v>4760</v>
      </c>
      <c r="C939">
        <v>24.44</v>
      </c>
      <c r="D939">
        <v>24.31</v>
      </c>
      <c r="E939">
        <v>-17.920000000000002</v>
      </c>
      <c r="F939">
        <v>-5.2</v>
      </c>
      <c r="G939">
        <v>64.069999999999993</v>
      </c>
      <c r="I939">
        <v>-40.130000000000003</v>
      </c>
      <c r="J939">
        <v>21.47</v>
      </c>
      <c r="K939">
        <v>-49.48</v>
      </c>
      <c r="L939">
        <v>-1.07</v>
      </c>
      <c r="M939">
        <v>97.38</v>
      </c>
    </row>
    <row r="940" spans="1:14">
      <c r="A940" s="2" t="s">
        <v>968</v>
      </c>
      <c r="B940" t="s">
        <v>4761</v>
      </c>
      <c r="C940">
        <v>-3.56</v>
      </c>
      <c r="D940">
        <v>-0.61</v>
      </c>
      <c r="E940">
        <v>3.71</v>
      </c>
      <c r="F940">
        <v>-4.53</v>
      </c>
      <c r="G940">
        <v>10.24</v>
      </c>
      <c r="H940">
        <v>-8.34</v>
      </c>
      <c r="I940">
        <v>-1.38</v>
      </c>
      <c r="J940">
        <v>5.74</v>
      </c>
      <c r="K940">
        <v>-3.24</v>
      </c>
      <c r="L940">
        <v>-1.98</v>
      </c>
      <c r="M940">
        <v>4.3</v>
      </c>
      <c r="N940">
        <v>-2.84</v>
      </c>
    </row>
    <row r="941" spans="1:14">
      <c r="A941" s="2" t="s">
        <v>969</v>
      </c>
      <c r="B941" t="s">
        <v>4762</v>
      </c>
      <c r="C941">
        <v>-5.75</v>
      </c>
      <c r="D941">
        <v>3.18</v>
      </c>
      <c r="E941">
        <v>1.24</v>
      </c>
      <c r="F941">
        <v>4.99</v>
      </c>
      <c r="G941">
        <v>-2.42</v>
      </c>
      <c r="H941">
        <v>16.97</v>
      </c>
      <c r="I941">
        <v>-18.84</v>
      </c>
      <c r="J941">
        <v>-4.99</v>
      </c>
      <c r="K941">
        <v>-12.7</v>
      </c>
      <c r="L941">
        <v>1.74</v>
      </c>
      <c r="M941">
        <v>-2.7</v>
      </c>
      <c r="N941">
        <v>17.239999999999998</v>
      </c>
    </row>
    <row r="942" spans="1:14">
      <c r="A942" s="2" t="s">
        <v>970</v>
      </c>
      <c r="B942" t="s">
        <v>4763</v>
      </c>
      <c r="C942">
        <v>5.71</v>
      </c>
      <c r="D942">
        <v>-10.54</v>
      </c>
      <c r="E942">
        <v>-19.91</v>
      </c>
      <c r="F942">
        <v>4.54</v>
      </c>
      <c r="G942">
        <v>-11.05</v>
      </c>
      <c r="H942">
        <v>27.55</v>
      </c>
      <c r="I942">
        <v>550.95000000000005</v>
      </c>
      <c r="J942">
        <v>104.31</v>
      </c>
      <c r="K942">
        <v>-8.1199999999999992</v>
      </c>
      <c r="L942">
        <v>22.41</v>
      </c>
      <c r="M942">
        <v>12.89</v>
      </c>
      <c r="N942">
        <v>29.59</v>
      </c>
    </row>
    <row r="943" spans="1:14">
      <c r="A943" s="2" t="s">
        <v>971</v>
      </c>
      <c r="B943" t="s">
        <v>4764</v>
      </c>
      <c r="C943">
        <v>-14.43</v>
      </c>
      <c r="D943">
        <v>20.68</v>
      </c>
      <c r="E943">
        <v>-24.94</v>
      </c>
      <c r="F943">
        <v>-5.69</v>
      </c>
      <c r="G943">
        <v>87.69</v>
      </c>
      <c r="I943">
        <v>-22.04</v>
      </c>
      <c r="J943">
        <v>-3.14</v>
      </c>
      <c r="K943">
        <v>-30.75</v>
      </c>
      <c r="L943">
        <v>-30.41</v>
      </c>
      <c r="M943">
        <v>20.29</v>
      </c>
    </row>
    <row r="944" spans="1:14">
      <c r="A944" s="2" t="s">
        <v>972</v>
      </c>
      <c r="B944" t="s">
        <v>4765</v>
      </c>
      <c r="C944">
        <v>23.65</v>
      </c>
      <c r="D944">
        <v>4.46</v>
      </c>
      <c r="E944">
        <v>-8.4700000000000006</v>
      </c>
      <c r="F944">
        <v>-13.41</v>
      </c>
      <c r="G944">
        <v>5.97</v>
      </c>
      <c r="H944">
        <v>13.13</v>
      </c>
      <c r="I944">
        <v>-6.03</v>
      </c>
      <c r="J944">
        <v>15.58</v>
      </c>
      <c r="K944">
        <v>6.75</v>
      </c>
      <c r="L944">
        <v>-4.76</v>
      </c>
      <c r="M944">
        <v>-8.65</v>
      </c>
      <c r="N944">
        <v>29.66</v>
      </c>
    </row>
    <row r="945" spans="1:14">
      <c r="A945" s="2" t="s">
        <v>973</v>
      </c>
      <c r="B945" t="s">
        <v>4766</v>
      </c>
      <c r="C945">
        <v>3.04</v>
      </c>
      <c r="D945">
        <v>2.54</v>
      </c>
      <c r="E945">
        <v>-0.06</v>
      </c>
      <c r="F945">
        <v>13.29</v>
      </c>
      <c r="G945">
        <v>-4.8600000000000003</v>
      </c>
      <c r="H945">
        <v>-2.72</v>
      </c>
      <c r="I945">
        <v>-21.08</v>
      </c>
      <c r="J945">
        <v>-9.4</v>
      </c>
      <c r="K945">
        <v>-0.32</v>
      </c>
      <c r="L945">
        <v>24.57</v>
      </c>
      <c r="M945">
        <v>11.94</v>
      </c>
      <c r="N945">
        <v>29.1</v>
      </c>
    </row>
    <row r="946" spans="1:14">
      <c r="A946" s="2" t="s">
        <v>974</v>
      </c>
      <c r="B946" t="s">
        <v>4767</v>
      </c>
      <c r="C946">
        <v>-11.3</v>
      </c>
      <c r="D946">
        <v>3.9</v>
      </c>
      <c r="E946">
        <v>-3.43</v>
      </c>
      <c r="F946">
        <v>3.73</v>
      </c>
      <c r="G946">
        <v>-18</v>
      </c>
      <c r="I946">
        <v>-17.98</v>
      </c>
      <c r="J946">
        <v>4.09</v>
      </c>
      <c r="K946">
        <v>-5.0599999999999996</v>
      </c>
      <c r="L946">
        <v>0.77</v>
      </c>
      <c r="M946">
        <v>-11.73</v>
      </c>
    </row>
    <row r="947" spans="1:14">
      <c r="A947" s="2" t="s">
        <v>975</v>
      </c>
      <c r="B947" t="s">
        <v>4768</v>
      </c>
      <c r="C947">
        <v>-60.3</v>
      </c>
      <c r="D947">
        <v>76.62</v>
      </c>
      <c r="E947">
        <v>11.02</v>
      </c>
      <c r="F947">
        <v>-26.68</v>
      </c>
      <c r="G947">
        <v>58.95</v>
      </c>
      <c r="H947">
        <v>-16.489999999999998</v>
      </c>
      <c r="I947">
        <v>15.05</v>
      </c>
      <c r="J947">
        <v>197.23</v>
      </c>
      <c r="K947">
        <v>330.77</v>
      </c>
      <c r="L947">
        <v>72.349999999999994</v>
      </c>
      <c r="M947">
        <v>35.14</v>
      </c>
      <c r="N947">
        <v>-26.5</v>
      </c>
    </row>
    <row r="948" spans="1:14">
      <c r="A948" s="2" t="s">
        <v>976</v>
      </c>
      <c r="B948" t="s">
        <v>4769</v>
      </c>
      <c r="C948">
        <v>48.89</v>
      </c>
      <c r="D948">
        <v>-17.170000000000002</v>
      </c>
      <c r="E948">
        <v>31.2</v>
      </c>
      <c r="F948">
        <v>-10.44</v>
      </c>
      <c r="G948">
        <v>0.42</v>
      </c>
      <c r="H948">
        <v>4.7699999999999996</v>
      </c>
      <c r="I948">
        <v>-8.11</v>
      </c>
      <c r="J948">
        <v>-24.08</v>
      </c>
      <c r="K948">
        <v>-26.22</v>
      </c>
      <c r="L948">
        <v>-22.51</v>
      </c>
      <c r="M948">
        <v>-26.21</v>
      </c>
      <c r="N948">
        <v>5.0999999999999996</v>
      </c>
    </row>
    <row r="949" spans="1:14">
      <c r="A949" s="2" t="s">
        <v>977</v>
      </c>
      <c r="B949" t="s">
        <v>4770</v>
      </c>
      <c r="C949">
        <v>-13.67</v>
      </c>
      <c r="D949">
        <v>30.57</v>
      </c>
      <c r="E949">
        <v>-59.32</v>
      </c>
      <c r="F949">
        <v>-48.43</v>
      </c>
      <c r="G949">
        <v>285.42</v>
      </c>
      <c r="H949">
        <v>-38.44</v>
      </c>
      <c r="I949">
        <v>148.41</v>
      </c>
      <c r="J949">
        <v>555.76</v>
      </c>
      <c r="K949">
        <v>-2.19</v>
      </c>
      <c r="L949">
        <v>27.06</v>
      </c>
      <c r="M949">
        <v>146.47999999999999</v>
      </c>
      <c r="N949">
        <v>163.36000000000001</v>
      </c>
    </row>
    <row r="950" spans="1:14">
      <c r="A950" s="2" t="s">
        <v>978</v>
      </c>
      <c r="B950" t="s">
        <v>4771</v>
      </c>
      <c r="C950">
        <v>4.6100000000000003</v>
      </c>
      <c r="D950">
        <v>-15.97</v>
      </c>
      <c r="E950">
        <v>-1.1499999999999999</v>
      </c>
      <c r="F950">
        <v>19.079999999999998</v>
      </c>
      <c r="G950">
        <v>2.48</v>
      </c>
      <c r="H950">
        <v>-12.25</v>
      </c>
      <c r="I950">
        <v>-11</v>
      </c>
      <c r="J950">
        <v>-13.54</v>
      </c>
      <c r="K950">
        <v>-2.0699999999999998</v>
      </c>
      <c r="L950">
        <v>1.47</v>
      </c>
      <c r="M950">
        <v>-21.58</v>
      </c>
      <c r="N950">
        <v>1.29</v>
      </c>
    </row>
    <row r="951" spans="1:14">
      <c r="A951" s="2" t="s">
        <v>979</v>
      </c>
      <c r="B951" t="s">
        <v>4772</v>
      </c>
      <c r="C951">
        <v>0.53</v>
      </c>
      <c r="D951">
        <v>-2</v>
      </c>
      <c r="E951">
        <v>3227.93</v>
      </c>
      <c r="F951">
        <v>-97</v>
      </c>
      <c r="G951">
        <v>7257.08</v>
      </c>
      <c r="H951">
        <v>-89.47</v>
      </c>
      <c r="I951">
        <v>9.35</v>
      </c>
      <c r="J951">
        <v>8.24</v>
      </c>
      <c r="K951">
        <v>3542.58</v>
      </c>
      <c r="L951">
        <v>9.18</v>
      </c>
      <c r="M951">
        <v>115.58</v>
      </c>
      <c r="N951">
        <v>792.84</v>
      </c>
    </row>
    <row r="952" spans="1:14">
      <c r="A952" s="2" t="s">
        <v>980</v>
      </c>
      <c r="B952" t="s">
        <v>4773</v>
      </c>
      <c r="C952">
        <v>-14.7</v>
      </c>
      <c r="D952">
        <v>33.83</v>
      </c>
      <c r="E952">
        <v>-1.47</v>
      </c>
      <c r="F952">
        <v>-4.03</v>
      </c>
      <c r="G952">
        <v>-2.64</v>
      </c>
      <c r="H952">
        <v>5.42</v>
      </c>
      <c r="I952">
        <v>-20.61</v>
      </c>
      <c r="J952">
        <v>44.72</v>
      </c>
      <c r="K952">
        <v>37.97</v>
      </c>
      <c r="L952">
        <v>-9.5500000000000007</v>
      </c>
      <c r="M952">
        <v>-10.48</v>
      </c>
      <c r="N952">
        <v>5.73</v>
      </c>
    </row>
    <row r="953" spans="1:14">
      <c r="A953" s="2" t="s">
        <v>981</v>
      </c>
      <c r="B953" t="s">
        <v>4774</v>
      </c>
      <c r="C953">
        <v>-1.33</v>
      </c>
      <c r="D953">
        <v>-11.68</v>
      </c>
      <c r="E953">
        <v>17.579999999999998</v>
      </c>
      <c r="F953">
        <v>-5.2</v>
      </c>
      <c r="G953">
        <v>-4.3899999999999997</v>
      </c>
      <c r="I953">
        <v>9.02</v>
      </c>
      <c r="J953">
        <v>0.18</v>
      </c>
      <c r="K953">
        <v>23.58</v>
      </c>
      <c r="L953">
        <v>3.47</v>
      </c>
      <c r="M953">
        <v>-7.15</v>
      </c>
    </row>
    <row r="954" spans="1:14">
      <c r="A954" s="2" t="s">
        <v>982</v>
      </c>
      <c r="B954" t="s">
        <v>4775</v>
      </c>
      <c r="C954">
        <v>-17.87</v>
      </c>
      <c r="D954">
        <v>2.6</v>
      </c>
      <c r="E954">
        <v>10.039999999999999</v>
      </c>
      <c r="F954">
        <v>-13.09</v>
      </c>
      <c r="G954">
        <v>25.33</v>
      </c>
      <c r="H954">
        <v>-20.28</v>
      </c>
      <c r="I954">
        <v>-12.71</v>
      </c>
      <c r="J954">
        <v>1.1100000000000001</v>
      </c>
      <c r="K954">
        <v>19.899999999999999</v>
      </c>
      <c r="L954">
        <v>1.72</v>
      </c>
      <c r="M954">
        <v>7.39</v>
      </c>
      <c r="N954">
        <v>7.92</v>
      </c>
    </row>
    <row r="955" spans="1:14">
      <c r="A955" s="2" t="s">
        <v>983</v>
      </c>
      <c r="B955" t="s">
        <v>4776</v>
      </c>
      <c r="C955">
        <v>19.38</v>
      </c>
      <c r="D955">
        <v>-15.85</v>
      </c>
      <c r="E955">
        <v>16.489999999999998</v>
      </c>
      <c r="F955">
        <v>-5.32</v>
      </c>
      <c r="G955">
        <v>2.2799999999999998</v>
      </c>
      <c r="I955">
        <v>-9.6300000000000008</v>
      </c>
      <c r="J955">
        <v>-0.18</v>
      </c>
      <c r="K955">
        <v>-4.6900000000000004</v>
      </c>
      <c r="L955">
        <v>-8.83</v>
      </c>
      <c r="M955">
        <v>8.27</v>
      </c>
    </row>
    <row r="956" spans="1:14">
      <c r="A956" s="2" t="s">
        <v>984</v>
      </c>
      <c r="B956" t="s">
        <v>4777</v>
      </c>
      <c r="C956">
        <v>-16.34</v>
      </c>
      <c r="D956">
        <v>-11.56</v>
      </c>
      <c r="E956">
        <v>20.63</v>
      </c>
      <c r="F956">
        <v>-3.59</v>
      </c>
      <c r="G956">
        <v>-1.04</v>
      </c>
      <c r="H956">
        <v>54.03</v>
      </c>
      <c r="I956">
        <v>-18.14</v>
      </c>
      <c r="J956">
        <v>-19.34</v>
      </c>
      <c r="K956">
        <v>0.73</v>
      </c>
      <c r="L956">
        <v>-10.72</v>
      </c>
      <c r="M956">
        <v>-17.78</v>
      </c>
      <c r="N956">
        <v>16.510000000000002</v>
      </c>
    </row>
    <row r="957" spans="1:14">
      <c r="A957" s="2" t="s">
        <v>985</v>
      </c>
      <c r="B957" t="s">
        <v>4778</v>
      </c>
      <c r="C957">
        <v>-27.84</v>
      </c>
      <c r="D957">
        <v>-33.31</v>
      </c>
      <c r="E957">
        <v>23.65</v>
      </c>
      <c r="F957">
        <v>33.32</v>
      </c>
      <c r="G957">
        <v>-27.1</v>
      </c>
      <c r="H957">
        <v>16.29</v>
      </c>
      <c r="I957">
        <v>5.09</v>
      </c>
      <c r="J957">
        <v>-10.9</v>
      </c>
      <c r="K957">
        <v>34.380000000000003</v>
      </c>
      <c r="L957">
        <v>-27.2</v>
      </c>
      <c r="M957">
        <v>-24.18</v>
      </c>
      <c r="N957">
        <v>-42.78</v>
      </c>
    </row>
    <row r="958" spans="1:14">
      <c r="A958" s="2" t="s">
        <v>986</v>
      </c>
      <c r="B958" t="s">
        <v>4779</v>
      </c>
      <c r="C958">
        <v>52.58</v>
      </c>
      <c r="D958">
        <v>18.18</v>
      </c>
      <c r="E958">
        <v>-24.35</v>
      </c>
      <c r="F958">
        <v>41.01</v>
      </c>
      <c r="G958">
        <v>56.89</v>
      </c>
      <c r="H958">
        <v>-54.25</v>
      </c>
      <c r="I958">
        <v>-14.96</v>
      </c>
      <c r="J958">
        <v>25.78</v>
      </c>
      <c r="K958">
        <v>1.64</v>
      </c>
      <c r="L958">
        <v>27.22</v>
      </c>
      <c r="M958">
        <v>39.64</v>
      </c>
      <c r="N958">
        <v>24.02</v>
      </c>
    </row>
    <row r="959" spans="1:14">
      <c r="A959" s="2" t="s">
        <v>987</v>
      </c>
      <c r="B959" t="s">
        <v>4780</v>
      </c>
      <c r="C959">
        <v>43.75</v>
      </c>
      <c r="D959">
        <v>-11.46</v>
      </c>
      <c r="E959">
        <v>-20.14</v>
      </c>
      <c r="F959">
        <v>-31.8</v>
      </c>
      <c r="G959">
        <v>-7.75</v>
      </c>
      <c r="H959">
        <v>-17.079999999999998</v>
      </c>
      <c r="I959">
        <v>20.05</v>
      </c>
      <c r="J959">
        <v>23.63</v>
      </c>
      <c r="K959">
        <v>62.36</v>
      </c>
      <c r="L959">
        <v>31.74</v>
      </c>
      <c r="M959">
        <v>9.68</v>
      </c>
      <c r="N959">
        <v>2.35</v>
      </c>
    </row>
    <row r="960" spans="1:14">
      <c r="A960" s="2" t="s">
        <v>988</v>
      </c>
      <c r="B960" t="s">
        <v>4781</v>
      </c>
      <c r="C960">
        <v>8.94</v>
      </c>
      <c r="D960">
        <v>-6.74</v>
      </c>
      <c r="E960">
        <v>-22.17</v>
      </c>
      <c r="F960">
        <v>-9.14</v>
      </c>
      <c r="G960">
        <v>3.04</v>
      </c>
      <c r="H960">
        <v>19.73</v>
      </c>
      <c r="I960">
        <v>53.88</v>
      </c>
      <c r="J960">
        <v>50.74</v>
      </c>
      <c r="K960">
        <v>16.059999999999999</v>
      </c>
      <c r="L960">
        <v>64.38</v>
      </c>
      <c r="M960">
        <v>9.4700000000000006</v>
      </c>
      <c r="N960">
        <v>19.62</v>
      </c>
    </row>
    <row r="961" spans="1:14">
      <c r="A961" s="2" t="s">
        <v>989</v>
      </c>
      <c r="B961" t="s">
        <v>4782</v>
      </c>
      <c r="C961">
        <v>-11.52</v>
      </c>
      <c r="D961">
        <v>26.12</v>
      </c>
      <c r="E961">
        <v>3.75</v>
      </c>
      <c r="F961">
        <v>-12.46</v>
      </c>
      <c r="G961">
        <v>13.84</v>
      </c>
      <c r="I961">
        <v>-11.97</v>
      </c>
      <c r="J961">
        <v>2.35</v>
      </c>
      <c r="K961">
        <v>16.260000000000002</v>
      </c>
      <c r="L961">
        <v>3.07</v>
      </c>
      <c r="M961">
        <v>13.54</v>
      </c>
    </row>
    <row r="962" spans="1:14">
      <c r="A962" s="2" t="s">
        <v>990</v>
      </c>
      <c r="B962" t="s">
        <v>4783</v>
      </c>
      <c r="C962">
        <v>-13.98</v>
      </c>
      <c r="D962">
        <v>23.04</v>
      </c>
      <c r="E962">
        <v>-21.57</v>
      </c>
      <c r="F962">
        <v>-26.69</v>
      </c>
      <c r="G962">
        <v>45.17</v>
      </c>
      <c r="H962">
        <v>2.61</v>
      </c>
      <c r="I962">
        <v>-9.3800000000000008</v>
      </c>
      <c r="J962">
        <v>20.5</v>
      </c>
      <c r="K962">
        <v>63.09</v>
      </c>
      <c r="L962">
        <v>-4.51</v>
      </c>
      <c r="M962">
        <v>27.76</v>
      </c>
      <c r="N962">
        <v>53.12</v>
      </c>
    </row>
    <row r="963" spans="1:14">
      <c r="A963" s="2" t="s">
        <v>991</v>
      </c>
      <c r="B963" t="s">
        <v>4784</v>
      </c>
      <c r="C963">
        <v>27.07</v>
      </c>
      <c r="D963">
        <v>92.88</v>
      </c>
      <c r="E963">
        <v>-39.270000000000003</v>
      </c>
      <c r="F963">
        <v>17.399999999999999</v>
      </c>
      <c r="G963">
        <v>52.22</v>
      </c>
      <c r="H963">
        <v>-44.58</v>
      </c>
      <c r="I963">
        <v>41.15</v>
      </c>
      <c r="J963">
        <v>32.82</v>
      </c>
      <c r="K963">
        <v>19.57</v>
      </c>
      <c r="L963">
        <v>21.22</v>
      </c>
      <c r="M963">
        <v>-2.42</v>
      </c>
      <c r="N963">
        <v>-18.11</v>
      </c>
    </row>
    <row r="964" spans="1:14">
      <c r="A964" s="2" t="s">
        <v>992</v>
      </c>
      <c r="B964" t="s">
        <v>4785</v>
      </c>
      <c r="C964">
        <v>-4.9400000000000004</v>
      </c>
      <c r="D964">
        <v>7.66</v>
      </c>
      <c r="E964">
        <v>4.0599999999999996</v>
      </c>
      <c r="F964">
        <v>-5.44</v>
      </c>
      <c r="G964">
        <v>-0.04</v>
      </c>
      <c r="I964">
        <v>-36.67</v>
      </c>
      <c r="J964">
        <v>-37.44</v>
      </c>
      <c r="K964">
        <v>-21.8</v>
      </c>
      <c r="L964">
        <v>-6.92</v>
      </c>
      <c r="M964">
        <v>-27.63</v>
      </c>
    </row>
    <row r="965" spans="1:14">
      <c r="A965" s="2" t="s">
        <v>993</v>
      </c>
      <c r="B965" t="s">
        <v>4786</v>
      </c>
      <c r="C965">
        <v>3.69</v>
      </c>
      <c r="D965">
        <v>0.67</v>
      </c>
      <c r="E965">
        <v>-4.55</v>
      </c>
      <c r="F965">
        <v>-57.77</v>
      </c>
      <c r="G965">
        <v>32.4</v>
      </c>
      <c r="I965">
        <v>193.82</v>
      </c>
      <c r="J965">
        <v>164.87</v>
      </c>
      <c r="K965">
        <v>152.41999999999999</v>
      </c>
      <c r="L965">
        <v>-24.73</v>
      </c>
      <c r="M965">
        <v>-19.05</v>
      </c>
    </row>
    <row r="966" spans="1:14">
      <c r="A966" s="2" t="s">
        <v>994</v>
      </c>
      <c r="B966" t="s">
        <v>4787</v>
      </c>
      <c r="C966">
        <v>-5.45</v>
      </c>
      <c r="D966">
        <v>-0.64</v>
      </c>
      <c r="E966">
        <v>-1.29</v>
      </c>
      <c r="F966">
        <v>-32.26</v>
      </c>
      <c r="G966">
        <v>3.75</v>
      </c>
      <c r="H966">
        <v>75.78</v>
      </c>
      <c r="I966">
        <v>31.34</v>
      </c>
      <c r="J966">
        <v>-10.67</v>
      </c>
      <c r="K966">
        <v>4.38</v>
      </c>
      <c r="L966">
        <v>-36.53</v>
      </c>
      <c r="M966">
        <v>-25.29</v>
      </c>
      <c r="N966">
        <v>10.49</v>
      </c>
    </row>
    <row r="967" spans="1:14">
      <c r="A967" s="2" t="s">
        <v>995</v>
      </c>
      <c r="B967" t="s">
        <v>4788</v>
      </c>
      <c r="C967">
        <v>4.66</v>
      </c>
      <c r="D967">
        <v>-11.75</v>
      </c>
      <c r="E967">
        <v>55.87</v>
      </c>
      <c r="F967">
        <v>-13.33</v>
      </c>
      <c r="G967">
        <v>7.53</v>
      </c>
      <c r="H967">
        <v>-19.29</v>
      </c>
      <c r="I967">
        <v>-7.94</v>
      </c>
      <c r="J967">
        <v>-11.55</v>
      </c>
      <c r="K967">
        <v>54.89</v>
      </c>
      <c r="L967">
        <v>14.19</v>
      </c>
      <c r="M967">
        <v>49.99</v>
      </c>
      <c r="N967">
        <v>38.659999999999997</v>
      </c>
    </row>
    <row r="968" spans="1:14">
      <c r="A968" s="2" t="s">
        <v>996</v>
      </c>
      <c r="B968" t="s">
        <v>4789</v>
      </c>
      <c r="C968">
        <v>4.2</v>
      </c>
      <c r="D968">
        <v>-16.809999999999999</v>
      </c>
      <c r="E968">
        <v>-5.76</v>
      </c>
      <c r="F968">
        <v>19.149999999999999</v>
      </c>
      <c r="G968">
        <v>34.44</v>
      </c>
      <c r="I968">
        <v>70.28</v>
      </c>
      <c r="J968">
        <v>7.51</v>
      </c>
      <c r="K968">
        <v>-6.93</v>
      </c>
      <c r="L968">
        <v>4.68</v>
      </c>
      <c r="M968">
        <v>-8.6199999999999992</v>
      </c>
    </row>
    <row r="969" spans="1:14">
      <c r="A969" s="2" t="s">
        <v>997</v>
      </c>
      <c r="B969" t="s">
        <v>4790</v>
      </c>
      <c r="C969">
        <v>20.95</v>
      </c>
      <c r="D969">
        <v>32.61</v>
      </c>
      <c r="E969">
        <v>-27</v>
      </c>
      <c r="F969">
        <v>-6.14</v>
      </c>
      <c r="G969">
        <v>13.68</v>
      </c>
      <c r="I969">
        <v>-3.37</v>
      </c>
      <c r="J969">
        <v>16.63</v>
      </c>
      <c r="K969">
        <v>-51.04</v>
      </c>
      <c r="L969">
        <v>-45.3</v>
      </c>
      <c r="M969">
        <v>-48.3</v>
      </c>
    </row>
    <row r="970" spans="1:14">
      <c r="A970" s="2" t="s">
        <v>998</v>
      </c>
      <c r="B970" t="s">
        <v>4791</v>
      </c>
      <c r="C970">
        <v>-15.02</v>
      </c>
      <c r="D970">
        <v>8.5</v>
      </c>
      <c r="E970">
        <v>42.14</v>
      </c>
      <c r="F970">
        <v>-53.53</v>
      </c>
      <c r="G970">
        <v>118.64</v>
      </c>
      <c r="I970">
        <v>-19.78</v>
      </c>
      <c r="J970">
        <v>-14.41</v>
      </c>
      <c r="K970">
        <v>11.31</v>
      </c>
      <c r="L970">
        <v>-53.22</v>
      </c>
      <c r="M970">
        <v>-14.23</v>
      </c>
    </row>
    <row r="971" spans="1:14">
      <c r="A971" s="2" t="s">
        <v>999</v>
      </c>
      <c r="B971" t="s">
        <v>4792</v>
      </c>
      <c r="C971">
        <v>3.63</v>
      </c>
      <c r="D971">
        <v>66.87</v>
      </c>
      <c r="E971">
        <v>-29.31</v>
      </c>
      <c r="F971">
        <v>55.59</v>
      </c>
      <c r="G971">
        <v>77.37</v>
      </c>
      <c r="H971">
        <v>-68.95</v>
      </c>
      <c r="I971">
        <v>-33.92</v>
      </c>
      <c r="J971">
        <v>-30.18</v>
      </c>
      <c r="K971">
        <v>-18.34</v>
      </c>
      <c r="L971">
        <v>16.760000000000002</v>
      </c>
      <c r="M971">
        <v>7.96</v>
      </c>
      <c r="N971">
        <v>2.83</v>
      </c>
    </row>
    <row r="972" spans="1:14">
      <c r="A972" s="2" t="s">
        <v>1000</v>
      </c>
      <c r="B972" t="s">
        <v>4793</v>
      </c>
      <c r="C972">
        <v>-14.71</v>
      </c>
      <c r="D972">
        <v>12.43</v>
      </c>
      <c r="E972">
        <v>1.97</v>
      </c>
      <c r="F972">
        <v>19.02</v>
      </c>
      <c r="G972">
        <v>0.91</v>
      </c>
      <c r="H972">
        <v>-7.77</v>
      </c>
      <c r="I972">
        <v>-30.67</v>
      </c>
      <c r="J972">
        <v>-10.58</v>
      </c>
      <c r="K972">
        <v>-0.46</v>
      </c>
      <c r="L972">
        <v>4.76</v>
      </c>
      <c r="M972">
        <v>8.08</v>
      </c>
      <c r="N972">
        <v>3.19</v>
      </c>
    </row>
    <row r="973" spans="1:14">
      <c r="A973" s="2" t="s">
        <v>1001</v>
      </c>
      <c r="B973" t="s">
        <v>4794</v>
      </c>
      <c r="C973">
        <v>4.3099999999999996</v>
      </c>
      <c r="D973">
        <v>-1.03</v>
      </c>
      <c r="E973">
        <v>0.63</v>
      </c>
      <c r="F973">
        <v>-21.37</v>
      </c>
      <c r="G973">
        <v>-13.46</v>
      </c>
      <c r="H973">
        <v>-3.05</v>
      </c>
      <c r="I973">
        <v>-19.2</v>
      </c>
      <c r="J973">
        <v>-16.55</v>
      </c>
      <c r="K973">
        <v>-7.66</v>
      </c>
      <c r="L973">
        <v>-24.2</v>
      </c>
      <c r="M973">
        <v>-33.869999999999997</v>
      </c>
      <c r="N973">
        <v>-27.23</v>
      </c>
    </row>
    <row r="974" spans="1:14">
      <c r="A974" s="2" t="s">
        <v>1002</v>
      </c>
      <c r="B974" t="s">
        <v>4795</v>
      </c>
      <c r="C974">
        <v>-10.67</v>
      </c>
      <c r="D974">
        <v>26.4</v>
      </c>
      <c r="E974">
        <v>-20.38</v>
      </c>
      <c r="F974">
        <v>24.81</v>
      </c>
      <c r="G974">
        <v>118.45</v>
      </c>
      <c r="I974">
        <v>71.150000000000006</v>
      </c>
      <c r="J974">
        <v>117.95</v>
      </c>
      <c r="K974">
        <v>97.76</v>
      </c>
      <c r="L974">
        <v>155.16</v>
      </c>
      <c r="M974">
        <v>471.99</v>
      </c>
    </row>
    <row r="975" spans="1:14">
      <c r="A975" s="2" t="s">
        <v>1003</v>
      </c>
      <c r="B975" t="s">
        <v>4796</v>
      </c>
      <c r="C975">
        <v>-15.8</v>
      </c>
      <c r="D975">
        <v>-2.99</v>
      </c>
      <c r="E975">
        <v>-0.17</v>
      </c>
      <c r="F975">
        <v>23.5</v>
      </c>
      <c r="G975">
        <v>14.2</v>
      </c>
      <c r="H975">
        <v>16.72</v>
      </c>
      <c r="I975">
        <v>-21.77</v>
      </c>
      <c r="J975">
        <v>-23.64</v>
      </c>
      <c r="K975">
        <v>-32.75</v>
      </c>
      <c r="L975">
        <v>-19.489999999999998</v>
      </c>
      <c r="M975">
        <v>-9.68</v>
      </c>
      <c r="N975">
        <v>-12.64</v>
      </c>
    </row>
    <row r="976" spans="1:14">
      <c r="A976" s="2" t="s">
        <v>1004</v>
      </c>
      <c r="B976" t="s">
        <v>4797</v>
      </c>
      <c r="C976">
        <v>-11.39</v>
      </c>
      <c r="D976">
        <v>4.7</v>
      </c>
      <c r="E976">
        <v>-32.5</v>
      </c>
      <c r="F976">
        <v>46.92</v>
      </c>
      <c r="G976">
        <v>12.49</v>
      </c>
      <c r="H976">
        <v>-9.8000000000000007</v>
      </c>
      <c r="I976">
        <v>4.0599999999999996</v>
      </c>
      <c r="J976">
        <v>-9.34</v>
      </c>
      <c r="K976">
        <v>9.99</v>
      </c>
      <c r="L976">
        <v>-10.130000000000001</v>
      </c>
      <c r="M976">
        <v>29.39</v>
      </c>
      <c r="N976">
        <v>-27.82</v>
      </c>
    </row>
    <row r="977" spans="1:14">
      <c r="A977" s="2" t="s">
        <v>1005</v>
      </c>
      <c r="B977" t="s">
        <v>4798</v>
      </c>
      <c r="C977">
        <v>-17.3</v>
      </c>
      <c r="D977">
        <v>1.75</v>
      </c>
      <c r="E977">
        <v>-6.13</v>
      </c>
      <c r="F977">
        <v>-3.66</v>
      </c>
      <c r="G977">
        <v>59.32</v>
      </c>
      <c r="H977">
        <v>-11.19</v>
      </c>
      <c r="I977">
        <v>7.81</v>
      </c>
      <c r="J977">
        <v>-1.29</v>
      </c>
      <c r="K977">
        <v>-7.56</v>
      </c>
      <c r="L977">
        <v>-15.79</v>
      </c>
      <c r="M977">
        <v>21.53</v>
      </c>
      <c r="N977">
        <v>18.64</v>
      </c>
    </row>
    <row r="978" spans="1:14">
      <c r="A978" s="2" t="s">
        <v>1006</v>
      </c>
      <c r="B978" t="s">
        <v>4799</v>
      </c>
      <c r="C978">
        <v>4.82</v>
      </c>
      <c r="D978">
        <v>-20.66</v>
      </c>
      <c r="E978">
        <v>11.24</v>
      </c>
      <c r="F978">
        <v>1.84</v>
      </c>
      <c r="G978">
        <v>7.09</v>
      </c>
      <c r="H978">
        <v>13.72</v>
      </c>
      <c r="I978">
        <v>-13.92</v>
      </c>
      <c r="J978">
        <v>-24.91</v>
      </c>
      <c r="K978">
        <v>-19.059999999999999</v>
      </c>
      <c r="L978">
        <v>-20.2</v>
      </c>
      <c r="M978">
        <v>-19.989999999999998</v>
      </c>
      <c r="N978">
        <v>9.42</v>
      </c>
    </row>
    <row r="979" spans="1:14">
      <c r="A979" s="2" t="s">
        <v>1007</v>
      </c>
      <c r="B979" t="s">
        <v>4800</v>
      </c>
      <c r="C979">
        <v>-5.17</v>
      </c>
      <c r="D979">
        <v>-5.4</v>
      </c>
      <c r="E979">
        <v>-23.64</v>
      </c>
      <c r="F979">
        <v>3.72</v>
      </c>
      <c r="G979">
        <v>13.13</v>
      </c>
      <c r="H979">
        <v>32.03</v>
      </c>
      <c r="I979">
        <v>-6.56</v>
      </c>
      <c r="J979">
        <v>-12.54</v>
      </c>
      <c r="K979">
        <v>-35.020000000000003</v>
      </c>
      <c r="L979">
        <v>-28.19</v>
      </c>
      <c r="M979">
        <v>-25.77</v>
      </c>
      <c r="N979">
        <v>16.52</v>
      </c>
    </row>
    <row r="980" spans="1:14">
      <c r="A980" s="2" t="s">
        <v>1008</v>
      </c>
      <c r="B980" t="s">
        <v>4801</v>
      </c>
      <c r="C980">
        <v>-5.67</v>
      </c>
      <c r="D980">
        <v>-13.4</v>
      </c>
      <c r="E980">
        <v>4.8899999999999997</v>
      </c>
      <c r="F980">
        <v>12.21</v>
      </c>
      <c r="G980">
        <v>-3.93</v>
      </c>
      <c r="H980">
        <v>-1.31</v>
      </c>
      <c r="I980">
        <v>3.43</v>
      </c>
      <c r="J980">
        <v>-7.98</v>
      </c>
      <c r="K980">
        <v>-4.92</v>
      </c>
      <c r="L980">
        <v>75.86</v>
      </c>
      <c r="M980">
        <v>92.23</v>
      </c>
      <c r="N980">
        <v>122.75</v>
      </c>
    </row>
    <row r="981" spans="1:14">
      <c r="A981" s="2" t="s">
        <v>1009</v>
      </c>
      <c r="B981" t="s">
        <v>4802</v>
      </c>
      <c r="C981">
        <v>-3.54</v>
      </c>
      <c r="D981">
        <v>6.22</v>
      </c>
      <c r="E981">
        <v>11.78</v>
      </c>
      <c r="F981">
        <v>-6.95</v>
      </c>
      <c r="G981">
        <v>12.99</v>
      </c>
      <c r="H981">
        <v>-0.95</v>
      </c>
      <c r="I981">
        <v>26.42</v>
      </c>
      <c r="J981">
        <v>34.08</v>
      </c>
      <c r="K981">
        <v>81.31</v>
      </c>
      <c r="L981">
        <v>21.15</v>
      </c>
      <c r="M981">
        <v>-5.92</v>
      </c>
      <c r="N981">
        <v>85.11</v>
      </c>
    </row>
    <row r="982" spans="1:14">
      <c r="A982" s="2" t="s">
        <v>1010</v>
      </c>
      <c r="B982" t="s">
        <v>4803</v>
      </c>
      <c r="C982">
        <v>1.21</v>
      </c>
      <c r="D982">
        <v>3.25</v>
      </c>
      <c r="E982">
        <v>2.12</v>
      </c>
      <c r="F982">
        <v>-7.35</v>
      </c>
      <c r="G982">
        <v>29.23</v>
      </c>
      <c r="H982">
        <v>-0.65</v>
      </c>
      <c r="I982">
        <v>13.3</v>
      </c>
      <c r="J982">
        <v>-2.78</v>
      </c>
      <c r="K982">
        <v>23.41</v>
      </c>
      <c r="L982">
        <v>-1.41</v>
      </c>
      <c r="M982">
        <v>39.01</v>
      </c>
      <c r="N982">
        <v>83.73</v>
      </c>
    </row>
    <row r="983" spans="1:14">
      <c r="A983" s="2" t="s">
        <v>1011</v>
      </c>
      <c r="B983" t="s">
        <v>4804</v>
      </c>
      <c r="C983">
        <v>-25.89</v>
      </c>
      <c r="D983">
        <v>86.33</v>
      </c>
      <c r="E983">
        <v>-49.88</v>
      </c>
      <c r="F983">
        <v>17.489999999999998</v>
      </c>
      <c r="G983">
        <v>5.35</v>
      </c>
      <c r="H983">
        <v>22.54</v>
      </c>
      <c r="I983">
        <v>49.95</v>
      </c>
      <c r="J983">
        <v>210.12</v>
      </c>
      <c r="K983">
        <v>149.72999999999999</v>
      </c>
      <c r="L983">
        <v>58.41</v>
      </c>
      <c r="M983">
        <v>111.66</v>
      </c>
      <c r="N983">
        <v>96.66</v>
      </c>
    </row>
    <row r="984" spans="1:14">
      <c r="A984" s="2" t="s">
        <v>1012</v>
      </c>
      <c r="B984" t="s">
        <v>4805</v>
      </c>
      <c r="C984">
        <v>-10.49</v>
      </c>
      <c r="D984">
        <v>21.33</v>
      </c>
      <c r="E984">
        <v>0.49</v>
      </c>
      <c r="F984">
        <v>4.2699999999999996</v>
      </c>
      <c r="G984">
        <v>16.420000000000002</v>
      </c>
      <c r="H984">
        <v>3.03</v>
      </c>
      <c r="I984">
        <v>-16.59</v>
      </c>
      <c r="J984">
        <v>27.44</v>
      </c>
      <c r="K984">
        <v>12.89</v>
      </c>
      <c r="L984">
        <v>10.99</v>
      </c>
      <c r="M984">
        <v>30.87</v>
      </c>
      <c r="N984">
        <v>80.319999999999993</v>
      </c>
    </row>
    <row r="985" spans="1:14">
      <c r="A985" s="2" t="s">
        <v>1013</v>
      </c>
      <c r="B985" t="s">
        <v>4806</v>
      </c>
      <c r="C985">
        <v>-17.3</v>
      </c>
      <c r="D985">
        <v>30.69</v>
      </c>
      <c r="E985">
        <v>-35.54</v>
      </c>
      <c r="F985">
        <v>24.6</v>
      </c>
      <c r="G985">
        <v>14.61</v>
      </c>
      <c r="I985">
        <v>-18.64</v>
      </c>
      <c r="J985">
        <v>12.04</v>
      </c>
      <c r="K985">
        <v>-18.45</v>
      </c>
      <c r="L985">
        <v>21.21</v>
      </c>
      <c r="M985">
        <v>-1.72</v>
      </c>
    </row>
    <row r="986" spans="1:14">
      <c r="A986" s="2" t="s">
        <v>1014</v>
      </c>
      <c r="B986" t="s">
        <v>4807</v>
      </c>
      <c r="C986">
        <v>-21.08</v>
      </c>
      <c r="D986">
        <v>6.86</v>
      </c>
      <c r="E986">
        <v>1.33</v>
      </c>
      <c r="F986">
        <v>-19.3</v>
      </c>
      <c r="G986">
        <v>6.91</v>
      </c>
      <c r="H986">
        <v>3.96</v>
      </c>
      <c r="I986">
        <v>-10.85</v>
      </c>
      <c r="J986">
        <v>13.25</v>
      </c>
      <c r="K986">
        <v>12.4</v>
      </c>
      <c r="L986">
        <v>-22.17</v>
      </c>
      <c r="M986">
        <v>-27.64</v>
      </c>
      <c r="N986">
        <v>11.88</v>
      </c>
    </row>
    <row r="987" spans="1:14">
      <c r="A987" s="2" t="s">
        <v>1015</v>
      </c>
      <c r="B987" t="s">
        <v>4808</v>
      </c>
      <c r="C987">
        <v>35.909999999999997</v>
      </c>
      <c r="D987">
        <v>2.38</v>
      </c>
      <c r="E987">
        <v>10.84</v>
      </c>
      <c r="F987">
        <v>49.2</v>
      </c>
      <c r="G987">
        <v>12.83</v>
      </c>
      <c r="H987">
        <v>-21.83</v>
      </c>
      <c r="I987">
        <v>-30.32</v>
      </c>
      <c r="J987">
        <v>12.21</v>
      </c>
      <c r="K987">
        <v>-3.74</v>
      </c>
      <c r="L987">
        <v>73.989999999999995</v>
      </c>
      <c r="M987">
        <v>9.44</v>
      </c>
      <c r="N987">
        <v>112.3</v>
      </c>
    </row>
    <row r="988" spans="1:14">
      <c r="A988" s="2" t="s">
        <v>1016</v>
      </c>
      <c r="B988" t="s">
        <v>4809</v>
      </c>
      <c r="C988">
        <v>-10.37</v>
      </c>
      <c r="D988">
        <v>11.45</v>
      </c>
      <c r="E988">
        <v>-8.84</v>
      </c>
      <c r="F988">
        <v>15.11</v>
      </c>
      <c r="G988">
        <v>4.6900000000000004</v>
      </c>
      <c r="H988">
        <v>12.98</v>
      </c>
      <c r="I988">
        <v>-17.3</v>
      </c>
      <c r="J988">
        <v>-8.2200000000000006</v>
      </c>
      <c r="K988">
        <v>-10.11</v>
      </c>
      <c r="L988">
        <v>2.08</v>
      </c>
      <c r="M988">
        <v>19.16</v>
      </c>
      <c r="N988">
        <v>8.18</v>
      </c>
    </row>
    <row r="989" spans="1:14">
      <c r="A989" s="2" t="s">
        <v>1017</v>
      </c>
      <c r="B989" t="s">
        <v>4810</v>
      </c>
      <c r="C989">
        <v>-0.48</v>
      </c>
      <c r="D989">
        <v>-6.65</v>
      </c>
      <c r="E989">
        <v>-2.2999999999999998</v>
      </c>
      <c r="F989">
        <v>3.12</v>
      </c>
      <c r="G989">
        <v>0.31</v>
      </c>
      <c r="H989">
        <v>1.1299999999999999</v>
      </c>
      <c r="I989">
        <v>-12.27</v>
      </c>
      <c r="J989">
        <v>-14.64</v>
      </c>
      <c r="K989">
        <v>-15.43</v>
      </c>
      <c r="L989">
        <v>-12.11</v>
      </c>
      <c r="M989">
        <v>-11.4</v>
      </c>
      <c r="N989">
        <v>5.19</v>
      </c>
    </row>
    <row r="990" spans="1:14">
      <c r="A990" s="2" t="s">
        <v>1018</v>
      </c>
      <c r="B990" t="s">
        <v>4811</v>
      </c>
      <c r="C990">
        <v>3.29</v>
      </c>
      <c r="D990">
        <v>20.5</v>
      </c>
      <c r="E990">
        <v>-4.58</v>
      </c>
      <c r="F990">
        <v>-34.64</v>
      </c>
      <c r="G990">
        <v>7.92</v>
      </c>
      <c r="H990">
        <v>-2.72</v>
      </c>
      <c r="I990">
        <v>70.55</v>
      </c>
      <c r="J990">
        <v>58.42</v>
      </c>
      <c r="K990">
        <v>32.979999999999997</v>
      </c>
      <c r="L990">
        <v>-20.3</v>
      </c>
      <c r="M990">
        <v>-9.42</v>
      </c>
      <c r="N990">
        <v>-6.7</v>
      </c>
    </row>
    <row r="991" spans="1:14">
      <c r="A991" s="2" t="s">
        <v>1019</v>
      </c>
      <c r="B991" t="s">
        <v>4812</v>
      </c>
      <c r="C991">
        <v>-2.52</v>
      </c>
      <c r="D991">
        <v>1.7</v>
      </c>
      <c r="E991">
        <v>-7.9</v>
      </c>
      <c r="F991">
        <v>-3.15</v>
      </c>
      <c r="G991">
        <v>21.62</v>
      </c>
      <c r="H991">
        <v>-2.5299999999999998</v>
      </c>
      <c r="I991">
        <v>4.08</v>
      </c>
      <c r="J991">
        <v>2.65</v>
      </c>
      <c r="K991">
        <v>11.17</v>
      </c>
      <c r="L991">
        <v>-5.69</v>
      </c>
      <c r="M991">
        <v>5.23</v>
      </c>
      <c r="N991">
        <v>25.06</v>
      </c>
    </row>
    <row r="992" spans="1:14">
      <c r="A992" s="2" t="s">
        <v>1020</v>
      </c>
      <c r="B992" t="s">
        <v>4813</v>
      </c>
      <c r="C992">
        <v>6.88</v>
      </c>
      <c r="D992">
        <v>-1</v>
      </c>
      <c r="E992">
        <v>43.44</v>
      </c>
      <c r="F992">
        <v>-20.77</v>
      </c>
      <c r="G992">
        <v>1.26</v>
      </c>
      <c r="H992">
        <v>-2.2200000000000002</v>
      </c>
      <c r="I992">
        <v>-0.99</v>
      </c>
      <c r="J992">
        <v>-12.35</v>
      </c>
      <c r="K992">
        <v>26.38</v>
      </c>
      <c r="L992">
        <v>12.44</v>
      </c>
      <c r="M992">
        <v>0.9</v>
      </c>
      <c r="N992">
        <v>31.02</v>
      </c>
    </row>
    <row r="993" spans="1:14">
      <c r="A993" s="2" t="s">
        <v>1021</v>
      </c>
      <c r="B993" t="s">
        <v>4814</v>
      </c>
      <c r="C993">
        <v>0.43</v>
      </c>
      <c r="D993">
        <v>-13.75</v>
      </c>
      <c r="E993">
        <v>2.09</v>
      </c>
      <c r="F993">
        <v>13.23</v>
      </c>
      <c r="G993">
        <v>7.27</v>
      </c>
      <c r="H993">
        <v>-7.74</v>
      </c>
      <c r="I993">
        <v>-12.42</v>
      </c>
      <c r="J993">
        <v>-26.7</v>
      </c>
      <c r="K993">
        <v>-28.8</v>
      </c>
      <c r="L993">
        <v>-19.73</v>
      </c>
      <c r="M993">
        <v>-16.52</v>
      </c>
      <c r="N993">
        <v>-22.13</v>
      </c>
    </row>
    <row r="994" spans="1:14">
      <c r="A994" s="2" t="s">
        <v>1022</v>
      </c>
      <c r="B994" t="s">
        <v>4815</v>
      </c>
      <c r="C994">
        <v>0.17</v>
      </c>
      <c r="D994">
        <v>-5.66</v>
      </c>
      <c r="E994">
        <v>-34.54</v>
      </c>
      <c r="F994">
        <v>20.73</v>
      </c>
      <c r="G994">
        <v>-23.52</v>
      </c>
      <c r="I994">
        <v>33.71</v>
      </c>
      <c r="J994">
        <v>59.36</v>
      </c>
      <c r="K994">
        <v>-34.39</v>
      </c>
      <c r="L994">
        <v>-8.7200000000000006</v>
      </c>
      <c r="M994">
        <v>-20.27</v>
      </c>
    </row>
    <row r="995" spans="1:14">
      <c r="A995" s="2" t="s">
        <v>1023</v>
      </c>
      <c r="B995" t="s">
        <v>4816</v>
      </c>
      <c r="C995">
        <v>0.56000000000000005</v>
      </c>
      <c r="D995">
        <v>9.3699999999999992</v>
      </c>
      <c r="E995">
        <v>4.0199999999999996</v>
      </c>
      <c r="F995">
        <v>2.99</v>
      </c>
      <c r="G995">
        <v>1.71</v>
      </c>
      <c r="H995">
        <v>-7.4</v>
      </c>
      <c r="I995">
        <v>-4.1100000000000003</v>
      </c>
      <c r="J995">
        <v>0.95</v>
      </c>
      <c r="K995">
        <v>4.5</v>
      </c>
      <c r="L995">
        <v>2.52</v>
      </c>
      <c r="M995">
        <v>-0.21</v>
      </c>
      <c r="N995">
        <v>14.32</v>
      </c>
    </row>
    <row r="996" spans="1:14">
      <c r="A996" s="2" t="s">
        <v>1024</v>
      </c>
      <c r="B996" t="s">
        <v>4817</v>
      </c>
      <c r="C996">
        <v>-28.91</v>
      </c>
      <c r="D996">
        <v>-12.09</v>
      </c>
      <c r="E996">
        <v>28.94</v>
      </c>
      <c r="F996">
        <v>-2.39</v>
      </c>
      <c r="G996">
        <v>-25.69</v>
      </c>
      <c r="H996">
        <v>49.99</v>
      </c>
      <c r="I996">
        <v>-32.450000000000003</v>
      </c>
      <c r="J996">
        <v>-23.14</v>
      </c>
      <c r="K996">
        <v>9.4700000000000006</v>
      </c>
      <c r="L996">
        <v>-20.34</v>
      </c>
      <c r="M996">
        <v>-24.25</v>
      </c>
      <c r="N996">
        <v>75.400000000000006</v>
      </c>
    </row>
    <row r="997" spans="1:14">
      <c r="A997" s="2" t="s">
        <v>1025</v>
      </c>
      <c r="B997" t="s">
        <v>4818</v>
      </c>
      <c r="C997">
        <v>-1.62</v>
      </c>
      <c r="D997">
        <v>-0.56000000000000005</v>
      </c>
      <c r="E997">
        <v>-25.52</v>
      </c>
      <c r="F997">
        <v>-29.29</v>
      </c>
      <c r="G997">
        <v>60.27</v>
      </c>
      <c r="H997">
        <v>29.54</v>
      </c>
      <c r="I997">
        <v>-6.08</v>
      </c>
      <c r="J997">
        <v>-14.83</v>
      </c>
      <c r="K997">
        <v>-19.04</v>
      </c>
      <c r="L997">
        <v>-52.54</v>
      </c>
      <c r="M997">
        <v>-35.29</v>
      </c>
      <c r="N997">
        <v>2.9</v>
      </c>
    </row>
    <row r="998" spans="1:14">
      <c r="A998" s="2" t="s">
        <v>1026</v>
      </c>
      <c r="B998" t="s">
        <v>4819</v>
      </c>
      <c r="C998">
        <v>39.979999999999997</v>
      </c>
      <c r="D998">
        <v>-3.92</v>
      </c>
      <c r="E998">
        <v>24.91</v>
      </c>
      <c r="F998">
        <v>-1.37</v>
      </c>
      <c r="G998">
        <v>26.66</v>
      </c>
      <c r="I998">
        <v>-32.36</v>
      </c>
      <c r="J998">
        <v>-31.45</v>
      </c>
      <c r="K998">
        <v>-17.09</v>
      </c>
      <c r="L998">
        <v>-21.43</v>
      </c>
      <c r="M998">
        <v>3.97</v>
      </c>
    </row>
    <row r="999" spans="1:14">
      <c r="A999" s="2" t="s">
        <v>1027</v>
      </c>
      <c r="B999" t="s">
        <v>4820</v>
      </c>
      <c r="C999">
        <v>-0.86</v>
      </c>
      <c r="D999">
        <v>19.23</v>
      </c>
      <c r="E999">
        <v>-8.59</v>
      </c>
      <c r="F999">
        <v>22.71</v>
      </c>
      <c r="G999">
        <v>19.190000000000001</v>
      </c>
      <c r="H999">
        <v>-22.74</v>
      </c>
      <c r="I999">
        <v>-31.38</v>
      </c>
      <c r="J999">
        <v>12.42</v>
      </c>
      <c r="K999">
        <v>-30.36</v>
      </c>
      <c r="L999">
        <v>-31.27</v>
      </c>
      <c r="M999">
        <v>-24.2</v>
      </c>
      <c r="N999">
        <v>-34.86</v>
      </c>
    </row>
    <row r="1000" spans="1:14">
      <c r="A1000" s="2" t="s">
        <v>1028</v>
      </c>
      <c r="B1000" t="s">
        <v>4821</v>
      </c>
      <c r="C1000">
        <v>-7.94</v>
      </c>
      <c r="D1000">
        <v>19.22</v>
      </c>
      <c r="E1000">
        <v>-9.5399999999999991</v>
      </c>
      <c r="F1000">
        <v>-4.3600000000000003</v>
      </c>
      <c r="G1000">
        <v>0.09</v>
      </c>
      <c r="H1000">
        <v>27.05</v>
      </c>
      <c r="I1000">
        <v>-12.06</v>
      </c>
      <c r="J1000">
        <v>12.16</v>
      </c>
      <c r="K1000">
        <v>2.36</v>
      </c>
      <c r="L1000">
        <v>-4.0999999999999996</v>
      </c>
      <c r="M1000">
        <v>6.95</v>
      </c>
      <c r="N1000">
        <v>13.62</v>
      </c>
    </row>
    <row r="1001" spans="1:14">
      <c r="A1001" s="2" t="s">
        <v>1029</v>
      </c>
      <c r="B1001" t="s">
        <v>4822</v>
      </c>
      <c r="C1001">
        <v>-9.75</v>
      </c>
      <c r="D1001">
        <v>2.81</v>
      </c>
      <c r="E1001">
        <v>23.98</v>
      </c>
      <c r="F1001">
        <v>-3.48</v>
      </c>
      <c r="G1001">
        <v>-0.75</v>
      </c>
      <c r="H1001">
        <v>-4.3600000000000003</v>
      </c>
      <c r="I1001">
        <v>-28.09</v>
      </c>
      <c r="J1001">
        <v>-18.07</v>
      </c>
      <c r="K1001">
        <v>69.150000000000006</v>
      </c>
      <c r="L1001">
        <v>27.26</v>
      </c>
      <c r="M1001">
        <v>10.66</v>
      </c>
      <c r="N1001">
        <v>-21.28</v>
      </c>
    </row>
    <row r="1002" spans="1:14">
      <c r="A1002" s="2" t="s">
        <v>1030</v>
      </c>
      <c r="B1002" t="s">
        <v>4823</v>
      </c>
      <c r="C1002">
        <v>-16.89</v>
      </c>
      <c r="D1002">
        <v>11.32</v>
      </c>
      <c r="E1002">
        <v>2.2999999999999998</v>
      </c>
      <c r="F1002">
        <v>-13.57</v>
      </c>
      <c r="G1002">
        <v>-2.11</v>
      </c>
      <c r="H1002">
        <v>29.94</v>
      </c>
      <c r="I1002">
        <v>-2.88</v>
      </c>
      <c r="J1002">
        <v>32.299999999999997</v>
      </c>
      <c r="K1002">
        <v>15.1</v>
      </c>
      <c r="L1002">
        <v>6.66</v>
      </c>
      <c r="M1002">
        <v>24.77</v>
      </c>
      <c r="N1002">
        <v>22.63</v>
      </c>
    </row>
    <row r="1003" spans="1:14">
      <c r="A1003" s="2" t="s">
        <v>1031</v>
      </c>
      <c r="B1003" t="s">
        <v>4824</v>
      </c>
      <c r="C1003">
        <v>25.21</v>
      </c>
      <c r="D1003">
        <v>-12.43</v>
      </c>
      <c r="E1003">
        <v>-9.98</v>
      </c>
      <c r="F1003">
        <v>1.58</v>
      </c>
      <c r="G1003">
        <v>4.51</v>
      </c>
      <c r="H1003">
        <v>32.07</v>
      </c>
      <c r="I1003">
        <v>13.43</v>
      </c>
      <c r="J1003">
        <v>22.28</v>
      </c>
      <c r="K1003">
        <v>-8.1999999999999993</v>
      </c>
      <c r="L1003">
        <v>-16.559999999999999</v>
      </c>
      <c r="M1003">
        <v>-10.76</v>
      </c>
      <c r="N1003">
        <v>-9.89</v>
      </c>
    </row>
    <row r="1004" spans="1:14">
      <c r="A1004" s="2" t="s">
        <v>1032</v>
      </c>
      <c r="B1004" t="s">
        <v>4825</v>
      </c>
      <c r="C1004">
        <v>-1.1399999999999999</v>
      </c>
      <c r="D1004">
        <v>-15.64</v>
      </c>
      <c r="E1004">
        <v>18.63</v>
      </c>
      <c r="F1004">
        <v>-2.4500000000000002</v>
      </c>
      <c r="G1004">
        <v>-4.1500000000000004</v>
      </c>
      <c r="H1004">
        <v>7.27</v>
      </c>
      <c r="I1004">
        <v>-27.56</v>
      </c>
      <c r="J1004">
        <v>-34.619999999999997</v>
      </c>
      <c r="K1004">
        <v>-30.37</v>
      </c>
      <c r="L1004">
        <v>-15.8</v>
      </c>
      <c r="M1004">
        <v>-8.77</v>
      </c>
      <c r="N1004">
        <v>-10.96</v>
      </c>
    </row>
    <row r="1005" spans="1:14">
      <c r="A1005" s="2" t="s">
        <v>1033</v>
      </c>
      <c r="B1005" t="s">
        <v>4826</v>
      </c>
      <c r="C1005">
        <v>-5.94</v>
      </c>
      <c r="D1005">
        <v>13.44</v>
      </c>
      <c r="E1005">
        <v>-0.56999999999999995</v>
      </c>
      <c r="F1005">
        <v>-4.2699999999999996</v>
      </c>
      <c r="G1005">
        <v>20.04</v>
      </c>
      <c r="H1005">
        <v>-0.39</v>
      </c>
      <c r="I1005">
        <v>4.05</v>
      </c>
      <c r="J1005">
        <v>12.74</v>
      </c>
      <c r="K1005">
        <v>32.99</v>
      </c>
      <c r="L1005">
        <v>16.3</v>
      </c>
      <c r="M1005">
        <v>18.37</v>
      </c>
      <c r="N1005">
        <v>70.17</v>
      </c>
    </row>
    <row r="1006" spans="1:14">
      <c r="A1006" s="2" t="s">
        <v>1034</v>
      </c>
      <c r="B1006" t="s">
        <v>4827</v>
      </c>
      <c r="C1006">
        <v>6.82</v>
      </c>
      <c r="D1006">
        <v>0.3</v>
      </c>
      <c r="E1006">
        <v>13.16</v>
      </c>
      <c r="F1006">
        <v>12.75</v>
      </c>
      <c r="G1006">
        <v>32.08</v>
      </c>
      <c r="H1006">
        <v>-39.01</v>
      </c>
      <c r="I1006">
        <v>7.2</v>
      </c>
      <c r="J1006">
        <v>18.739999999999998</v>
      </c>
      <c r="K1006">
        <v>43.48</v>
      </c>
      <c r="L1006">
        <v>-38.53</v>
      </c>
      <c r="M1006">
        <v>20.21</v>
      </c>
      <c r="N1006">
        <v>16.829999999999998</v>
      </c>
    </row>
    <row r="1007" spans="1:14">
      <c r="A1007" s="2" t="s">
        <v>1035</v>
      </c>
      <c r="B1007" t="s">
        <v>4828</v>
      </c>
      <c r="C1007">
        <v>-11.42</v>
      </c>
      <c r="D1007">
        <v>12.48</v>
      </c>
      <c r="E1007">
        <v>-17.66</v>
      </c>
      <c r="F1007">
        <v>18.350000000000001</v>
      </c>
      <c r="G1007">
        <v>-2.2200000000000002</v>
      </c>
      <c r="H1007">
        <v>2.0499999999999998</v>
      </c>
      <c r="I1007">
        <v>-4.8499999999999996</v>
      </c>
      <c r="J1007">
        <v>-4.8099999999999996</v>
      </c>
      <c r="K1007">
        <v>-23.67</v>
      </c>
      <c r="L1007">
        <v>-9.1199999999999992</v>
      </c>
      <c r="M1007">
        <v>-9.0299999999999994</v>
      </c>
      <c r="N1007">
        <v>5.59</v>
      </c>
    </row>
    <row r="1008" spans="1:14">
      <c r="A1008" s="2" t="s">
        <v>1036</v>
      </c>
      <c r="B1008" t="s">
        <v>4829</v>
      </c>
      <c r="C1008">
        <v>-2.4900000000000002</v>
      </c>
      <c r="D1008">
        <v>-6.31</v>
      </c>
      <c r="E1008">
        <v>-0.43</v>
      </c>
      <c r="F1008">
        <v>-2.98</v>
      </c>
      <c r="G1008">
        <v>12.12</v>
      </c>
      <c r="I1008">
        <v>1.83</v>
      </c>
      <c r="J1008">
        <v>-9.41</v>
      </c>
      <c r="K1008">
        <v>-11.89</v>
      </c>
      <c r="L1008">
        <v>-1.0900000000000001</v>
      </c>
      <c r="M1008">
        <v>18.96</v>
      </c>
    </row>
    <row r="1009" spans="1:14">
      <c r="A1009" s="2" t="s">
        <v>1037</v>
      </c>
      <c r="B1009" t="s">
        <v>4830</v>
      </c>
      <c r="C1009">
        <v>-17.95</v>
      </c>
      <c r="D1009">
        <v>5.84</v>
      </c>
      <c r="E1009">
        <v>10.01</v>
      </c>
      <c r="F1009">
        <v>8.76</v>
      </c>
      <c r="G1009">
        <v>-7.1</v>
      </c>
      <c r="H1009">
        <v>19.46</v>
      </c>
      <c r="I1009">
        <v>-20.46</v>
      </c>
      <c r="J1009">
        <v>-0.11</v>
      </c>
      <c r="K1009">
        <v>-0.28000000000000003</v>
      </c>
      <c r="L1009">
        <v>7.3</v>
      </c>
      <c r="M1009">
        <v>5.45</v>
      </c>
      <c r="N1009">
        <v>24.35</v>
      </c>
    </row>
    <row r="1010" spans="1:14">
      <c r="A1010" s="2" t="s">
        <v>1038</v>
      </c>
      <c r="B1010" t="s">
        <v>4831</v>
      </c>
      <c r="C1010">
        <v>-2.39</v>
      </c>
      <c r="D1010">
        <v>-3.99</v>
      </c>
      <c r="E1010">
        <v>-17.29</v>
      </c>
      <c r="F1010">
        <v>3.13</v>
      </c>
      <c r="G1010">
        <v>2.52</v>
      </c>
      <c r="H1010">
        <v>2.0099999999999998</v>
      </c>
      <c r="I1010">
        <v>5.57</v>
      </c>
      <c r="J1010">
        <v>-10.54</v>
      </c>
      <c r="K1010">
        <v>-23.09</v>
      </c>
      <c r="L1010">
        <v>-21.87</v>
      </c>
      <c r="M1010">
        <v>-15.1</v>
      </c>
      <c r="N1010">
        <v>-16.34</v>
      </c>
    </row>
    <row r="1011" spans="1:14">
      <c r="A1011" s="2" t="s">
        <v>1039</v>
      </c>
      <c r="B1011" t="s">
        <v>4832</v>
      </c>
      <c r="C1011">
        <v>41.2</v>
      </c>
      <c r="D1011">
        <v>9.4499999999999993</v>
      </c>
      <c r="E1011">
        <v>-23.83</v>
      </c>
      <c r="F1011">
        <v>4.12</v>
      </c>
      <c r="G1011">
        <v>41</v>
      </c>
      <c r="H1011">
        <v>-31.19</v>
      </c>
      <c r="I1011">
        <v>74.459999999999994</v>
      </c>
      <c r="J1011">
        <v>34.71</v>
      </c>
      <c r="K1011">
        <v>10.3</v>
      </c>
      <c r="L1011">
        <v>0.02</v>
      </c>
      <c r="M1011">
        <v>54.1</v>
      </c>
      <c r="N1011">
        <v>1.36</v>
      </c>
    </row>
    <row r="1012" spans="1:14">
      <c r="A1012" s="2" t="s">
        <v>1040</v>
      </c>
      <c r="B1012" t="s">
        <v>4833</v>
      </c>
      <c r="C1012">
        <v>4.24</v>
      </c>
      <c r="D1012">
        <v>24.38</v>
      </c>
      <c r="E1012">
        <v>-78.03</v>
      </c>
      <c r="F1012">
        <v>436</v>
      </c>
      <c r="G1012">
        <v>32.299999999999997</v>
      </c>
      <c r="H1012">
        <v>-34.700000000000003</v>
      </c>
      <c r="I1012">
        <v>9.23</v>
      </c>
      <c r="J1012">
        <v>27.98</v>
      </c>
      <c r="K1012">
        <v>-71.14</v>
      </c>
      <c r="L1012">
        <v>3.89</v>
      </c>
      <c r="M1012">
        <v>18.07</v>
      </c>
      <c r="N1012">
        <v>880.79</v>
      </c>
    </row>
    <row r="1013" spans="1:14">
      <c r="A1013" s="2" t="s">
        <v>1041</v>
      </c>
      <c r="B1013" t="s">
        <v>4834</v>
      </c>
      <c r="C1013">
        <v>-4.72</v>
      </c>
      <c r="D1013">
        <v>118.58</v>
      </c>
      <c r="E1013">
        <v>-46.53</v>
      </c>
      <c r="F1013">
        <v>-13.5</v>
      </c>
      <c r="G1013">
        <v>25.21</v>
      </c>
      <c r="H1013">
        <v>-24.88</v>
      </c>
      <c r="I1013">
        <v>-52.36</v>
      </c>
      <c r="J1013">
        <v>39.53</v>
      </c>
      <c r="K1013">
        <v>-17.5</v>
      </c>
      <c r="L1013">
        <v>-28.48</v>
      </c>
      <c r="M1013">
        <v>-22.99</v>
      </c>
      <c r="N1013">
        <v>-34.68</v>
      </c>
    </row>
    <row r="1014" spans="1:14">
      <c r="A1014" s="2" t="s">
        <v>1042</v>
      </c>
      <c r="B1014" t="s">
        <v>4835</v>
      </c>
      <c r="C1014">
        <v>235.05</v>
      </c>
      <c r="D1014">
        <v>-78.61</v>
      </c>
      <c r="E1014">
        <v>9.2899999999999991</v>
      </c>
      <c r="F1014">
        <v>58.06</v>
      </c>
      <c r="G1014">
        <v>-63.08</v>
      </c>
      <c r="H1014">
        <v>36.85</v>
      </c>
      <c r="I1014">
        <v>1470.28</v>
      </c>
      <c r="J1014">
        <v>-61.68</v>
      </c>
      <c r="K1014">
        <v>129.19999999999999</v>
      </c>
      <c r="L1014">
        <v>86.58</v>
      </c>
      <c r="M1014">
        <v>-50.54</v>
      </c>
      <c r="N1014">
        <v>-35.270000000000003</v>
      </c>
    </row>
    <row r="1015" spans="1:14">
      <c r="A1015" s="2" t="s">
        <v>1043</v>
      </c>
      <c r="B1015" t="s">
        <v>4836</v>
      </c>
      <c r="C1015">
        <v>13.43</v>
      </c>
      <c r="D1015">
        <v>-62.49</v>
      </c>
      <c r="E1015">
        <v>140.59</v>
      </c>
      <c r="F1015">
        <v>-8.74</v>
      </c>
      <c r="G1015">
        <v>-77.260000000000005</v>
      </c>
      <c r="H1015">
        <v>720.53</v>
      </c>
      <c r="I1015">
        <v>2.85</v>
      </c>
      <c r="J1015">
        <v>-66.349999999999994</v>
      </c>
      <c r="K1015">
        <v>-62.11</v>
      </c>
      <c r="L1015">
        <v>-50.09</v>
      </c>
      <c r="M1015">
        <v>-88.11</v>
      </c>
      <c r="N1015">
        <v>32.08</v>
      </c>
    </row>
    <row r="1016" spans="1:14">
      <c r="A1016" s="2" t="s">
        <v>1044</v>
      </c>
      <c r="B1016" t="s">
        <v>4837</v>
      </c>
      <c r="C1016">
        <v>-6.91</v>
      </c>
      <c r="D1016">
        <v>19.39</v>
      </c>
      <c r="E1016">
        <v>-11</v>
      </c>
      <c r="F1016">
        <v>20.89</v>
      </c>
      <c r="G1016">
        <v>-1.61</v>
      </c>
      <c r="H1016">
        <v>-7.84</v>
      </c>
      <c r="I1016">
        <v>-18.329999999999998</v>
      </c>
      <c r="J1016">
        <v>1.49</v>
      </c>
      <c r="K1016">
        <v>-2.56</v>
      </c>
      <c r="L1016">
        <v>18.47</v>
      </c>
      <c r="M1016">
        <v>21.26</v>
      </c>
      <c r="N1016">
        <v>23.89</v>
      </c>
    </row>
    <row r="1017" spans="1:14">
      <c r="A1017" s="2" t="s">
        <v>1045</v>
      </c>
      <c r="B1017" t="s">
        <v>4838</v>
      </c>
      <c r="C1017">
        <v>11.37</v>
      </c>
      <c r="D1017">
        <v>-9.8699999999999992</v>
      </c>
      <c r="E1017">
        <v>-34.409999999999997</v>
      </c>
      <c r="F1017">
        <v>61.64</v>
      </c>
      <c r="G1017">
        <v>-36.159999999999997</v>
      </c>
      <c r="H1017">
        <v>54.91</v>
      </c>
      <c r="I1017">
        <v>-4.67</v>
      </c>
      <c r="J1017">
        <v>-8.1</v>
      </c>
      <c r="K1017">
        <v>-43.89</v>
      </c>
      <c r="L1017">
        <v>14.83</v>
      </c>
      <c r="M1017">
        <v>-32.22</v>
      </c>
      <c r="N1017">
        <v>46.09</v>
      </c>
    </row>
    <row r="1018" spans="1:14">
      <c r="A1018" s="2" t="s">
        <v>1046</v>
      </c>
      <c r="B1018" t="s">
        <v>4839</v>
      </c>
      <c r="C1018">
        <v>-17.809999999999999</v>
      </c>
      <c r="D1018">
        <v>-0.78</v>
      </c>
      <c r="E1018">
        <v>-9.7200000000000006</v>
      </c>
      <c r="F1018">
        <v>19.11</v>
      </c>
      <c r="G1018">
        <v>13.21</v>
      </c>
      <c r="H1018">
        <v>14.91</v>
      </c>
      <c r="I1018">
        <v>-14.6</v>
      </c>
      <c r="J1018">
        <v>-23.06</v>
      </c>
      <c r="K1018">
        <v>-11.08</v>
      </c>
      <c r="L1018">
        <v>3.02</v>
      </c>
      <c r="M1018">
        <v>12.55</v>
      </c>
      <c r="N1018">
        <v>85.92</v>
      </c>
    </row>
    <row r="1019" spans="1:14">
      <c r="A1019" s="2" t="s">
        <v>1047</v>
      </c>
      <c r="B1019" t="s">
        <v>4840</v>
      </c>
      <c r="C1019">
        <v>3.02</v>
      </c>
      <c r="D1019">
        <v>-9.1</v>
      </c>
      <c r="E1019">
        <v>-18.09</v>
      </c>
      <c r="F1019">
        <v>68.41</v>
      </c>
      <c r="G1019">
        <v>19.47</v>
      </c>
      <c r="H1019">
        <v>18.05</v>
      </c>
      <c r="I1019">
        <v>114.55</v>
      </c>
      <c r="J1019">
        <v>39.56</v>
      </c>
      <c r="K1019">
        <v>-9.4</v>
      </c>
      <c r="L1019">
        <v>103.32</v>
      </c>
      <c r="M1019">
        <v>110.43</v>
      </c>
      <c r="N1019">
        <v>141.25</v>
      </c>
    </row>
    <row r="1020" spans="1:14">
      <c r="A1020" s="2" t="s">
        <v>1048</v>
      </c>
      <c r="B1020" t="s">
        <v>4841</v>
      </c>
      <c r="C1020">
        <v>28.1</v>
      </c>
      <c r="D1020">
        <v>-15.02</v>
      </c>
      <c r="E1020">
        <v>27.71</v>
      </c>
      <c r="F1020">
        <v>-19.100000000000001</v>
      </c>
      <c r="G1020">
        <v>5.82</v>
      </c>
      <c r="H1020">
        <v>-8.31</v>
      </c>
      <c r="I1020">
        <v>-15.95</v>
      </c>
      <c r="J1020">
        <v>-21.15</v>
      </c>
      <c r="K1020">
        <v>12.26</v>
      </c>
      <c r="L1020">
        <v>-17.260000000000002</v>
      </c>
      <c r="M1020">
        <v>-15.92</v>
      </c>
      <c r="N1020">
        <v>37.770000000000003</v>
      </c>
    </row>
    <row r="1021" spans="1:14">
      <c r="A1021" s="2" t="s">
        <v>1049</v>
      </c>
      <c r="B1021" t="s">
        <v>4842</v>
      </c>
      <c r="C1021">
        <v>-2.75</v>
      </c>
      <c r="D1021">
        <v>3.17</v>
      </c>
      <c r="E1021">
        <v>2.02</v>
      </c>
      <c r="F1021">
        <v>9.4600000000000009</v>
      </c>
      <c r="G1021">
        <v>-6.52</v>
      </c>
      <c r="H1021">
        <v>20.04</v>
      </c>
      <c r="I1021">
        <v>-6.58</v>
      </c>
      <c r="J1021">
        <v>-3.12</v>
      </c>
      <c r="K1021">
        <v>-10.6</v>
      </c>
      <c r="L1021">
        <v>5.57</v>
      </c>
      <c r="M1021">
        <v>-7.13</v>
      </c>
      <c r="N1021">
        <v>-0.47</v>
      </c>
    </row>
    <row r="1022" spans="1:14">
      <c r="A1022" s="2" t="s">
        <v>1050</v>
      </c>
      <c r="B1022" t="s">
        <v>4843</v>
      </c>
      <c r="C1022">
        <v>-12.62</v>
      </c>
      <c r="D1022">
        <v>39.49</v>
      </c>
      <c r="E1022">
        <v>-29.53</v>
      </c>
      <c r="F1022">
        <v>47.55</v>
      </c>
      <c r="G1022">
        <v>-35.42</v>
      </c>
      <c r="H1022">
        <v>90.92</v>
      </c>
      <c r="I1022">
        <v>-4.21</v>
      </c>
      <c r="J1022">
        <v>61.99</v>
      </c>
      <c r="K1022">
        <v>-15.82</v>
      </c>
      <c r="L1022">
        <v>28.38</v>
      </c>
      <c r="M1022">
        <v>-10.46</v>
      </c>
      <c r="N1022">
        <v>31.1</v>
      </c>
    </row>
    <row r="1023" spans="1:14">
      <c r="A1023" s="2" t="s">
        <v>1051</v>
      </c>
      <c r="B1023" t="s">
        <v>4844</v>
      </c>
      <c r="C1023">
        <v>-4.99</v>
      </c>
      <c r="D1023">
        <v>-12.18</v>
      </c>
      <c r="E1023">
        <v>0.36</v>
      </c>
      <c r="F1023">
        <v>0.52</v>
      </c>
      <c r="G1023">
        <v>-2.98</v>
      </c>
      <c r="H1023">
        <v>20.77</v>
      </c>
      <c r="I1023">
        <v>-16.77</v>
      </c>
      <c r="J1023">
        <v>-8.73</v>
      </c>
      <c r="K1023">
        <v>-1.53</v>
      </c>
      <c r="L1023">
        <v>-0.57999999999999996</v>
      </c>
      <c r="M1023">
        <v>-24.32</v>
      </c>
      <c r="N1023">
        <v>24.76</v>
      </c>
    </row>
    <row r="1024" spans="1:14">
      <c r="A1024" s="2" t="s">
        <v>1052</v>
      </c>
      <c r="B1024" t="s">
        <v>4845</v>
      </c>
      <c r="C1024">
        <v>-26.28</v>
      </c>
      <c r="D1024">
        <v>-48.42</v>
      </c>
      <c r="E1024">
        <v>194.57</v>
      </c>
      <c r="F1024">
        <v>26.33</v>
      </c>
      <c r="G1024">
        <v>45.01</v>
      </c>
      <c r="H1024">
        <v>-64.13</v>
      </c>
      <c r="I1024">
        <v>-33.83</v>
      </c>
      <c r="J1024">
        <v>-60.65</v>
      </c>
      <c r="K1024">
        <v>97.05</v>
      </c>
      <c r="L1024">
        <v>-19.510000000000002</v>
      </c>
      <c r="M1024">
        <v>156.38</v>
      </c>
      <c r="N1024">
        <v>0.95</v>
      </c>
    </row>
    <row r="1025" spans="1:14">
      <c r="A1025" s="2" t="s">
        <v>1053</v>
      </c>
      <c r="B1025" t="s">
        <v>4846</v>
      </c>
      <c r="C1025">
        <v>1.35</v>
      </c>
      <c r="D1025">
        <v>37.17</v>
      </c>
      <c r="E1025">
        <v>-21.75</v>
      </c>
      <c r="F1025">
        <v>4.5199999999999996</v>
      </c>
      <c r="G1025">
        <v>6.46</v>
      </c>
      <c r="I1025">
        <v>0.5</v>
      </c>
      <c r="J1025">
        <v>18.93</v>
      </c>
      <c r="K1025">
        <v>1.63</v>
      </c>
      <c r="L1025">
        <v>21.55</v>
      </c>
      <c r="M1025">
        <v>20.22</v>
      </c>
    </row>
    <row r="1026" spans="1:14">
      <c r="A1026" s="2" t="s">
        <v>1054</v>
      </c>
      <c r="B1026" t="s">
        <v>4847</v>
      </c>
      <c r="C1026">
        <v>-2.67</v>
      </c>
      <c r="D1026">
        <v>9.17</v>
      </c>
      <c r="E1026">
        <v>2.4</v>
      </c>
      <c r="F1026">
        <v>13.76</v>
      </c>
      <c r="G1026">
        <v>-22.22</v>
      </c>
      <c r="I1026">
        <v>-1.28</v>
      </c>
      <c r="J1026">
        <v>18.5</v>
      </c>
      <c r="K1026">
        <v>10.49</v>
      </c>
      <c r="L1026">
        <v>32.159999999999997</v>
      </c>
      <c r="M1026">
        <v>-21.97</v>
      </c>
    </row>
    <row r="1027" spans="1:14">
      <c r="A1027" s="2" t="s">
        <v>1055</v>
      </c>
      <c r="B1027" t="s">
        <v>4848</v>
      </c>
      <c r="C1027">
        <v>2.92</v>
      </c>
      <c r="D1027">
        <v>-10.87</v>
      </c>
      <c r="E1027">
        <v>-11.5</v>
      </c>
      <c r="F1027">
        <v>21.12</v>
      </c>
      <c r="G1027">
        <v>32.729999999999997</v>
      </c>
      <c r="H1027">
        <v>-42.07</v>
      </c>
      <c r="I1027">
        <v>4.2300000000000004</v>
      </c>
      <c r="J1027">
        <v>-32.69</v>
      </c>
      <c r="K1027">
        <v>8.49</v>
      </c>
      <c r="L1027">
        <v>-2.77</v>
      </c>
      <c r="M1027">
        <v>55.26</v>
      </c>
      <c r="N1027">
        <v>-13.13</v>
      </c>
    </row>
    <row r="1028" spans="1:14">
      <c r="A1028" s="2" t="s">
        <v>1056</v>
      </c>
      <c r="B1028" t="s">
        <v>4849</v>
      </c>
      <c r="C1028">
        <v>-34.89</v>
      </c>
      <c r="D1028">
        <v>33.65</v>
      </c>
      <c r="E1028">
        <v>-23.19</v>
      </c>
      <c r="F1028">
        <v>17.16</v>
      </c>
      <c r="G1028">
        <v>21.76</v>
      </c>
      <c r="H1028">
        <v>-9.69</v>
      </c>
      <c r="I1028">
        <v>-25.96</v>
      </c>
      <c r="J1028">
        <v>-15.77</v>
      </c>
      <c r="K1028">
        <v>-27.63</v>
      </c>
      <c r="L1028">
        <v>-13.87</v>
      </c>
      <c r="M1028">
        <v>6.28</v>
      </c>
      <c r="N1028">
        <v>0.2</v>
      </c>
    </row>
    <row r="1029" spans="1:14">
      <c r="A1029" s="2" t="s">
        <v>1057</v>
      </c>
      <c r="B1029" t="s">
        <v>4850</v>
      </c>
      <c r="C1029">
        <v>17.510000000000002</v>
      </c>
      <c r="D1029">
        <v>-10.95</v>
      </c>
      <c r="E1029">
        <v>-7.78</v>
      </c>
      <c r="F1029">
        <v>-6.27</v>
      </c>
      <c r="G1029">
        <v>24.97</v>
      </c>
      <c r="H1029">
        <v>-20.92</v>
      </c>
      <c r="I1029">
        <v>0.17</v>
      </c>
      <c r="J1029">
        <v>-8.11</v>
      </c>
      <c r="K1029">
        <v>-22.83</v>
      </c>
      <c r="L1029">
        <v>-29.12</v>
      </c>
      <c r="M1029">
        <v>12.79</v>
      </c>
      <c r="N1029">
        <v>-23.34</v>
      </c>
    </row>
    <row r="1030" spans="1:14">
      <c r="A1030" s="2" t="s">
        <v>1058</v>
      </c>
      <c r="B1030" t="s">
        <v>4851</v>
      </c>
      <c r="C1030">
        <v>52.28</v>
      </c>
      <c r="D1030">
        <v>5.55</v>
      </c>
      <c r="E1030">
        <v>-12.02</v>
      </c>
      <c r="F1030">
        <v>11.3</v>
      </c>
      <c r="G1030">
        <v>-2.64</v>
      </c>
      <c r="H1030">
        <v>36.090000000000003</v>
      </c>
      <c r="I1030">
        <v>116.35</v>
      </c>
      <c r="J1030">
        <v>110.05</v>
      </c>
      <c r="K1030">
        <v>97.95</v>
      </c>
      <c r="L1030">
        <v>148.16999999999999</v>
      </c>
      <c r="M1030">
        <v>98.13</v>
      </c>
      <c r="N1030">
        <v>109.06</v>
      </c>
    </row>
    <row r="1031" spans="1:14">
      <c r="A1031" s="2" t="s">
        <v>1059</v>
      </c>
      <c r="B1031" t="s">
        <v>4852</v>
      </c>
      <c r="C1031">
        <v>2.0099999999999998</v>
      </c>
      <c r="D1031">
        <v>6.29</v>
      </c>
      <c r="E1031">
        <v>-17.149999999999999</v>
      </c>
      <c r="F1031">
        <v>32.65</v>
      </c>
      <c r="G1031">
        <v>9.31</v>
      </c>
      <c r="H1031">
        <v>-18.989999999999998</v>
      </c>
      <c r="I1031">
        <v>-9.08</v>
      </c>
      <c r="J1031">
        <v>21.17</v>
      </c>
      <c r="K1031">
        <v>-28.15</v>
      </c>
      <c r="L1031">
        <v>-15.48</v>
      </c>
      <c r="M1031">
        <v>6.16</v>
      </c>
      <c r="N1031">
        <v>-8.02</v>
      </c>
    </row>
    <row r="1032" spans="1:14">
      <c r="A1032" s="2" t="s">
        <v>1060</v>
      </c>
      <c r="B1032" t="s">
        <v>4853</v>
      </c>
      <c r="C1032">
        <v>-43.81</v>
      </c>
      <c r="D1032">
        <v>-28.99</v>
      </c>
      <c r="E1032">
        <v>-36.869999999999997</v>
      </c>
      <c r="F1032">
        <v>87.63</v>
      </c>
      <c r="G1032">
        <v>273.10000000000002</v>
      </c>
      <c r="H1032">
        <v>-58.27</v>
      </c>
      <c r="I1032">
        <v>-11.32</v>
      </c>
      <c r="J1032">
        <v>-35.590000000000003</v>
      </c>
      <c r="K1032">
        <v>-58.61</v>
      </c>
      <c r="L1032">
        <v>-13.53</v>
      </c>
      <c r="M1032">
        <v>169.83</v>
      </c>
      <c r="N1032">
        <v>66.459999999999994</v>
      </c>
    </row>
    <row r="1033" spans="1:14">
      <c r="A1033" s="2" t="s">
        <v>1061</v>
      </c>
      <c r="B1033" t="s">
        <v>4854</v>
      </c>
      <c r="C1033">
        <v>19.13</v>
      </c>
      <c r="D1033">
        <v>87.39</v>
      </c>
      <c r="E1033">
        <v>-42.65</v>
      </c>
      <c r="F1033">
        <v>68.81</v>
      </c>
      <c r="G1033">
        <v>197.21</v>
      </c>
      <c r="H1033">
        <v>-81.75</v>
      </c>
      <c r="I1033">
        <v>-25.85</v>
      </c>
      <c r="J1033">
        <v>77.5</v>
      </c>
      <c r="K1033">
        <v>-3.99</v>
      </c>
      <c r="L1033">
        <v>8.1199999999999992</v>
      </c>
      <c r="M1033">
        <v>17.059999999999999</v>
      </c>
      <c r="N1033">
        <v>112.88</v>
      </c>
    </row>
    <row r="1034" spans="1:14">
      <c r="A1034" s="2" t="s">
        <v>1062</v>
      </c>
      <c r="B1034" t="s">
        <v>4855</v>
      </c>
      <c r="C1034">
        <v>9.09</v>
      </c>
      <c r="D1034">
        <v>3.99</v>
      </c>
      <c r="E1034">
        <v>-39.86</v>
      </c>
      <c r="F1034">
        <v>13.13</v>
      </c>
      <c r="G1034">
        <v>46.91</v>
      </c>
      <c r="I1034">
        <v>-19.97</v>
      </c>
      <c r="J1034">
        <v>-32.14</v>
      </c>
      <c r="K1034">
        <v>-39.58</v>
      </c>
      <c r="L1034">
        <v>-47.27</v>
      </c>
      <c r="M1034">
        <v>-32.869999999999997</v>
      </c>
    </row>
    <row r="1035" spans="1:14">
      <c r="A1035" s="2" t="s">
        <v>1063</v>
      </c>
      <c r="B1035" t="s">
        <v>4856</v>
      </c>
      <c r="C1035">
        <v>-2.66</v>
      </c>
      <c r="D1035">
        <v>14.01</v>
      </c>
      <c r="E1035">
        <v>-3.88</v>
      </c>
      <c r="F1035">
        <v>-6.36</v>
      </c>
      <c r="G1035">
        <v>40.049999999999997</v>
      </c>
      <c r="H1035">
        <v>-28.73</v>
      </c>
      <c r="I1035">
        <v>8.3800000000000008</v>
      </c>
      <c r="J1035">
        <v>14.38</v>
      </c>
      <c r="K1035">
        <v>5.38</v>
      </c>
      <c r="L1035">
        <v>-12.77</v>
      </c>
      <c r="M1035">
        <v>-2.37</v>
      </c>
      <c r="N1035">
        <v>2.5099999999999998</v>
      </c>
    </row>
    <row r="1036" spans="1:14">
      <c r="A1036" s="2" t="s">
        <v>1064</v>
      </c>
      <c r="B1036" t="s">
        <v>4857</v>
      </c>
      <c r="C1036">
        <v>2.84</v>
      </c>
      <c r="D1036">
        <v>-1.1200000000000001</v>
      </c>
      <c r="E1036">
        <v>14.79</v>
      </c>
      <c r="F1036">
        <v>-6.11</v>
      </c>
      <c r="G1036">
        <v>5.03</v>
      </c>
      <c r="I1036">
        <v>-23.08</v>
      </c>
      <c r="J1036">
        <v>-1.72</v>
      </c>
      <c r="K1036">
        <v>3.17</v>
      </c>
      <c r="L1036">
        <v>-4.84</v>
      </c>
      <c r="M1036">
        <v>7.61</v>
      </c>
    </row>
    <row r="1037" spans="1:14">
      <c r="A1037" s="2" t="s">
        <v>1065</v>
      </c>
      <c r="B1037" t="s">
        <v>4858</v>
      </c>
      <c r="C1037">
        <v>0.87</v>
      </c>
      <c r="D1037">
        <v>12.75</v>
      </c>
      <c r="E1037">
        <v>-6.99</v>
      </c>
      <c r="F1037">
        <v>2.02</v>
      </c>
      <c r="G1037">
        <v>-1.35</v>
      </c>
      <c r="H1037">
        <v>1.78</v>
      </c>
      <c r="I1037">
        <v>22.46</v>
      </c>
      <c r="J1037">
        <v>32.35</v>
      </c>
      <c r="K1037">
        <v>30.75</v>
      </c>
      <c r="L1037">
        <v>15.49</v>
      </c>
      <c r="M1037">
        <v>10.98</v>
      </c>
      <c r="N1037">
        <v>16.13</v>
      </c>
    </row>
    <row r="1038" spans="1:14">
      <c r="A1038" s="2" t="s">
        <v>1066</v>
      </c>
      <c r="B1038" t="s">
        <v>4859</v>
      </c>
      <c r="C1038">
        <v>36.04</v>
      </c>
      <c r="D1038">
        <v>3.79</v>
      </c>
      <c r="E1038">
        <v>-7.94</v>
      </c>
      <c r="F1038">
        <v>-35.18</v>
      </c>
      <c r="G1038">
        <v>48.39</v>
      </c>
      <c r="H1038">
        <v>25.78</v>
      </c>
      <c r="I1038">
        <v>5.49</v>
      </c>
      <c r="J1038">
        <v>2.65</v>
      </c>
      <c r="K1038">
        <v>23.17</v>
      </c>
      <c r="L1038">
        <v>-45.27</v>
      </c>
      <c r="M1038">
        <v>-7.0000000000000007E-2</v>
      </c>
      <c r="N1038">
        <v>-5.81</v>
      </c>
    </row>
    <row r="1039" spans="1:14">
      <c r="A1039" s="2" t="s">
        <v>1067</v>
      </c>
      <c r="B1039" t="s">
        <v>4860</v>
      </c>
      <c r="C1039">
        <v>11.09</v>
      </c>
      <c r="D1039">
        <v>2.95</v>
      </c>
      <c r="E1039">
        <v>3.35</v>
      </c>
      <c r="F1039">
        <v>-4.34</v>
      </c>
      <c r="G1039">
        <v>0.17</v>
      </c>
      <c r="H1039">
        <v>2.96</v>
      </c>
      <c r="I1039">
        <v>-11.67</v>
      </c>
      <c r="J1039">
        <v>17.38</v>
      </c>
      <c r="K1039">
        <v>4.82</v>
      </c>
      <c r="L1039">
        <v>-56.23</v>
      </c>
      <c r="M1039">
        <v>-1.26</v>
      </c>
      <c r="N1039">
        <v>20.67</v>
      </c>
    </row>
    <row r="1040" spans="1:14">
      <c r="A1040" s="2" t="s">
        <v>1068</v>
      </c>
      <c r="B1040" t="s">
        <v>4861</v>
      </c>
      <c r="C1040">
        <v>5.33</v>
      </c>
      <c r="D1040">
        <v>8.17</v>
      </c>
      <c r="E1040">
        <v>9.58</v>
      </c>
      <c r="F1040">
        <v>2.85</v>
      </c>
      <c r="G1040">
        <v>0.62</v>
      </c>
      <c r="H1040">
        <v>7.13</v>
      </c>
      <c r="I1040">
        <v>17.57</v>
      </c>
      <c r="J1040">
        <v>1.71</v>
      </c>
      <c r="K1040">
        <v>12.1</v>
      </c>
      <c r="L1040">
        <v>36.36</v>
      </c>
      <c r="M1040">
        <v>68.099999999999994</v>
      </c>
      <c r="N1040">
        <v>66.06</v>
      </c>
    </row>
    <row r="1041" spans="1:14">
      <c r="A1041" s="2" t="s">
        <v>1069</v>
      </c>
      <c r="B1041" t="s">
        <v>4862</v>
      </c>
      <c r="C1041">
        <v>7.35</v>
      </c>
      <c r="D1041">
        <v>-8.75</v>
      </c>
      <c r="E1041">
        <v>0.67</v>
      </c>
      <c r="F1041">
        <v>1.76</v>
      </c>
      <c r="G1041">
        <v>46.02</v>
      </c>
      <c r="H1041">
        <v>-16.18</v>
      </c>
      <c r="I1041">
        <v>-41.33</v>
      </c>
      <c r="J1041">
        <v>-47.7</v>
      </c>
      <c r="K1041">
        <v>-44.17</v>
      </c>
      <c r="L1041">
        <v>-48.35</v>
      </c>
      <c r="M1041">
        <v>-24.65</v>
      </c>
      <c r="N1041">
        <v>-18.29</v>
      </c>
    </row>
    <row r="1042" spans="1:14">
      <c r="A1042" s="2" t="s">
        <v>1070</v>
      </c>
      <c r="B1042" t="s">
        <v>4863</v>
      </c>
      <c r="C1042">
        <v>6.86</v>
      </c>
      <c r="D1042">
        <v>15.5</v>
      </c>
      <c r="E1042">
        <v>-12.5</v>
      </c>
      <c r="F1042">
        <v>31.83</v>
      </c>
      <c r="G1042">
        <v>-5.61</v>
      </c>
      <c r="H1042">
        <v>-7.03</v>
      </c>
      <c r="I1042">
        <v>-2.4500000000000002</v>
      </c>
      <c r="J1042">
        <v>-6.86</v>
      </c>
      <c r="K1042">
        <v>-11.94</v>
      </c>
      <c r="L1042">
        <v>39.96</v>
      </c>
      <c r="M1042">
        <v>-8.8800000000000008</v>
      </c>
      <c r="N1042">
        <v>1.33</v>
      </c>
    </row>
    <row r="1043" spans="1:14">
      <c r="A1043" s="2" t="s">
        <v>1071</v>
      </c>
      <c r="B1043" t="s">
        <v>4864</v>
      </c>
      <c r="C1043">
        <v>-2</v>
      </c>
      <c r="D1043">
        <v>1.82</v>
      </c>
      <c r="E1043">
        <v>0.51</v>
      </c>
      <c r="F1043">
        <v>-2.72</v>
      </c>
      <c r="G1043">
        <v>3.44</v>
      </c>
      <c r="H1043">
        <v>-1.89</v>
      </c>
      <c r="I1043">
        <v>-3.76</v>
      </c>
      <c r="J1043">
        <v>0.2</v>
      </c>
      <c r="K1043">
        <v>-4.78</v>
      </c>
      <c r="L1043">
        <v>-4.87</v>
      </c>
      <c r="M1043">
        <v>0.39</v>
      </c>
      <c r="N1043">
        <v>10.19</v>
      </c>
    </row>
    <row r="1044" spans="1:14">
      <c r="A1044" s="2" t="s">
        <v>1072</v>
      </c>
      <c r="B1044" t="s">
        <v>4865</v>
      </c>
      <c r="C1044">
        <v>-3.61</v>
      </c>
      <c r="D1044">
        <v>3.57</v>
      </c>
      <c r="E1044">
        <v>-13.95</v>
      </c>
      <c r="F1044">
        <v>-11.44</v>
      </c>
      <c r="G1044">
        <v>31.81</v>
      </c>
      <c r="H1044">
        <v>-7.53</v>
      </c>
      <c r="I1044">
        <v>-19.47</v>
      </c>
      <c r="J1044">
        <v>-10.69</v>
      </c>
      <c r="K1044">
        <v>-17.95</v>
      </c>
      <c r="L1044">
        <v>-27.79</v>
      </c>
      <c r="M1044">
        <v>-24.26</v>
      </c>
      <c r="N1044">
        <v>-21.59</v>
      </c>
    </row>
    <row r="1045" spans="1:14">
      <c r="A1045" s="2" t="s">
        <v>1073</v>
      </c>
      <c r="B1045" t="s">
        <v>4866</v>
      </c>
      <c r="C1045">
        <v>14.87</v>
      </c>
      <c r="D1045">
        <v>70.510000000000005</v>
      </c>
      <c r="E1045">
        <v>38.74</v>
      </c>
      <c r="F1045">
        <v>28.36</v>
      </c>
      <c r="G1045">
        <v>38.44</v>
      </c>
      <c r="H1045">
        <v>-41.97</v>
      </c>
      <c r="I1045">
        <v>-23.49</v>
      </c>
      <c r="J1045">
        <v>39.090000000000003</v>
      </c>
      <c r="K1045">
        <v>69.83</v>
      </c>
      <c r="L1045">
        <v>153.9</v>
      </c>
      <c r="M1045">
        <v>224.6</v>
      </c>
      <c r="N1045">
        <v>228.67</v>
      </c>
    </row>
    <row r="1046" spans="1:14">
      <c r="A1046" s="2" t="s">
        <v>1074</v>
      </c>
      <c r="B1046" t="s">
        <v>4867</v>
      </c>
      <c r="C1046">
        <v>95.79</v>
      </c>
      <c r="D1046">
        <v>-50.89</v>
      </c>
      <c r="E1046">
        <v>-20.34</v>
      </c>
      <c r="F1046">
        <v>13.96</v>
      </c>
      <c r="G1046">
        <v>50</v>
      </c>
      <c r="H1046">
        <v>-21.91</v>
      </c>
      <c r="I1046">
        <v>27.54</v>
      </c>
      <c r="J1046">
        <v>-43.9</v>
      </c>
      <c r="K1046">
        <v>-50.08</v>
      </c>
      <c r="L1046">
        <v>-44.46</v>
      </c>
      <c r="M1046">
        <v>-8.49</v>
      </c>
      <c r="N1046">
        <v>51.15</v>
      </c>
    </row>
    <row r="1047" spans="1:14">
      <c r="A1047" s="2" t="s">
        <v>1075</v>
      </c>
      <c r="B1047" t="s">
        <v>4868</v>
      </c>
      <c r="C1047">
        <v>-9.1</v>
      </c>
      <c r="D1047">
        <v>23.38</v>
      </c>
      <c r="E1047">
        <v>12.48</v>
      </c>
      <c r="F1047">
        <v>-13.32</v>
      </c>
      <c r="G1047">
        <v>-6.62</v>
      </c>
      <c r="H1047">
        <v>27.93</v>
      </c>
      <c r="I1047">
        <v>2.29</v>
      </c>
      <c r="J1047">
        <v>21.96</v>
      </c>
      <c r="K1047">
        <v>14.25</v>
      </c>
      <c r="L1047">
        <v>35.04</v>
      </c>
      <c r="M1047">
        <v>29.17</v>
      </c>
      <c r="N1047">
        <v>43.41</v>
      </c>
    </row>
    <row r="1048" spans="1:14">
      <c r="A1048" s="2" t="s">
        <v>1076</v>
      </c>
      <c r="B1048" t="s">
        <v>4869</v>
      </c>
      <c r="C1048">
        <v>210.28</v>
      </c>
      <c r="D1048">
        <v>2.52</v>
      </c>
      <c r="E1048">
        <v>0.95</v>
      </c>
      <c r="F1048">
        <v>-3.52</v>
      </c>
      <c r="G1048">
        <v>16.02</v>
      </c>
      <c r="I1048">
        <v>256.54000000000002</v>
      </c>
      <c r="J1048">
        <v>295.10000000000002</v>
      </c>
      <c r="K1048">
        <v>237.36</v>
      </c>
      <c r="L1048">
        <v>220.94</v>
      </c>
      <c r="M1048">
        <v>262.83</v>
      </c>
    </row>
    <row r="1049" spans="1:14">
      <c r="A1049" s="2" t="s">
        <v>1077</v>
      </c>
      <c r="B1049" t="s">
        <v>4870</v>
      </c>
      <c r="C1049">
        <v>13.96</v>
      </c>
      <c r="D1049">
        <v>-25</v>
      </c>
      <c r="E1049">
        <v>17.239999999999998</v>
      </c>
      <c r="F1049">
        <v>17.329999999999998</v>
      </c>
      <c r="G1049">
        <v>-24.82</v>
      </c>
      <c r="I1049">
        <v>10.210000000000001</v>
      </c>
      <c r="J1049">
        <v>18.71</v>
      </c>
      <c r="K1049">
        <v>7.52</v>
      </c>
      <c r="L1049">
        <v>18.09</v>
      </c>
      <c r="M1049">
        <v>-10.53</v>
      </c>
    </row>
    <row r="1050" spans="1:14">
      <c r="A1050" s="2" t="s">
        <v>1078</v>
      </c>
      <c r="B1050" t="s">
        <v>4871</v>
      </c>
      <c r="C1050">
        <v>-31.47</v>
      </c>
      <c r="D1050">
        <v>223.1</v>
      </c>
      <c r="E1050">
        <v>-54.3</v>
      </c>
      <c r="F1050">
        <v>-9.08</v>
      </c>
      <c r="G1050">
        <v>205.64</v>
      </c>
      <c r="I1050">
        <v>-51.71</v>
      </c>
      <c r="J1050">
        <v>-9.93</v>
      </c>
      <c r="K1050">
        <v>-7.39</v>
      </c>
      <c r="L1050">
        <v>-8.33</v>
      </c>
      <c r="M1050">
        <v>-15</v>
      </c>
    </row>
    <row r="1051" spans="1:14">
      <c r="A1051" s="2" t="s">
        <v>1079</v>
      </c>
      <c r="B1051" t="s">
        <v>4872</v>
      </c>
      <c r="C1051">
        <v>-4.66</v>
      </c>
      <c r="D1051">
        <v>66.3</v>
      </c>
      <c r="E1051">
        <v>-24.68</v>
      </c>
      <c r="F1051">
        <v>-13.79</v>
      </c>
      <c r="G1051">
        <v>-27.78</v>
      </c>
      <c r="I1051">
        <v>-10.64</v>
      </c>
      <c r="J1051">
        <v>37.619999999999997</v>
      </c>
      <c r="K1051">
        <v>-9.2100000000000009</v>
      </c>
      <c r="L1051">
        <v>-17.489999999999998</v>
      </c>
      <c r="M1051">
        <v>13.33</v>
      </c>
    </row>
    <row r="1052" spans="1:14">
      <c r="A1052" s="2" t="s">
        <v>1080</v>
      </c>
      <c r="B1052" t="s">
        <v>4873</v>
      </c>
      <c r="C1052">
        <v>-2.17</v>
      </c>
      <c r="D1052">
        <v>-0.25</v>
      </c>
      <c r="E1052">
        <v>-40.28</v>
      </c>
      <c r="F1052">
        <v>64.86</v>
      </c>
      <c r="G1052">
        <v>-33.630000000000003</v>
      </c>
      <c r="H1052">
        <v>32.56</v>
      </c>
      <c r="I1052">
        <v>88.67</v>
      </c>
      <c r="J1052">
        <v>63.37</v>
      </c>
      <c r="K1052">
        <v>513.67999999999995</v>
      </c>
      <c r="L1052">
        <v>590.41999999999996</v>
      </c>
      <c r="M1052">
        <v>-51.55</v>
      </c>
      <c r="N1052">
        <v>166.92</v>
      </c>
    </row>
    <row r="1053" spans="1:14">
      <c r="A1053" s="2" t="s">
        <v>1081</v>
      </c>
      <c r="B1053" t="s">
        <v>4874</v>
      </c>
      <c r="C1053">
        <v>2.48</v>
      </c>
      <c r="D1053">
        <v>22.16</v>
      </c>
      <c r="E1053">
        <v>9.39</v>
      </c>
      <c r="F1053">
        <v>-6.52</v>
      </c>
      <c r="G1053">
        <v>9.9700000000000006</v>
      </c>
      <c r="I1053">
        <v>6.88</v>
      </c>
      <c r="J1053">
        <v>10.56</v>
      </c>
      <c r="K1053">
        <v>12.07</v>
      </c>
      <c r="L1053">
        <v>10.5</v>
      </c>
      <c r="M1053">
        <v>13.5</v>
      </c>
    </row>
    <row r="1054" spans="1:14">
      <c r="A1054" s="2" t="s">
        <v>1082</v>
      </c>
      <c r="B1054" t="s">
        <v>4875</v>
      </c>
      <c r="C1054">
        <v>-29.02</v>
      </c>
      <c r="D1054">
        <v>0.95</v>
      </c>
      <c r="E1054">
        <v>31.6</v>
      </c>
      <c r="F1054">
        <v>-14.39</v>
      </c>
      <c r="G1054">
        <v>14.63</v>
      </c>
      <c r="H1054">
        <v>14.85</v>
      </c>
      <c r="I1054">
        <v>-1.83</v>
      </c>
      <c r="J1054">
        <v>31.33</v>
      </c>
      <c r="K1054">
        <v>12.32</v>
      </c>
      <c r="L1054">
        <v>47.23</v>
      </c>
      <c r="M1054">
        <v>9.4</v>
      </c>
      <c r="N1054">
        <v>38.119999999999997</v>
      </c>
    </row>
    <row r="1055" spans="1:14">
      <c r="A1055" s="2" t="s">
        <v>1083</v>
      </c>
      <c r="B1055" t="s">
        <v>4876</v>
      </c>
      <c r="C1055">
        <v>-9.69</v>
      </c>
      <c r="D1055">
        <v>25.45</v>
      </c>
      <c r="E1055">
        <v>-18.66</v>
      </c>
      <c r="F1055">
        <v>4.66</v>
      </c>
      <c r="G1055">
        <v>21.48</v>
      </c>
      <c r="H1055">
        <v>-17.32</v>
      </c>
      <c r="I1055">
        <v>-49.96</v>
      </c>
      <c r="J1055">
        <v>-19.05</v>
      </c>
      <c r="K1055">
        <v>-46.39</v>
      </c>
      <c r="L1055">
        <v>-42.8</v>
      </c>
      <c r="M1055">
        <v>-34.36</v>
      </c>
      <c r="N1055">
        <v>-34.42</v>
      </c>
    </row>
    <row r="1056" spans="1:14">
      <c r="A1056" s="2" t="s">
        <v>1084</v>
      </c>
      <c r="B1056" t="s">
        <v>4877</v>
      </c>
      <c r="C1056">
        <v>-86.36</v>
      </c>
      <c r="D1056">
        <v>-73.709999999999994</v>
      </c>
      <c r="E1056">
        <v>-90.38</v>
      </c>
      <c r="F1056">
        <v>486</v>
      </c>
      <c r="G1056">
        <v>-99.99</v>
      </c>
      <c r="H1056">
        <v>-100</v>
      </c>
      <c r="I1056">
        <v>176.18</v>
      </c>
      <c r="J1056">
        <v>-98.31</v>
      </c>
      <c r="K1056">
        <v>393.79</v>
      </c>
      <c r="L1056">
        <v>474.18</v>
      </c>
      <c r="M1056">
        <v>-100</v>
      </c>
      <c r="N1056">
        <v>-100</v>
      </c>
    </row>
    <row r="1057" spans="1:14">
      <c r="A1057" s="2" t="s">
        <v>1085</v>
      </c>
      <c r="B1057" t="s">
        <v>4878</v>
      </c>
      <c r="C1057">
        <v>15.87</v>
      </c>
      <c r="D1057">
        <v>-2.85</v>
      </c>
      <c r="E1057">
        <v>-13.64</v>
      </c>
      <c r="F1057">
        <v>-7.23</v>
      </c>
      <c r="G1057">
        <v>3.89</v>
      </c>
      <c r="I1057">
        <v>48.53</v>
      </c>
      <c r="J1057">
        <v>1.23</v>
      </c>
      <c r="K1057">
        <v>16.91</v>
      </c>
      <c r="L1057">
        <v>-48.62</v>
      </c>
      <c r="M1057">
        <v>-42.37</v>
      </c>
    </row>
    <row r="1058" spans="1:14">
      <c r="A1058" s="2" t="s">
        <v>1086</v>
      </c>
      <c r="B1058" t="s">
        <v>4879</v>
      </c>
      <c r="C1058">
        <v>34.25</v>
      </c>
      <c r="D1058">
        <v>-24.22</v>
      </c>
      <c r="E1058">
        <v>-13.12</v>
      </c>
      <c r="F1058">
        <v>7.12</v>
      </c>
      <c r="G1058">
        <v>-18.739999999999998</v>
      </c>
      <c r="H1058">
        <v>19.600000000000001</v>
      </c>
      <c r="I1058">
        <v>-93.21</v>
      </c>
      <c r="J1058">
        <v>-92.45</v>
      </c>
      <c r="K1058">
        <v>-89.84</v>
      </c>
      <c r="L1058">
        <v>-90.99</v>
      </c>
      <c r="M1058">
        <v>-90.06</v>
      </c>
      <c r="N1058">
        <v>-60.42</v>
      </c>
    </row>
    <row r="1059" spans="1:14">
      <c r="A1059" s="2" t="s">
        <v>1087</v>
      </c>
      <c r="B1059" t="s">
        <v>4880</v>
      </c>
      <c r="C1059">
        <v>-7.14</v>
      </c>
      <c r="D1059">
        <v>0.46</v>
      </c>
      <c r="E1059">
        <v>-9.4499999999999993</v>
      </c>
      <c r="F1059">
        <v>-3.23</v>
      </c>
      <c r="G1059">
        <v>0.18</v>
      </c>
      <c r="H1059">
        <v>-52.99</v>
      </c>
      <c r="I1059">
        <v>30.37</v>
      </c>
      <c r="J1059">
        <v>11.96</v>
      </c>
      <c r="K1059">
        <v>-0.22</v>
      </c>
      <c r="L1059">
        <v>-4.28</v>
      </c>
      <c r="M1059">
        <v>-6.47</v>
      </c>
      <c r="N1059">
        <v>-60.86</v>
      </c>
    </row>
    <row r="1060" spans="1:14">
      <c r="A1060" s="2" t="s">
        <v>1088</v>
      </c>
      <c r="B1060" t="s">
        <v>4881</v>
      </c>
      <c r="C1060">
        <v>13.17</v>
      </c>
      <c r="D1060">
        <v>14.36</v>
      </c>
      <c r="E1060">
        <v>14.85</v>
      </c>
      <c r="F1060">
        <v>4.7699999999999996</v>
      </c>
      <c r="G1060">
        <v>-13.3</v>
      </c>
      <c r="H1060">
        <v>10.119999999999999</v>
      </c>
      <c r="I1060">
        <v>2.4</v>
      </c>
      <c r="J1060">
        <v>11.91</v>
      </c>
      <c r="K1060">
        <v>55.92</v>
      </c>
      <c r="L1060">
        <v>26.95</v>
      </c>
      <c r="M1060">
        <v>3.01</v>
      </c>
      <c r="N1060">
        <v>11.79</v>
      </c>
    </row>
    <row r="1061" spans="1:14">
      <c r="A1061" s="2" t="s">
        <v>1089</v>
      </c>
      <c r="B1061" t="s">
        <v>4882</v>
      </c>
      <c r="C1061">
        <v>-4.99</v>
      </c>
      <c r="D1061">
        <v>6.74</v>
      </c>
      <c r="E1061">
        <v>1.85</v>
      </c>
      <c r="F1061">
        <v>-17.97</v>
      </c>
      <c r="G1061">
        <v>7.33</v>
      </c>
      <c r="H1061">
        <v>24.39</v>
      </c>
      <c r="I1061">
        <v>-9.4700000000000006</v>
      </c>
      <c r="J1061">
        <v>1.21</v>
      </c>
      <c r="K1061">
        <v>19.16</v>
      </c>
      <c r="L1061">
        <v>0.88</v>
      </c>
      <c r="M1061">
        <v>21.83</v>
      </c>
      <c r="N1061">
        <v>42.91</v>
      </c>
    </row>
    <row r="1062" spans="1:14">
      <c r="A1062" s="2" t="s">
        <v>1090</v>
      </c>
      <c r="B1062" t="s">
        <v>4883</v>
      </c>
      <c r="C1062">
        <v>33</v>
      </c>
      <c r="D1062">
        <v>15.82</v>
      </c>
      <c r="E1062">
        <v>-5.7</v>
      </c>
      <c r="F1062">
        <v>7.22</v>
      </c>
      <c r="G1062">
        <v>13.73</v>
      </c>
      <c r="H1062">
        <v>-24.85</v>
      </c>
      <c r="I1062">
        <v>-7.99</v>
      </c>
      <c r="J1062">
        <v>32.18</v>
      </c>
      <c r="K1062">
        <v>16.260000000000002</v>
      </c>
      <c r="L1062">
        <v>51.63</v>
      </c>
      <c r="M1062">
        <v>37.299999999999997</v>
      </c>
      <c r="N1062">
        <v>9.7899999999999991</v>
      </c>
    </row>
    <row r="1063" spans="1:14">
      <c r="A1063" s="2" t="s">
        <v>1091</v>
      </c>
      <c r="B1063" t="s">
        <v>4884</v>
      </c>
      <c r="C1063">
        <v>-5.23</v>
      </c>
      <c r="D1063">
        <v>17.2</v>
      </c>
      <c r="E1063">
        <v>-13.29</v>
      </c>
      <c r="F1063">
        <v>0.13</v>
      </c>
      <c r="G1063">
        <v>7.18</v>
      </c>
      <c r="H1063">
        <v>0.27</v>
      </c>
      <c r="I1063">
        <v>-13.98</v>
      </c>
      <c r="J1063">
        <v>-2.4900000000000002</v>
      </c>
      <c r="K1063">
        <v>-0.89</v>
      </c>
      <c r="L1063">
        <v>-3.91</v>
      </c>
      <c r="M1063">
        <v>-4.51</v>
      </c>
      <c r="N1063">
        <v>0.52</v>
      </c>
    </row>
    <row r="1064" spans="1:14">
      <c r="A1064" s="2" t="s">
        <v>1092</v>
      </c>
      <c r="B1064" t="s">
        <v>4885</v>
      </c>
      <c r="C1064">
        <v>4.6500000000000004</v>
      </c>
      <c r="D1064">
        <v>1.44</v>
      </c>
      <c r="E1064">
        <v>-5.21</v>
      </c>
      <c r="F1064">
        <v>-0.19</v>
      </c>
      <c r="G1064">
        <v>-0.21</v>
      </c>
      <c r="H1064">
        <v>-0.32</v>
      </c>
      <c r="I1064">
        <v>16.05</v>
      </c>
      <c r="J1064">
        <v>21.51</v>
      </c>
      <c r="K1064">
        <v>23.94</v>
      </c>
      <c r="L1064">
        <v>14.96</v>
      </c>
      <c r="M1064">
        <v>33.83</v>
      </c>
      <c r="N1064">
        <v>33.47</v>
      </c>
    </row>
    <row r="1065" spans="1:14">
      <c r="A1065" s="2" t="s">
        <v>1093</v>
      </c>
      <c r="B1065" t="s">
        <v>4886</v>
      </c>
      <c r="C1065">
        <v>0.08</v>
      </c>
      <c r="D1065">
        <v>-26.01</v>
      </c>
      <c r="E1065">
        <v>-24.39</v>
      </c>
      <c r="F1065">
        <v>-25.78</v>
      </c>
      <c r="G1065">
        <v>120.79</v>
      </c>
      <c r="H1065">
        <v>23.91</v>
      </c>
      <c r="I1065">
        <v>143.11000000000001</v>
      </c>
      <c r="J1065">
        <v>-15.2</v>
      </c>
      <c r="K1065">
        <v>-30.89</v>
      </c>
      <c r="L1065">
        <v>-44.2</v>
      </c>
      <c r="M1065">
        <v>-29.68</v>
      </c>
      <c r="N1065">
        <v>41.14</v>
      </c>
    </row>
    <row r="1066" spans="1:14">
      <c r="A1066" s="2" t="s">
        <v>1094</v>
      </c>
      <c r="B1066" t="s">
        <v>4887</v>
      </c>
      <c r="C1066">
        <v>1.02</v>
      </c>
      <c r="D1066">
        <v>-12.65</v>
      </c>
      <c r="E1066">
        <v>2.38</v>
      </c>
      <c r="F1066">
        <v>-6.44</v>
      </c>
      <c r="G1066">
        <v>6.96</v>
      </c>
      <c r="H1066">
        <v>2.84</v>
      </c>
      <c r="I1066">
        <v>-7.58</v>
      </c>
      <c r="J1066">
        <v>-9.99</v>
      </c>
      <c r="K1066">
        <v>-10.07</v>
      </c>
      <c r="L1066">
        <v>-19.63</v>
      </c>
      <c r="M1066">
        <v>-9.81</v>
      </c>
      <c r="N1066">
        <v>-9.6199999999999992</v>
      </c>
    </row>
    <row r="1067" spans="1:14">
      <c r="A1067" s="2" t="s">
        <v>1095</v>
      </c>
      <c r="B1067" t="s">
        <v>4888</v>
      </c>
      <c r="C1067">
        <v>-5.33</v>
      </c>
      <c r="D1067">
        <v>43.96</v>
      </c>
      <c r="E1067">
        <v>-33.51</v>
      </c>
      <c r="F1067">
        <v>3.32</v>
      </c>
      <c r="G1067">
        <v>-21.45</v>
      </c>
      <c r="H1067">
        <v>73.98</v>
      </c>
      <c r="I1067">
        <v>-44.65</v>
      </c>
      <c r="J1067">
        <v>-18.13</v>
      </c>
      <c r="K1067">
        <v>-22.61</v>
      </c>
      <c r="L1067">
        <v>-16.010000000000002</v>
      </c>
      <c r="M1067">
        <v>-34.79</v>
      </c>
      <c r="N1067">
        <v>-4.28</v>
      </c>
    </row>
    <row r="1068" spans="1:14">
      <c r="A1068" s="2" t="s">
        <v>1096</v>
      </c>
      <c r="B1068" t="s">
        <v>4889</v>
      </c>
      <c r="C1068">
        <v>26.57</v>
      </c>
      <c r="D1068">
        <v>-29.85</v>
      </c>
      <c r="E1068">
        <v>69.97</v>
      </c>
      <c r="F1068">
        <v>6.89</v>
      </c>
      <c r="G1068">
        <v>-12.52</v>
      </c>
      <c r="H1068">
        <v>18.66</v>
      </c>
      <c r="I1068">
        <v>37.86</v>
      </c>
      <c r="J1068">
        <v>-9.74</v>
      </c>
      <c r="K1068">
        <v>61.89</v>
      </c>
      <c r="L1068">
        <v>133.15</v>
      </c>
      <c r="M1068">
        <v>92.94</v>
      </c>
      <c r="N1068">
        <v>42.29</v>
      </c>
    </row>
    <row r="1069" spans="1:14">
      <c r="A1069" s="2" t="s">
        <v>1097</v>
      </c>
      <c r="B1069" t="s">
        <v>4890</v>
      </c>
      <c r="C1069">
        <v>-9.25</v>
      </c>
      <c r="D1069">
        <v>4.72</v>
      </c>
      <c r="E1069">
        <v>-15.61</v>
      </c>
      <c r="F1069">
        <v>9.92</v>
      </c>
      <c r="G1069">
        <v>12.02</v>
      </c>
      <c r="H1069">
        <v>1.35</v>
      </c>
      <c r="I1069">
        <v>-7.59</v>
      </c>
      <c r="J1069">
        <v>7.59</v>
      </c>
      <c r="K1069">
        <v>-23.57</v>
      </c>
      <c r="L1069">
        <v>-17.77</v>
      </c>
      <c r="M1069">
        <v>-13.89</v>
      </c>
      <c r="N1069">
        <v>21.27</v>
      </c>
    </row>
    <row r="1070" spans="1:14">
      <c r="A1070" s="2" t="s">
        <v>1098</v>
      </c>
      <c r="B1070" t="s">
        <v>4891</v>
      </c>
      <c r="C1070">
        <v>29.39</v>
      </c>
      <c r="D1070">
        <v>65.84</v>
      </c>
      <c r="E1070">
        <v>-55.31</v>
      </c>
      <c r="F1070">
        <v>83.01</v>
      </c>
      <c r="G1070">
        <v>-22.71</v>
      </c>
      <c r="I1070">
        <v>-49.1</v>
      </c>
      <c r="J1070">
        <v>11.76</v>
      </c>
      <c r="K1070">
        <v>-7.31</v>
      </c>
      <c r="L1070">
        <v>-8.3699999999999992</v>
      </c>
      <c r="M1070">
        <v>33.729999999999997</v>
      </c>
    </row>
    <row r="1071" spans="1:14">
      <c r="A1071" s="2" t="s">
        <v>1099</v>
      </c>
      <c r="B1071" t="s">
        <v>4892</v>
      </c>
      <c r="C1071">
        <v>3.25</v>
      </c>
      <c r="D1071">
        <v>-10.17</v>
      </c>
      <c r="E1071">
        <v>-25.08</v>
      </c>
      <c r="F1071">
        <v>11.73</v>
      </c>
      <c r="G1071">
        <v>11.96</v>
      </c>
      <c r="H1071">
        <v>0.8</v>
      </c>
      <c r="I1071">
        <v>-29.98</v>
      </c>
      <c r="J1071">
        <v>-25.3</v>
      </c>
      <c r="K1071">
        <v>-39.17</v>
      </c>
      <c r="L1071">
        <v>-42.43</v>
      </c>
      <c r="M1071">
        <v>-28.79</v>
      </c>
      <c r="N1071">
        <v>-10.59</v>
      </c>
    </row>
    <row r="1072" spans="1:14">
      <c r="A1072" s="2" t="s">
        <v>1100</v>
      </c>
      <c r="B1072" t="s">
        <v>4893</v>
      </c>
      <c r="C1072">
        <v>-14.6</v>
      </c>
      <c r="D1072">
        <v>74.52</v>
      </c>
      <c r="E1072">
        <v>2.54</v>
      </c>
      <c r="F1072">
        <v>-13.6</v>
      </c>
      <c r="G1072">
        <v>-1.87</v>
      </c>
      <c r="H1072">
        <v>-7.74</v>
      </c>
      <c r="I1072">
        <v>-25.55</v>
      </c>
      <c r="J1072">
        <v>5.17</v>
      </c>
      <c r="K1072">
        <v>-0.82</v>
      </c>
      <c r="L1072">
        <v>-3.74</v>
      </c>
      <c r="M1072">
        <v>-2.4900000000000002</v>
      </c>
      <c r="N1072">
        <v>-12.5</v>
      </c>
    </row>
    <row r="1073" spans="1:14">
      <c r="A1073" s="2" t="s">
        <v>1101</v>
      </c>
      <c r="B1073" t="s">
        <v>4894</v>
      </c>
      <c r="C1073">
        <v>-2.76</v>
      </c>
      <c r="D1073">
        <v>12.47</v>
      </c>
      <c r="E1073">
        <v>-16.39</v>
      </c>
      <c r="F1073">
        <v>5.86</v>
      </c>
      <c r="G1073">
        <v>1.8</v>
      </c>
      <c r="H1073">
        <v>7.03</v>
      </c>
      <c r="I1073">
        <v>-15.49</v>
      </c>
      <c r="J1073">
        <v>-1.78</v>
      </c>
      <c r="K1073">
        <v>-4.8499999999999996</v>
      </c>
      <c r="L1073">
        <v>-9.36</v>
      </c>
      <c r="M1073">
        <v>-2.89</v>
      </c>
      <c r="N1073">
        <v>18.850000000000001</v>
      </c>
    </row>
    <row r="1074" spans="1:14">
      <c r="A1074" s="2" t="s">
        <v>1102</v>
      </c>
      <c r="B1074" t="s">
        <v>4895</v>
      </c>
      <c r="C1074">
        <v>-5.04</v>
      </c>
      <c r="D1074">
        <v>13.36</v>
      </c>
      <c r="E1074">
        <v>-2.11</v>
      </c>
      <c r="F1074">
        <v>14.56</v>
      </c>
      <c r="G1074">
        <v>-10.32</v>
      </c>
      <c r="H1074">
        <v>-0.18</v>
      </c>
      <c r="I1074">
        <v>-2.37</v>
      </c>
      <c r="J1074">
        <v>23.65</v>
      </c>
      <c r="K1074">
        <v>21.39</v>
      </c>
      <c r="L1074">
        <v>29.29</v>
      </c>
      <c r="M1074">
        <v>2.99</v>
      </c>
      <c r="N1074">
        <v>22.94</v>
      </c>
    </row>
    <row r="1075" spans="1:14">
      <c r="A1075" s="2" t="s">
        <v>1103</v>
      </c>
      <c r="B1075" t="s">
        <v>4896</v>
      </c>
      <c r="C1075">
        <v>1.19</v>
      </c>
      <c r="D1075">
        <v>36.03</v>
      </c>
      <c r="E1075">
        <v>-4.08</v>
      </c>
      <c r="F1075">
        <v>2.6</v>
      </c>
      <c r="G1075">
        <v>-8.16</v>
      </c>
      <c r="I1075">
        <v>1.24</v>
      </c>
      <c r="J1075">
        <v>25.07</v>
      </c>
      <c r="K1075">
        <v>30.37</v>
      </c>
      <c r="L1075">
        <v>25.33</v>
      </c>
      <c r="M1075">
        <v>17.75</v>
      </c>
    </row>
    <row r="1076" spans="1:14">
      <c r="A1076" s="2" t="s">
        <v>1104</v>
      </c>
      <c r="B1076" t="s">
        <v>4897</v>
      </c>
      <c r="C1076">
        <v>35.479999999999997</v>
      </c>
      <c r="D1076">
        <v>-14.46</v>
      </c>
      <c r="E1076">
        <v>-9.1300000000000008</v>
      </c>
      <c r="F1076">
        <v>-7.22</v>
      </c>
      <c r="G1076">
        <v>-23.78</v>
      </c>
      <c r="I1076">
        <v>1769.59</v>
      </c>
      <c r="J1076">
        <v>1602.1</v>
      </c>
      <c r="K1076">
        <v>402.39</v>
      </c>
      <c r="L1076">
        <v>341.21</v>
      </c>
      <c r="M1076">
        <v>251.95</v>
      </c>
    </row>
    <row r="1077" spans="1:14">
      <c r="A1077" s="2" t="s">
        <v>1105</v>
      </c>
      <c r="B1077" t="s">
        <v>4898</v>
      </c>
      <c r="C1077">
        <v>-18.63</v>
      </c>
      <c r="D1077">
        <v>36.39</v>
      </c>
      <c r="E1077">
        <v>8.91</v>
      </c>
      <c r="F1077">
        <v>-13.47</v>
      </c>
      <c r="G1077">
        <v>1.05</v>
      </c>
      <c r="H1077">
        <v>12</v>
      </c>
      <c r="I1077">
        <v>-12.47</v>
      </c>
      <c r="J1077">
        <v>-9.4</v>
      </c>
      <c r="K1077">
        <v>17.37</v>
      </c>
      <c r="L1077">
        <v>-8.65</v>
      </c>
      <c r="M1077">
        <v>5.79</v>
      </c>
      <c r="N1077">
        <v>27.85</v>
      </c>
    </row>
    <row r="1078" spans="1:14">
      <c r="A1078" s="2" t="s">
        <v>1106</v>
      </c>
      <c r="B1078" t="s">
        <v>4899</v>
      </c>
      <c r="C1078">
        <v>-7.24</v>
      </c>
      <c r="D1078">
        <v>1.24</v>
      </c>
      <c r="E1078">
        <v>4.3099999999999996</v>
      </c>
      <c r="F1078">
        <v>3.83</v>
      </c>
      <c r="G1078">
        <v>-4.71</v>
      </c>
      <c r="H1078">
        <v>11.14</v>
      </c>
      <c r="I1078">
        <v>86070</v>
      </c>
      <c r="J1078">
        <v>-10.4</v>
      </c>
      <c r="K1078">
        <v>-6.9</v>
      </c>
      <c r="L1078">
        <v>-0.77</v>
      </c>
      <c r="M1078">
        <v>4.1100000000000003</v>
      </c>
      <c r="N1078">
        <v>12.81</v>
      </c>
    </row>
    <row r="1079" spans="1:14">
      <c r="A1079" s="2" t="s">
        <v>1107</v>
      </c>
      <c r="B1079" t="s">
        <v>4900</v>
      </c>
      <c r="C1079">
        <v>-5.08</v>
      </c>
      <c r="D1079">
        <v>-0.56000000000000005</v>
      </c>
      <c r="E1079">
        <v>-3.83</v>
      </c>
      <c r="F1079">
        <v>-0.94</v>
      </c>
      <c r="G1079">
        <v>-2.35</v>
      </c>
      <c r="H1079">
        <v>-1.0900000000000001</v>
      </c>
      <c r="I1079">
        <v>6.64</v>
      </c>
      <c r="J1079">
        <v>4.46</v>
      </c>
      <c r="K1079">
        <v>0.97</v>
      </c>
      <c r="L1079">
        <v>8.94</v>
      </c>
      <c r="M1079">
        <v>2.41</v>
      </c>
      <c r="N1079">
        <v>-0.4</v>
      </c>
    </row>
    <row r="1080" spans="1:14">
      <c r="A1080" s="2" t="s">
        <v>1108</v>
      </c>
      <c r="B1080" t="s">
        <v>4901</v>
      </c>
      <c r="C1080">
        <v>-8.65</v>
      </c>
      <c r="D1080">
        <v>-1.67</v>
      </c>
      <c r="E1080">
        <v>1.71</v>
      </c>
      <c r="F1080">
        <v>-1.07</v>
      </c>
      <c r="G1080">
        <v>-3.4</v>
      </c>
      <c r="H1080">
        <v>4.5</v>
      </c>
      <c r="I1080">
        <v>-29.41</v>
      </c>
      <c r="J1080">
        <v>-15.77</v>
      </c>
      <c r="K1080">
        <v>-12.28</v>
      </c>
      <c r="L1080">
        <v>2.4</v>
      </c>
      <c r="M1080">
        <v>3.7</v>
      </c>
      <c r="N1080">
        <v>29.21</v>
      </c>
    </row>
    <row r="1081" spans="1:14">
      <c r="A1081" s="2" t="s">
        <v>1109</v>
      </c>
      <c r="B1081" t="s">
        <v>4902</v>
      </c>
      <c r="C1081">
        <v>3.07</v>
      </c>
      <c r="D1081">
        <v>6.41</v>
      </c>
      <c r="E1081">
        <v>-4.1500000000000004</v>
      </c>
      <c r="F1081">
        <v>7.23</v>
      </c>
      <c r="G1081">
        <v>8.93</v>
      </c>
      <c r="H1081">
        <v>-2.85</v>
      </c>
      <c r="I1081">
        <v>12.85</v>
      </c>
      <c r="J1081">
        <v>19.079999999999998</v>
      </c>
      <c r="K1081">
        <v>13.2</v>
      </c>
      <c r="L1081">
        <v>18.05</v>
      </c>
      <c r="M1081">
        <v>28.47</v>
      </c>
      <c r="N1081">
        <v>34.67</v>
      </c>
    </row>
    <row r="1082" spans="1:14">
      <c r="A1082" s="2" t="s">
        <v>1110</v>
      </c>
      <c r="B1082" t="s">
        <v>4903</v>
      </c>
      <c r="C1082">
        <v>5.97</v>
      </c>
      <c r="D1082">
        <v>-3.32</v>
      </c>
      <c r="E1082">
        <v>-12.57</v>
      </c>
      <c r="F1082">
        <v>3.83</v>
      </c>
      <c r="G1082">
        <v>-6.96</v>
      </c>
      <c r="H1082">
        <v>20.71</v>
      </c>
      <c r="I1082">
        <v>14.5</v>
      </c>
      <c r="J1082">
        <v>-1.72</v>
      </c>
      <c r="K1082">
        <v>5.12</v>
      </c>
      <c r="L1082">
        <v>-2.75</v>
      </c>
      <c r="M1082">
        <v>-8.94</v>
      </c>
      <c r="N1082">
        <v>44.4</v>
      </c>
    </row>
    <row r="1083" spans="1:14">
      <c r="A1083" s="2" t="s">
        <v>1111</v>
      </c>
      <c r="B1083" t="s">
        <v>4904</v>
      </c>
      <c r="C1083">
        <v>9.73</v>
      </c>
      <c r="D1083">
        <v>32.15</v>
      </c>
      <c r="E1083">
        <v>0.34</v>
      </c>
      <c r="F1083">
        <v>-6.73</v>
      </c>
      <c r="G1083">
        <v>6.62</v>
      </c>
      <c r="H1083">
        <v>-29.8</v>
      </c>
      <c r="I1083">
        <v>-17.75</v>
      </c>
      <c r="J1083">
        <v>0.13</v>
      </c>
      <c r="K1083">
        <v>-7.28</v>
      </c>
      <c r="L1083">
        <v>-6.76</v>
      </c>
      <c r="M1083">
        <v>22.7</v>
      </c>
      <c r="N1083">
        <v>0.71</v>
      </c>
    </row>
    <row r="1084" spans="1:14">
      <c r="A1084" s="2" t="s">
        <v>1112</v>
      </c>
      <c r="B1084" t="s">
        <v>4905</v>
      </c>
      <c r="C1084">
        <v>-4.54</v>
      </c>
      <c r="D1084">
        <v>2.44</v>
      </c>
      <c r="E1084">
        <v>-1.42</v>
      </c>
      <c r="F1084">
        <v>1.76</v>
      </c>
      <c r="G1084">
        <v>13.47</v>
      </c>
      <c r="H1084">
        <v>-15.47</v>
      </c>
      <c r="I1084">
        <v>-12.5</v>
      </c>
      <c r="J1084">
        <v>0.73</v>
      </c>
      <c r="K1084">
        <v>4.88</v>
      </c>
      <c r="L1084">
        <v>1.67</v>
      </c>
      <c r="M1084">
        <v>3.95</v>
      </c>
      <c r="N1084">
        <v>5.99</v>
      </c>
    </row>
    <row r="1085" spans="1:14">
      <c r="A1085" s="2" t="s">
        <v>1113</v>
      </c>
      <c r="B1085" t="s">
        <v>4906</v>
      </c>
      <c r="C1085">
        <v>-5.0599999999999996</v>
      </c>
      <c r="D1085">
        <v>-1.37</v>
      </c>
      <c r="E1085">
        <v>-10.27</v>
      </c>
      <c r="F1085">
        <v>7.12</v>
      </c>
      <c r="G1085">
        <v>4.29</v>
      </c>
      <c r="H1085">
        <v>-3.04</v>
      </c>
      <c r="I1085">
        <v>-22</v>
      </c>
      <c r="J1085">
        <v>-22.26</v>
      </c>
      <c r="K1085">
        <v>-26.65</v>
      </c>
      <c r="L1085">
        <v>-23.22</v>
      </c>
      <c r="M1085">
        <v>-20.190000000000001</v>
      </c>
      <c r="N1085">
        <v>-3.17</v>
      </c>
    </row>
    <row r="1086" spans="1:14">
      <c r="A1086" s="2" t="s">
        <v>1114</v>
      </c>
      <c r="B1086" t="s">
        <v>4907</v>
      </c>
      <c r="C1086">
        <v>-6.43</v>
      </c>
      <c r="D1086">
        <v>23.89</v>
      </c>
      <c r="E1086">
        <v>-32.14</v>
      </c>
      <c r="F1086">
        <v>16.420000000000002</v>
      </c>
      <c r="G1086">
        <v>14.53</v>
      </c>
      <c r="H1086">
        <v>-12.57</v>
      </c>
      <c r="I1086">
        <v>-8.07</v>
      </c>
      <c r="J1086">
        <v>9.66</v>
      </c>
      <c r="K1086">
        <v>-15.21</v>
      </c>
      <c r="L1086">
        <v>-9.86</v>
      </c>
      <c r="M1086">
        <v>8.17</v>
      </c>
      <c r="N1086">
        <v>-10.45</v>
      </c>
    </row>
    <row r="1087" spans="1:14">
      <c r="A1087" s="2" t="s">
        <v>1115</v>
      </c>
      <c r="B1087" t="s">
        <v>4908</v>
      </c>
      <c r="C1087">
        <v>-26.85</v>
      </c>
      <c r="D1087">
        <v>107.79</v>
      </c>
      <c r="E1087">
        <v>-43.38</v>
      </c>
      <c r="F1087">
        <v>46.76</v>
      </c>
      <c r="G1087">
        <v>124.43</v>
      </c>
      <c r="H1087">
        <v>-3.86</v>
      </c>
      <c r="I1087">
        <v>-55.7</v>
      </c>
      <c r="J1087">
        <v>64.11</v>
      </c>
      <c r="K1087">
        <v>-7.8</v>
      </c>
      <c r="L1087">
        <v>78.63</v>
      </c>
      <c r="M1087">
        <v>211.28</v>
      </c>
      <c r="N1087">
        <v>112.73</v>
      </c>
    </row>
    <row r="1088" spans="1:14">
      <c r="A1088" s="2" t="s">
        <v>1116</v>
      </c>
      <c r="B1088" t="s">
        <v>4909</v>
      </c>
      <c r="C1088">
        <v>1.57</v>
      </c>
      <c r="D1088">
        <v>-0.08</v>
      </c>
      <c r="E1088">
        <v>-0.04</v>
      </c>
      <c r="F1088">
        <v>-5.99</v>
      </c>
      <c r="G1088">
        <v>0.46</v>
      </c>
      <c r="H1088">
        <v>5.9</v>
      </c>
      <c r="I1088">
        <v>10.130000000000001</v>
      </c>
      <c r="J1088">
        <v>6.95</v>
      </c>
      <c r="K1088">
        <v>10</v>
      </c>
      <c r="L1088">
        <v>3.41</v>
      </c>
      <c r="M1088">
        <v>4.67</v>
      </c>
      <c r="N1088">
        <v>37.520000000000003</v>
      </c>
    </row>
    <row r="1089" spans="1:14">
      <c r="A1089" s="2" t="s">
        <v>1117</v>
      </c>
      <c r="B1089" t="s">
        <v>4910</v>
      </c>
      <c r="C1089">
        <v>5.93</v>
      </c>
      <c r="D1089">
        <v>21.81</v>
      </c>
      <c r="E1089">
        <v>4.7</v>
      </c>
      <c r="F1089">
        <v>4.93</v>
      </c>
      <c r="G1089">
        <v>3.45</v>
      </c>
      <c r="H1089">
        <v>1.03</v>
      </c>
      <c r="I1089">
        <v>146.54</v>
      </c>
      <c r="J1089">
        <v>89.27</v>
      </c>
      <c r="K1089">
        <v>79.87</v>
      </c>
      <c r="L1089">
        <v>31.13</v>
      </c>
      <c r="M1089">
        <v>25.91</v>
      </c>
      <c r="N1089">
        <v>13.26</v>
      </c>
    </row>
    <row r="1090" spans="1:14">
      <c r="A1090" s="2" t="s">
        <v>1118</v>
      </c>
      <c r="B1090" t="s">
        <v>4911</v>
      </c>
      <c r="C1090">
        <v>-8.2899999999999991</v>
      </c>
      <c r="D1090">
        <v>12.08</v>
      </c>
      <c r="E1090">
        <v>-7.44</v>
      </c>
      <c r="F1090">
        <v>1.54</v>
      </c>
      <c r="G1090">
        <v>84.22</v>
      </c>
      <c r="H1090">
        <v>-27.7</v>
      </c>
      <c r="I1090">
        <v>-46.99</v>
      </c>
      <c r="J1090">
        <v>-35.42</v>
      </c>
      <c r="K1090">
        <v>-34.71</v>
      </c>
      <c r="L1090">
        <v>-34.67</v>
      </c>
      <c r="M1090">
        <v>-3.59</v>
      </c>
      <c r="N1090">
        <v>2.95</v>
      </c>
    </row>
    <row r="1091" spans="1:14">
      <c r="A1091" s="2" t="s">
        <v>1119</v>
      </c>
      <c r="B1091" t="s">
        <v>4912</v>
      </c>
      <c r="C1091">
        <v>7.22</v>
      </c>
      <c r="D1091">
        <v>4.9800000000000004</v>
      </c>
      <c r="E1091">
        <v>6.67</v>
      </c>
      <c r="F1091">
        <v>1.47</v>
      </c>
      <c r="G1091">
        <v>6.75</v>
      </c>
      <c r="H1091">
        <v>66.37</v>
      </c>
      <c r="I1091">
        <v>-10.82</v>
      </c>
      <c r="J1091">
        <v>18.100000000000001</v>
      </c>
      <c r="K1091">
        <v>-5.08</v>
      </c>
      <c r="L1091">
        <v>4.2699999999999996</v>
      </c>
      <c r="M1091">
        <v>-9.17</v>
      </c>
      <c r="N1091">
        <v>79.61</v>
      </c>
    </row>
    <row r="1092" spans="1:14">
      <c r="A1092" s="2" t="s">
        <v>1120</v>
      </c>
      <c r="B1092" t="s">
        <v>4913</v>
      </c>
      <c r="C1092">
        <v>-19.79</v>
      </c>
      <c r="D1092">
        <v>-8.76</v>
      </c>
      <c r="E1092">
        <v>-20.56</v>
      </c>
      <c r="F1092">
        <v>1.57</v>
      </c>
      <c r="G1092">
        <v>5.0999999999999996</v>
      </c>
      <c r="H1092">
        <v>56.38</v>
      </c>
      <c r="I1092">
        <v>-36.15</v>
      </c>
      <c r="J1092">
        <v>-34.31</v>
      </c>
      <c r="K1092">
        <v>-40.700000000000003</v>
      </c>
      <c r="L1092">
        <v>-43.51</v>
      </c>
      <c r="M1092">
        <v>-28.33</v>
      </c>
      <c r="N1092">
        <v>-6.99</v>
      </c>
    </row>
    <row r="1093" spans="1:14">
      <c r="A1093" s="2" t="s">
        <v>1121</v>
      </c>
      <c r="B1093" t="s">
        <v>4914</v>
      </c>
      <c r="C1093">
        <v>-0.68</v>
      </c>
      <c r="D1093">
        <v>-7.33</v>
      </c>
      <c r="E1093">
        <v>-1.3</v>
      </c>
      <c r="F1093">
        <v>-2.35</v>
      </c>
      <c r="G1093">
        <v>-5.35</v>
      </c>
      <c r="H1093">
        <v>17.350000000000001</v>
      </c>
      <c r="I1093">
        <v>-22.03</v>
      </c>
      <c r="J1093">
        <v>-12.47</v>
      </c>
      <c r="K1093">
        <v>-1.42</v>
      </c>
      <c r="L1093">
        <v>-0.51</v>
      </c>
      <c r="M1093">
        <v>-17.64</v>
      </c>
      <c r="N1093">
        <v>0.77</v>
      </c>
    </row>
    <row r="1094" spans="1:14">
      <c r="A1094" s="2" t="s">
        <v>1122</v>
      </c>
      <c r="B1094" t="s">
        <v>4915</v>
      </c>
      <c r="C1094">
        <v>31.7</v>
      </c>
      <c r="D1094">
        <v>1.78</v>
      </c>
      <c r="E1094">
        <v>-14.16</v>
      </c>
      <c r="F1094">
        <v>14.39</v>
      </c>
      <c r="G1094">
        <v>-38.15</v>
      </c>
      <c r="I1094">
        <v>-26.91</v>
      </c>
      <c r="J1094">
        <v>-25.63</v>
      </c>
      <c r="K1094">
        <v>-38.47</v>
      </c>
      <c r="L1094">
        <v>-30.38</v>
      </c>
      <c r="M1094">
        <v>-40.5</v>
      </c>
    </row>
    <row r="1095" spans="1:14">
      <c r="A1095" s="2" t="s">
        <v>1123</v>
      </c>
      <c r="B1095" t="s">
        <v>4916</v>
      </c>
      <c r="C1095">
        <v>2.2599999999999998</v>
      </c>
      <c r="D1095">
        <v>-26.83</v>
      </c>
      <c r="E1095">
        <v>9.5500000000000007</v>
      </c>
      <c r="F1095">
        <v>30.31</v>
      </c>
      <c r="G1095">
        <v>1.5</v>
      </c>
      <c r="H1095">
        <v>-2.09</v>
      </c>
      <c r="I1095">
        <v>24.48</v>
      </c>
      <c r="J1095">
        <v>-10.46</v>
      </c>
      <c r="K1095">
        <v>-3.39</v>
      </c>
      <c r="L1095">
        <v>13.13</v>
      </c>
      <c r="M1095">
        <v>19.690000000000001</v>
      </c>
      <c r="N1095">
        <v>26.83</v>
      </c>
    </row>
    <row r="1096" spans="1:14">
      <c r="A1096" s="2" t="s">
        <v>1124</v>
      </c>
      <c r="B1096" t="s">
        <v>4917</v>
      </c>
      <c r="C1096">
        <v>-16.32</v>
      </c>
      <c r="D1096">
        <v>33.67</v>
      </c>
      <c r="E1096">
        <v>7.46</v>
      </c>
      <c r="F1096">
        <v>-10.88</v>
      </c>
      <c r="G1096">
        <v>24.5</v>
      </c>
      <c r="I1096">
        <v>-22.29</v>
      </c>
      <c r="J1096">
        <v>18.079999999999998</v>
      </c>
      <c r="K1096">
        <v>1.25</v>
      </c>
      <c r="L1096">
        <v>4.54</v>
      </c>
      <c r="M1096">
        <v>1.28</v>
      </c>
    </row>
    <row r="1097" spans="1:14">
      <c r="A1097" s="2" t="s">
        <v>1125</v>
      </c>
      <c r="B1097" t="s">
        <v>4918</v>
      </c>
      <c r="C1097">
        <v>22.52</v>
      </c>
      <c r="D1097">
        <v>21.78</v>
      </c>
      <c r="E1097">
        <v>12.68</v>
      </c>
      <c r="F1097">
        <v>-17.41</v>
      </c>
      <c r="G1097">
        <v>26.69</v>
      </c>
      <c r="I1097">
        <v>-18.170000000000002</v>
      </c>
      <c r="J1097">
        <v>6.39</v>
      </c>
      <c r="K1097">
        <v>54.19</v>
      </c>
      <c r="L1097">
        <v>-2.95</v>
      </c>
      <c r="M1097">
        <v>83.54</v>
      </c>
    </row>
    <row r="1098" spans="1:14">
      <c r="A1098" s="2" t="s">
        <v>1126</v>
      </c>
      <c r="B1098" t="s">
        <v>4919</v>
      </c>
      <c r="C1098">
        <v>15.25</v>
      </c>
      <c r="D1098">
        <v>13.43</v>
      </c>
      <c r="E1098">
        <v>23.12</v>
      </c>
      <c r="F1098">
        <v>-19.12</v>
      </c>
      <c r="G1098">
        <v>14.14</v>
      </c>
      <c r="H1098">
        <v>-4.9800000000000004</v>
      </c>
      <c r="I1098">
        <v>40.64</v>
      </c>
      <c r="J1098">
        <v>6.11</v>
      </c>
      <c r="K1098">
        <v>104.35</v>
      </c>
      <c r="L1098">
        <v>36.5</v>
      </c>
      <c r="M1098">
        <v>13.23</v>
      </c>
      <c r="N1098">
        <v>155.97999999999999</v>
      </c>
    </row>
    <row r="1099" spans="1:14">
      <c r="A1099" s="2" t="s">
        <v>1127</v>
      </c>
      <c r="B1099" t="s">
        <v>4920</v>
      </c>
      <c r="C1099">
        <v>-23.37</v>
      </c>
      <c r="D1099">
        <v>-12.99</v>
      </c>
      <c r="E1099">
        <v>3.1</v>
      </c>
      <c r="F1099">
        <v>11.5</v>
      </c>
      <c r="G1099">
        <v>12.34</v>
      </c>
      <c r="H1099">
        <v>-18.48</v>
      </c>
      <c r="I1099">
        <v>-17.93</v>
      </c>
      <c r="J1099">
        <v>-41.33</v>
      </c>
      <c r="K1099">
        <v>-36.4</v>
      </c>
      <c r="L1099">
        <v>-12.57</v>
      </c>
      <c r="M1099">
        <v>2.36</v>
      </c>
      <c r="N1099">
        <v>-22.38</v>
      </c>
    </row>
    <row r="1100" spans="1:14">
      <c r="A1100" s="2" t="s">
        <v>1128</v>
      </c>
      <c r="B1100" t="s">
        <v>4921</v>
      </c>
      <c r="C1100">
        <v>-10.78</v>
      </c>
      <c r="D1100">
        <v>38.07</v>
      </c>
      <c r="E1100">
        <v>-7.74</v>
      </c>
      <c r="F1100">
        <v>-6.71</v>
      </c>
      <c r="G1100">
        <v>48.55</v>
      </c>
      <c r="H1100">
        <v>-15.83</v>
      </c>
      <c r="I1100">
        <v>-38.81</v>
      </c>
      <c r="J1100">
        <v>-13.13</v>
      </c>
      <c r="K1100">
        <v>-4.49</v>
      </c>
      <c r="L1100">
        <v>-10.24</v>
      </c>
      <c r="M1100">
        <v>29.58</v>
      </c>
      <c r="N1100">
        <v>16.34</v>
      </c>
    </row>
    <row r="1101" spans="1:14">
      <c r="A1101" s="2" t="s">
        <v>1129</v>
      </c>
      <c r="B1101" t="s">
        <v>4922</v>
      </c>
      <c r="C1101">
        <v>-6.93</v>
      </c>
      <c r="D1101">
        <v>22.02</v>
      </c>
      <c r="E1101">
        <v>-7.4</v>
      </c>
      <c r="F1101">
        <v>-15.81</v>
      </c>
      <c r="G1101">
        <v>47.77</v>
      </c>
      <c r="H1101">
        <v>-46.29</v>
      </c>
      <c r="I1101">
        <v>-9.0299999999999994</v>
      </c>
      <c r="J1101">
        <v>-0.56000000000000005</v>
      </c>
      <c r="K1101">
        <v>-1.36</v>
      </c>
      <c r="L1101">
        <v>-10.24</v>
      </c>
      <c r="M1101">
        <v>14.43</v>
      </c>
      <c r="N1101">
        <v>-0.26</v>
      </c>
    </row>
    <row r="1102" spans="1:14">
      <c r="A1102" s="2" t="s">
        <v>1130</v>
      </c>
      <c r="B1102" t="s">
        <v>4923</v>
      </c>
      <c r="C1102">
        <v>-12.21</v>
      </c>
      <c r="D1102">
        <v>8.25</v>
      </c>
      <c r="E1102">
        <v>-17.71</v>
      </c>
      <c r="F1102">
        <v>21.42</v>
      </c>
      <c r="G1102">
        <v>9.92</v>
      </c>
      <c r="H1102">
        <v>-10.029999999999999</v>
      </c>
      <c r="I1102">
        <v>-21.87</v>
      </c>
      <c r="J1102">
        <v>-5.96</v>
      </c>
      <c r="K1102">
        <v>-12.9</v>
      </c>
      <c r="L1102">
        <v>0.82</v>
      </c>
      <c r="M1102">
        <v>6.01</v>
      </c>
      <c r="N1102">
        <v>-10.29</v>
      </c>
    </row>
    <row r="1103" spans="1:14">
      <c r="A1103" s="2" t="s">
        <v>1131</v>
      </c>
      <c r="B1103" t="s">
        <v>4924</v>
      </c>
      <c r="C1103">
        <v>-18.46</v>
      </c>
      <c r="D1103">
        <v>20.2</v>
      </c>
      <c r="E1103">
        <v>0.01</v>
      </c>
      <c r="F1103">
        <v>-1.1399999999999999</v>
      </c>
      <c r="G1103">
        <v>3.37</v>
      </c>
      <c r="H1103">
        <v>9.61</v>
      </c>
      <c r="I1103">
        <v>-26.73</v>
      </c>
      <c r="J1103">
        <v>5.55</v>
      </c>
      <c r="K1103">
        <v>-7.93</v>
      </c>
      <c r="L1103">
        <v>-8.8699999999999992</v>
      </c>
      <c r="M1103">
        <v>-7.03</v>
      </c>
      <c r="N1103">
        <v>8.8800000000000008</v>
      </c>
    </row>
    <row r="1104" spans="1:14">
      <c r="A1104" s="2" t="s">
        <v>1132</v>
      </c>
      <c r="B1104" t="s">
        <v>4925</v>
      </c>
      <c r="C1104">
        <v>-17.54</v>
      </c>
      <c r="D1104">
        <v>4.58</v>
      </c>
      <c r="E1104">
        <v>-24.98</v>
      </c>
      <c r="F1104">
        <v>2.63</v>
      </c>
      <c r="G1104">
        <v>12.88</v>
      </c>
      <c r="H1104">
        <v>1.71</v>
      </c>
      <c r="I1104">
        <v>-7.84</v>
      </c>
      <c r="J1104">
        <v>26.69</v>
      </c>
      <c r="K1104">
        <v>10.91</v>
      </c>
      <c r="L1104">
        <v>-14.39</v>
      </c>
      <c r="M1104">
        <v>-10.42</v>
      </c>
      <c r="N1104">
        <v>-17.66</v>
      </c>
    </row>
    <row r="1105" spans="1:14">
      <c r="A1105" s="2" t="s">
        <v>1133</v>
      </c>
      <c r="B1105" t="s">
        <v>4926</v>
      </c>
      <c r="C1105">
        <v>8.17</v>
      </c>
      <c r="D1105">
        <v>5.18</v>
      </c>
      <c r="E1105">
        <v>-10.27</v>
      </c>
      <c r="F1105">
        <v>22.16</v>
      </c>
      <c r="G1105">
        <v>-14.09</v>
      </c>
      <c r="H1105">
        <v>10.88</v>
      </c>
      <c r="I1105">
        <v>-8.66</v>
      </c>
      <c r="J1105">
        <v>5.04</v>
      </c>
      <c r="K1105">
        <v>-8.48</v>
      </c>
      <c r="L1105">
        <v>-4.57</v>
      </c>
      <c r="M1105">
        <v>-11.96</v>
      </c>
      <c r="N1105">
        <v>27.25</v>
      </c>
    </row>
    <row r="1106" spans="1:14">
      <c r="A1106" s="2" t="s">
        <v>1134</v>
      </c>
      <c r="B1106" t="s">
        <v>4927</v>
      </c>
      <c r="C1106">
        <v>-5.92</v>
      </c>
      <c r="D1106">
        <v>17.54</v>
      </c>
      <c r="E1106">
        <v>-23.5</v>
      </c>
      <c r="F1106">
        <v>28.29</v>
      </c>
      <c r="G1106">
        <v>12.75</v>
      </c>
      <c r="H1106">
        <v>-5.54</v>
      </c>
      <c r="I1106">
        <v>-16.440000000000001</v>
      </c>
      <c r="J1106">
        <v>-2.4700000000000002</v>
      </c>
      <c r="K1106">
        <v>-30.33</v>
      </c>
      <c r="L1106">
        <v>-20.260000000000002</v>
      </c>
      <c r="M1106">
        <v>15.48</v>
      </c>
      <c r="N1106">
        <v>70.94</v>
      </c>
    </row>
    <row r="1107" spans="1:14">
      <c r="A1107" s="2" t="s">
        <v>1135</v>
      </c>
      <c r="B1107" t="s">
        <v>4928</v>
      </c>
      <c r="C1107">
        <v>-9.69</v>
      </c>
      <c r="D1107">
        <v>-5.43</v>
      </c>
      <c r="E1107">
        <v>0.5</v>
      </c>
      <c r="F1107">
        <v>-20.16</v>
      </c>
      <c r="G1107">
        <v>20.82</v>
      </c>
      <c r="H1107">
        <v>-23.7</v>
      </c>
      <c r="I1107">
        <v>-19.559999999999999</v>
      </c>
      <c r="J1107">
        <v>-17.010000000000002</v>
      </c>
      <c r="K1107">
        <v>-23.17</v>
      </c>
      <c r="L1107">
        <v>-37.979999999999997</v>
      </c>
      <c r="M1107">
        <v>-24.05</v>
      </c>
      <c r="N1107">
        <v>-37.1</v>
      </c>
    </row>
    <row r="1108" spans="1:14">
      <c r="A1108" s="2" t="s">
        <v>1136</v>
      </c>
      <c r="B1108" t="s">
        <v>4929</v>
      </c>
      <c r="C1108">
        <v>-1.62</v>
      </c>
      <c r="D1108">
        <v>1.1100000000000001</v>
      </c>
      <c r="E1108">
        <v>-5.29</v>
      </c>
      <c r="F1108">
        <v>13.14</v>
      </c>
      <c r="G1108">
        <v>-13.76</v>
      </c>
      <c r="H1108">
        <v>-1.73</v>
      </c>
      <c r="I1108">
        <v>-3.75</v>
      </c>
      <c r="J1108">
        <v>13.27</v>
      </c>
      <c r="K1108">
        <v>-8.0399999999999991</v>
      </c>
      <c r="L1108">
        <v>-1.1100000000000001</v>
      </c>
      <c r="M1108">
        <v>-4.2300000000000004</v>
      </c>
      <c r="N1108">
        <v>1.19</v>
      </c>
    </row>
    <row r="1109" spans="1:14">
      <c r="A1109" s="2" t="s">
        <v>1137</v>
      </c>
      <c r="B1109" t="s">
        <v>4930</v>
      </c>
      <c r="C1109">
        <v>-34.17</v>
      </c>
      <c r="D1109">
        <v>-4.28</v>
      </c>
      <c r="E1109">
        <v>68.650000000000006</v>
      </c>
      <c r="F1109">
        <v>-36.18</v>
      </c>
      <c r="G1109">
        <v>43.79</v>
      </c>
      <c r="H1109">
        <v>-21.02</v>
      </c>
      <c r="I1109">
        <v>32.72</v>
      </c>
      <c r="J1109">
        <v>20.16</v>
      </c>
      <c r="K1109">
        <v>79.66</v>
      </c>
      <c r="L1109">
        <v>-7.52</v>
      </c>
      <c r="M1109">
        <v>12.32</v>
      </c>
      <c r="N1109">
        <v>49.47</v>
      </c>
    </row>
    <row r="1110" spans="1:14">
      <c r="A1110" s="2" t="s">
        <v>1138</v>
      </c>
      <c r="B1110" t="s">
        <v>4931</v>
      </c>
      <c r="C1110">
        <v>-42.07</v>
      </c>
      <c r="D1110">
        <v>71.5</v>
      </c>
      <c r="E1110">
        <v>-13.72</v>
      </c>
      <c r="F1110">
        <v>-25.13</v>
      </c>
      <c r="G1110">
        <v>69.84</v>
      </c>
      <c r="I1110">
        <v>-13.48</v>
      </c>
      <c r="J1110">
        <v>-27.74</v>
      </c>
      <c r="K1110">
        <v>10.01</v>
      </c>
      <c r="L1110">
        <v>-11.62</v>
      </c>
      <c r="M1110">
        <v>-50.54</v>
      </c>
    </row>
    <row r="1111" spans="1:14">
      <c r="A1111" s="2" t="s">
        <v>1139</v>
      </c>
      <c r="B1111" t="s">
        <v>4932</v>
      </c>
      <c r="C1111">
        <v>3.19</v>
      </c>
      <c r="D1111">
        <v>-0.55000000000000004</v>
      </c>
      <c r="E1111">
        <v>9.91</v>
      </c>
      <c r="F1111">
        <v>-11.64</v>
      </c>
      <c r="G1111">
        <v>1.93</v>
      </c>
      <c r="H1111">
        <v>-2.11</v>
      </c>
      <c r="I1111">
        <v>30.95</v>
      </c>
      <c r="J1111">
        <v>14.1</v>
      </c>
      <c r="K1111">
        <v>38.049999999999997</v>
      </c>
      <c r="L1111">
        <v>20.190000000000001</v>
      </c>
      <c r="M1111">
        <v>17.55</v>
      </c>
      <c r="N1111">
        <v>1.22</v>
      </c>
    </row>
    <row r="1112" spans="1:14">
      <c r="A1112" s="2" t="s">
        <v>1140</v>
      </c>
      <c r="B1112" t="s">
        <v>4933</v>
      </c>
      <c r="C1112">
        <v>-86.93</v>
      </c>
      <c r="D1112">
        <v>2607.66</v>
      </c>
      <c r="E1112">
        <v>-83.15</v>
      </c>
      <c r="F1112">
        <v>-13.12</v>
      </c>
      <c r="G1112">
        <v>114.55</v>
      </c>
      <c r="I1112">
        <v>-92.32</v>
      </c>
      <c r="J1112">
        <v>258.75</v>
      </c>
      <c r="K1112">
        <v>-31.47</v>
      </c>
      <c r="L1112">
        <v>-50.86</v>
      </c>
      <c r="M1112">
        <v>-9.1999999999999993</v>
      </c>
    </row>
    <row r="1113" spans="1:14">
      <c r="A1113" s="2" t="s">
        <v>1141</v>
      </c>
      <c r="B1113" t="s">
        <v>4934</v>
      </c>
      <c r="D1113">
        <v>100</v>
      </c>
      <c r="F1113">
        <v>-100</v>
      </c>
      <c r="H1113">
        <v>214.99</v>
      </c>
      <c r="K1113">
        <v>6.52</v>
      </c>
      <c r="L1113">
        <v>-100</v>
      </c>
    </row>
    <row r="1114" spans="1:14">
      <c r="A1114" s="2" t="s">
        <v>1142</v>
      </c>
      <c r="B1114" t="s">
        <v>4935</v>
      </c>
      <c r="C1114">
        <v>-20.010000000000002</v>
      </c>
      <c r="D1114">
        <v>12.8</v>
      </c>
      <c r="E1114">
        <v>6.62</v>
      </c>
      <c r="F1114">
        <v>-0.51</v>
      </c>
      <c r="G1114">
        <v>18.649999999999999</v>
      </c>
      <c r="H1114">
        <v>-48.15</v>
      </c>
      <c r="I1114">
        <v>-20.38</v>
      </c>
      <c r="J1114">
        <v>-8.8800000000000008</v>
      </c>
      <c r="K1114">
        <v>15.56</v>
      </c>
      <c r="L1114">
        <v>19.71</v>
      </c>
      <c r="M1114">
        <v>21.22</v>
      </c>
      <c r="N1114">
        <v>-19.52</v>
      </c>
    </row>
    <row r="1115" spans="1:14">
      <c r="A1115" s="2" t="s">
        <v>1143</v>
      </c>
      <c r="B1115" t="s">
        <v>4936</v>
      </c>
      <c r="C1115">
        <v>-11.62</v>
      </c>
      <c r="D1115">
        <v>25.73</v>
      </c>
      <c r="E1115">
        <v>-23.28</v>
      </c>
      <c r="F1115">
        <v>39.520000000000003</v>
      </c>
      <c r="G1115">
        <v>58.02</v>
      </c>
      <c r="H1115">
        <v>-48.27</v>
      </c>
      <c r="I1115">
        <v>16.72</v>
      </c>
      <c r="J1115">
        <v>52.99</v>
      </c>
      <c r="K1115">
        <v>-7.86</v>
      </c>
      <c r="L1115">
        <v>10.7</v>
      </c>
      <c r="M1115">
        <v>16.190000000000001</v>
      </c>
      <c r="N1115">
        <v>17.41</v>
      </c>
    </row>
    <row r="1116" spans="1:14">
      <c r="A1116" s="2" t="s">
        <v>1144</v>
      </c>
      <c r="B1116" t="s">
        <v>4937</v>
      </c>
      <c r="C1116">
        <v>8.9499999999999993</v>
      </c>
      <c r="D1116">
        <v>1.39</v>
      </c>
      <c r="E1116">
        <v>2.88</v>
      </c>
      <c r="F1116">
        <v>-7.19</v>
      </c>
      <c r="G1116">
        <v>-5.3</v>
      </c>
      <c r="H1116">
        <v>-10.84</v>
      </c>
      <c r="I1116">
        <v>51.39</v>
      </c>
      <c r="J1116">
        <v>62.21</v>
      </c>
      <c r="K1116">
        <v>60.35</v>
      </c>
      <c r="L1116">
        <v>54.7</v>
      </c>
      <c r="M1116">
        <v>71.459999999999994</v>
      </c>
      <c r="N1116">
        <v>55.26</v>
      </c>
    </row>
    <row r="1117" spans="1:14">
      <c r="A1117" s="2" t="s">
        <v>1145</v>
      </c>
      <c r="B1117" t="s">
        <v>4938</v>
      </c>
      <c r="C1117">
        <v>-35.17</v>
      </c>
      <c r="D1117">
        <v>52.27</v>
      </c>
      <c r="E1117">
        <v>-18.579999999999998</v>
      </c>
      <c r="F1117">
        <v>18.670000000000002</v>
      </c>
      <c r="G1117">
        <v>67.010000000000005</v>
      </c>
      <c r="I1117">
        <v>4.6399999999999997</v>
      </c>
      <c r="J1117">
        <v>96.23</v>
      </c>
      <c r="K1117">
        <v>0.08</v>
      </c>
      <c r="L1117">
        <v>23.7</v>
      </c>
      <c r="M1117">
        <v>13.65</v>
      </c>
    </row>
    <row r="1118" spans="1:14">
      <c r="A1118" s="2" t="s">
        <v>1146</v>
      </c>
      <c r="B1118" t="s">
        <v>4939</v>
      </c>
      <c r="C1118">
        <v>4.29</v>
      </c>
      <c r="D1118">
        <v>-73.5</v>
      </c>
      <c r="E1118">
        <v>238.43</v>
      </c>
      <c r="F1118">
        <v>-68.58</v>
      </c>
      <c r="G1118">
        <v>14583.25</v>
      </c>
      <c r="H1118">
        <v>-95.58</v>
      </c>
      <c r="I1118">
        <v>100.8</v>
      </c>
      <c r="J1118">
        <v>30.25</v>
      </c>
      <c r="K1118">
        <v>13.25</v>
      </c>
      <c r="L1118">
        <v>-94.94</v>
      </c>
      <c r="M1118">
        <v>13.04</v>
      </c>
      <c r="N1118">
        <v>-54.24</v>
      </c>
    </row>
    <row r="1119" spans="1:14">
      <c r="A1119" s="2" t="s">
        <v>1147</v>
      </c>
      <c r="B1119" t="s">
        <v>4940</v>
      </c>
      <c r="C1119">
        <v>-13.15</v>
      </c>
      <c r="D1119">
        <v>26.74</v>
      </c>
      <c r="E1119">
        <v>-20.8</v>
      </c>
      <c r="F1119">
        <v>9.07</v>
      </c>
      <c r="G1119">
        <v>-2.72</v>
      </c>
      <c r="I1119">
        <v>-9.74</v>
      </c>
      <c r="J1119">
        <v>14.24</v>
      </c>
      <c r="K1119">
        <v>-8.1300000000000008</v>
      </c>
      <c r="L1119">
        <v>-9.59</v>
      </c>
      <c r="M1119">
        <v>0.68</v>
      </c>
    </row>
    <row r="1120" spans="1:14">
      <c r="A1120" s="2" t="s">
        <v>1148</v>
      </c>
      <c r="B1120" t="s">
        <v>4941</v>
      </c>
      <c r="C1120">
        <v>-13.29</v>
      </c>
      <c r="D1120">
        <v>-15.13</v>
      </c>
      <c r="E1120">
        <v>17.78</v>
      </c>
      <c r="F1120">
        <v>-15.55</v>
      </c>
      <c r="G1120">
        <v>1.92</v>
      </c>
      <c r="H1120">
        <v>163.91</v>
      </c>
      <c r="I1120">
        <v>-17.29</v>
      </c>
      <c r="J1120">
        <v>-14.21</v>
      </c>
      <c r="K1120">
        <v>-10.74</v>
      </c>
      <c r="L1120">
        <v>-27.2</v>
      </c>
      <c r="M1120">
        <v>-12.89</v>
      </c>
      <c r="N1120">
        <v>51.37</v>
      </c>
    </row>
    <row r="1121" spans="1:14">
      <c r="A1121" s="2" t="s">
        <v>1149</v>
      </c>
      <c r="B1121" t="s">
        <v>4942</v>
      </c>
      <c r="C1121">
        <v>-45.91</v>
      </c>
      <c r="D1121">
        <v>104.05</v>
      </c>
      <c r="E1121">
        <v>-1.4</v>
      </c>
      <c r="F1121">
        <v>-4.8099999999999996</v>
      </c>
      <c r="G1121">
        <v>10.84</v>
      </c>
      <c r="H1121">
        <v>-10.97</v>
      </c>
      <c r="I1121">
        <v>-63.32</v>
      </c>
      <c r="J1121">
        <v>-13.73</v>
      </c>
      <c r="K1121">
        <v>-14.89</v>
      </c>
      <c r="L1121">
        <v>-11.41</v>
      </c>
      <c r="M1121">
        <v>-30.63</v>
      </c>
      <c r="N1121">
        <v>-11.75</v>
      </c>
    </row>
    <row r="1122" spans="1:14">
      <c r="A1122" s="2" t="s">
        <v>1150</v>
      </c>
      <c r="B1122" t="s">
        <v>4943</v>
      </c>
      <c r="C1122">
        <v>-0.6</v>
      </c>
      <c r="D1122">
        <v>4.88</v>
      </c>
      <c r="E1122">
        <v>-21.43</v>
      </c>
      <c r="F1122">
        <v>6.28</v>
      </c>
      <c r="G1122">
        <v>33.39</v>
      </c>
      <c r="H1122">
        <v>-11.14</v>
      </c>
      <c r="I1122">
        <v>5.66</v>
      </c>
      <c r="J1122">
        <v>15.92</v>
      </c>
      <c r="K1122">
        <v>-8.1999999999999993</v>
      </c>
      <c r="L1122">
        <v>-13.12</v>
      </c>
      <c r="M1122">
        <v>25.8</v>
      </c>
      <c r="N1122">
        <v>15.43</v>
      </c>
    </row>
    <row r="1123" spans="1:14">
      <c r="A1123" s="2" t="s">
        <v>1151</v>
      </c>
      <c r="B1123" t="s">
        <v>4944</v>
      </c>
      <c r="C1123">
        <v>28.83</v>
      </c>
      <c r="D1123">
        <v>0.7</v>
      </c>
      <c r="E1123">
        <v>-39.880000000000003</v>
      </c>
      <c r="F1123">
        <v>-12.42</v>
      </c>
      <c r="G1123">
        <v>2.99</v>
      </c>
      <c r="H1123">
        <v>3.91</v>
      </c>
      <c r="I1123">
        <v>-3.34</v>
      </c>
      <c r="J1123">
        <v>-1.41</v>
      </c>
      <c r="K1123">
        <v>-27.53</v>
      </c>
      <c r="L1123">
        <v>-10.56</v>
      </c>
      <c r="M1123">
        <v>-22.09</v>
      </c>
      <c r="N1123">
        <v>-13.19</v>
      </c>
    </row>
    <row r="1124" spans="1:14">
      <c r="A1124" s="2" t="s">
        <v>1152</v>
      </c>
      <c r="B1124" t="s">
        <v>4945</v>
      </c>
      <c r="C1124">
        <v>-48.32</v>
      </c>
      <c r="D1124">
        <v>35.840000000000003</v>
      </c>
      <c r="E1124">
        <v>64.55</v>
      </c>
      <c r="F1124">
        <v>-58.96</v>
      </c>
      <c r="G1124">
        <v>162.02000000000001</v>
      </c>
      <c r="H1124">
        <v>-64.28</v>
      </c>
      <c r="I1124">
        <v>-75.73</v>
      </c>
      <c r="J1124">
        <v>-54.32</v>
      </c>
      <c r="K1124">
        <v>-70.42</v>
      </c>
      <c r="L1124">
        <v>-82.01</v>
      </c>
      <c r="M1124">
        <v>-5.65</v>
      </c>
      <c r="N1124">
        <v>-85.35</v>
      </c>
    </row>
    <row r="1125" spans="1:14">
      <c r="A1125" s="2" t="s">
        <v>1153</v>
      </c>
      <c r="B1125" t="s">
        <v>4946</v>
      </c>
      <c r="C1125">
        <v>-2.76</v>
      </c>
      <c r="D1125">
        <v>2.6</v>
      </c>
      <c r="E1125">
        <v>16.8</v>
      </c>
      <c r="F1125">
        <v>3.37</v>
      </c>
      <c r="G1125">
        <v>2.66</v>
      </c>
      <c r="H1125">
        <v>22.73</v>
      </c>
      <c r="I1125">
        <v>-16.66</v>
      </c>
      <c r="J1125">
        <v>25.94</v>
      </c>
      <c r="K1125">
        <v>35.96</v>
      </c>
      <c r="L1125">
        <v>38.380000000000003</v>
      </c>
      <c r="M1125">
        <v>73.599999999999994</v>
      </c>
      <c r="N1125">
        <v>94.17</v>
      </c>
    </row>
    <row r="1126" spans="1:14">
      <c r="A1126" s="2" t="s">
        <v>1154</v>
      </c>
      <c r="B1126" t="s">
        <v>4947</v>
      </c>
      <c r="C1126">
        <v>2.0499999999999998</v>
      </c>
      <c r="D1126">
        <v>3.08</v>
      </c>
      <c r="E1126">
        <v>1.44</v>
      </c>
      <c r="F1126">
        <v>1.42</v>
      </c>
      <c r="G1126">
        <v>-0.05</v>
      </c>
      <c r="H1126">
        <v>-1.1399999999999999</v>
      </c>
      <c r="I1126">
        <v>-20.64</v>
      </c>
      <c r="J1126">
        <v>-17.05</v>
      </c>
      <c r="K1126">
        <v>-12.03</v>
      </c>
      <c r="L1126">
        <v>-13.89</v>
      </c>
      <c r="M1126">
        <v>-7.76</v>
      </c>
      <c r="N1126">
        <v>41.17</v>
      </c>
    </row>
    <row r="1127" spans="1:14">
      <c r="A1127" s="2" t="s">
        <v>1155</v>
      </c>
      <c r="B1127" t="s">
        <v>4948</v>
      </c>
      <c r="C1127">
        <v>-4.74</v>
      </c>
      <c r="D1127">
        <v>5.4</v>
      </c>
      <c r="E1127">
        <v>0.25</v>
      </c>
      <c r="F1127">
        <v>-8.32</v>
      </c>
      <c r="G1127">
        <v>11.35</v>
      </c>
      <c r="H1127">
        <v>-0.13</v>
      </c>
      <c r="I1127">
        <v>8.8000000000000007</v>
      </c>
      <c r="J1127">
        <v>13.01</v>
      </c>
      <c r="K1127">
        <v>14.56</v>
      </c>
      <c r="L1127">
        <v>8.77</v>
      </c>
      <c r="M1127">
        <v>10.1</v>
      </c>
      <c r="N1127">
        <v>20.07</v>
      </c>
    </row>
    <row r="1128" spans="1:14">
      <c r="A1128" s="2" t="s">
        <v>1156</v>
      </c>
      <c r="B1128" t="s">
        <v>4949</v>
      </c>
      <c r="C1128">
        <v>-14.86</v>
      </c>
      <c r="D1128">
        <v>30.98</v>
      </c>
      <c r="E1128">
        <v>-22.15</v>
      </c>
      <c r="F1128">
        <v>-21.44</v>
      </c>
      <c r="G1128">
        <v>43.18</v>
      </c>
      <c r="H1128">
        <v>11.66</v>
      </c>
      <c r="I1128">
        <v>-20.41</v>
      </c>
      <c r="J1128">
        <v>10.89</v>
      </c>
      <c r="K1128">
        <v>-0.64</v>
      </c>
      <c r="L1128">
        <v>-21.39</v>
      </c>
      <c r="M1128">
        <v>1.2</v>
      </c>
      <c r="N1128">
        <v>19.100000000000001</v>
      </c>
    </row>
    <row r="1129" spans="1:14">
      <c r="A1129" s="2" t="s">
        <v>1157</v>
      </c>
      <c r="B1129" t="s">
        <v>4950</v>
      </c>
      <c r="C1129">
        <v>3.74</v>
      </c>
      <c r="D1129">
        <v>14</v>
      </c>
      <c r="E1129">
        <v>-6.42</v>
      </c>
      <c r="F1129">
        <v>6.23</v>
      </c>
      <c r="G1129">
        <v>-15.35</v>
      </c>
      <c r="H1129">
        <v>25.09</v>
      </c>
      <c r="I1129">
        <v>-22.85</v>
      </c>
      <c r="J1129">
        <v>-7.76</v>
      </c>
      <c r="K1129">
        <v>-29.42</v>
      </c>
      <c r="L1129">
        <v>-20.58</v>
      </c>
      <c r="M1129">
        <v>-17.170000000000002</v>
      </c>
      <c r="N1129">
        <v>-13.19</v>
      </c>
    </row>
    <row r="1130" spans="1:14">
      <c r="A1130" s="2" t="s">
        <v>1158</v>
      </c>
      <c r="B1130" t="s">
        <v>4951</v>
      </c>
      <c r="C1130">
        <v>4.3899999999999997</v>
      </c>
      <c r="D1130">
        <v>13.65</v>
      </c>
      <c r="E1130">
        <v>-5.16</v>
      </c>
      <c r="F1130">
        <v>5.78</v>
      </c>
      <c r="G1130">
        <v>-12.65</v>
      </c>
      <c r="H1130">
        <v>-11.67</v>
      </c>
      <c r="I1130">
        <v>-8.98</v>
      </c>
      <c r="J1130">
        <v>-3.73</v>
      </c>
      <c r="K1130">
        <v>1.2</v>
      </c>
      <c r="L1130">
        <v>2.56</v>
      </c>
      <c r="M1130">
        <v>-3.95</v>
      </c>
      <c r="N1130">
        <v>5.96</v>
      </c>
    </row>
    <row r="1131" spans="1:14">
      <c r="A1131" s="2" t="s">
        <v>1159</v>
      </c>
      <c r="B1131" t="s">
        <v>4952</v>
      </c>
      <c r="C1131">
        <v>-2.68</v>
      </c>
      <c r="D1131">
        <v>-0.59</v>
      </c>
      <c r="E1131">
        <v>3.94</v>
      </c>
      <c r="F1131">
        <v>8.1</v>
      </c>
      <c r="G1131">
        <v>2.2200000000000002</v>
      </c>
      <c r="I1131">
        <v>-31.86</v>
      </c>
      <c r="J1131">
        <v>-22.33</v>
      </c>
      <c r="K1131">
        <v>-28.3</v>
      </c>
      <c r="L1131">
        <v>-16.78</v>
      </c>
      <c r="M1131">
        <v>-19.43</v>
      </c>
    </row>
    <row r="1132" spans="1:14">
      <c r="A1132" s="2" t="s">
        <v>1160</v>
      </c>
      <c r="B1132" t="s">
        <v>4953</v>
      </c>
      <c r="C1132">
        <v>6.25</v>
      </c>
      <c r="D1132">
        <v>50.72</v>
      </c>
      <c r="E1132">
        <v>-45.52</v>
      </c>
      <c r="F1132">
        <v>61.14</v>
      </c>
      <c r="G1132">
        <v>-18.95</v>
      </c>
      <c r="H1132">
        <v>15.24</v>
      </c>
      <c r="I1132">
        <v>50.76</v>
      </c>
      <c r="J1132">
        <v>14.58</v>
      </c>
      <c r="K1132">
        <v>-31.53</v>
      </c>
      <c r="L1132">
        <v>30.09</v>
      </c>
      <c r="M1132">
        <v>-60.99</v>
      </c>
      <c r="N1132">
        <v>-35.46</v>
      </c>
    </row>
    <row r="1133" spans="1:14">
      <c r="A1133" s="2" t="s">
        <v>1161</v>
      </c>
      <c r="B1133" t="s">
        <v>4954</v>
      </c>
      <c r="C1133">
        <v>-10.85</v>
      </c>
      <c r="D1133">
        <v>35.61</v>
      </c>
      <c r="E1133">
        <v>-15.3</v>
      </c>
      <c r="F1133">
        <v>0.93</v>
      </c>
      <c r="G1133">
        <v>30.5</v>
      </c>
      <c r="I1133">
        <v>1.94</v>
      </c>
      <c r="J1133">
        <v>2.2599999999999998</v>
      </c>
      <c r="K1133">
        <v>1.63</v>
      </c>
      <c r="L1133">
        <v>16.22</v>
      </c>
      <c r="M1133">
        <v>6.26</v>
      </c>
    </row>
    <row r="1134" spans="1:14">
      <c r="A1134" s="2" t="s">
        <v>1162</v>
      </c>
      <c r="B1134" t="s">
        <v>4955</v>
      </c>
      <c r="C1134">
        <v>2.12</v>
      </c>
      <c r="D1134">
        <v>18.329999999999998</v>
      </c>
      <c r="E1134">
        <v>8.14</v>
      </c>
      <c r="F1134">
        <v>2.78</v>
      </c>
      <c r="G1134">
        <v>3.67</v>
      </c>
      <c r="I1134">
        <v>-17.77</v>
      </c>
      <c r="J1134">
        <v>-11.52</v>
      </c>
      <c r="K1134">
        <v>-10.93</v>
      </c>
      <c r="L1134">
        <v>-10.54</v>
      </c>
      <c r="M1134">
        <v>-19.649999999999999</v>
      </c>
    </row>
    <row r="1135" spans="1:14">
      <c r="A1135" s="2" t="s">
        <v>1163</v>
      </c>
      <c r="B1135" t="s">
        <v>4956</v>
      </c>
      <c r="C1135">
        <v>3.51</v>
      </c>
      <c r="D1135">
        <v>8.76</v>
      </c>
      <c r="E1135">
        <v>-16.27</v>
      </c>
      <c r="F1135">
        <v>-0.34</v>
      </c>
      <c r="G1135">
        <v>-3.63</v>
      </c>
      <c r="H1135">
        <v>17.78</v>
      </c>
      <c r="I1135">
        <v>62.63</v>
      </c>
      <c r="J1135">
        <v>169.49</v>
      </c>
      <c r="K1135">
        <v>91.15</v>
      </c>
      <c r="L1135">
        <v>85.2</v>
      </c>
      <c r="M1135">
        <v>79.69</v>
      </c>
      <c r="N1135">
        <v>58.31</v>
      </c>
    </row>
    <row r="1136" spans="1:14">
      <c r="A1136" s="2" t="s">
        <v>1164</v>
      </c>
      <c r="B1136" t="s">
        <v>4957</v>
      </c>
      <c r="C1136">
        <v>-17.2</v>
      </c>
      <c r="D1136">
        <v>30.75</v>
      </c>
      <c r="E1136">
        <v>-9.15</v>
      </c>
      <c r="F1136">
        <v>10.58</v>
      </c>
      <c r="G1136">
        <v>-18.260000000000002</v>
      </c>
      <c r="H1136">
        <v>-2.5099999999999998</v>
      </c>
      <c r="I1136">
        <v>-32.21</v>
      </c>
      <c r="J1136">
        <v>-4.84</v>
      </c>
      <c r="K1136">
        <v>-9.27</v>
      </c>
      <c r="L1136">
        <v>24.1</v>
      </c>
      <c r="M1136">
        <v>-22.12</v>
      </c>
      <c r="N1136">
        <v>-15.11</v>
      </c>
    </row>
    <row r="1137" spans="1:14">
      <c r="A1137" s="2" t="s">
        <v>1165</v>
      </c>
      <c r="B1137" t="s">
        <v>4958</v>
      </c>
      <c r="C1137">
        <v>-3.48</v>
      </c>
      <c r="D1137">
        <v>9.4</v>
      </c>
      <c r="E1137">
        <v>-10.28</v>
      </c>
      <c r="F1137">
        <v>15.01</v>
      </c>
      <c r="G1137">
        <v>3.8</v>
      </c>
      <c r="H1137">
        <v>3.23</v>
      </c>
      <c r="I1137">
        <v>9.94</v>
      </c>
      <c r="J1137">
        <v>15</v>
      </c>
      <c r="K1137">
        <v>6.54</v>
      </c>
      <c r="L1137">
        <v>23.38</v>
      </c>
      <c r="M1137">
        <v>18.37</v>
      </c>
      <c r="N1137">
        <v>28.46</v>
      </c>
    </row>
    <row r="1138" spans="1:14">
      <c r="A1138" s="2" t="s">
        <v>1166</v>
      </c>
      <c r="B1138" t="s">
        <v>4959</v>
      </c>
      <c r="C1138">
        <v>-10.24</v>
      </c>
      <c r="D1138">
        <v>-10.06</v>
      </c>
      <c r="E1138">
        <v>1.87</v>
      </c>
      <c r="F1138">
        <v>12.09</v>
      </c>
      <c r="G1138">
        <v>6.76</v>
      </c>
      <c r="H1138">
        <v>-2.5099999999999998</v>
      </c>
      <c r="I1138">
        <v>-9.49</v>
      </c>
      <c r="J1138">
        <v>-16.79</v>
      </c>
      <c r="K1138">
        <v>-24.2</v>
      </c>
      <c r="L1138">
        <v>-9.99</v>
      </c>
      <c r="M1138">
        <v>-3.92</v>
      </c>
      <c r="N1138">
        <v>3.2</v>
      </c>
    </row>
    <row r="1139" spans="1:14">
      <c r="A1139" s="2" t="s">
        <v>1167</v>
      </c>
      <c r="B1139" t="s">
        <v>4960</v>
      </c>
      <c r="C1139">
        <v>-1.29</v>
      </c>
      <c r="D1139">
        <v>-0.15</v>
      </c>
      <c r="E1139">
        <v>-7.49</v>
      </c>
      <c r="F1139">
        <v>104.62</v>
      </c>
      <c r="G1139">
        <v>-37.85</v>
      </c>
      <c r="H1139">
        <v>-19.57</v>
      </c>
      <c r="I1139">
        <v>16.53</v>
      </c>
      <c r="J1139">
        <v>14.55</v>
      </c>
      <c r="K1139">
        <v>0.13</v>
      </c>
      <c r="L1139">
        <v>9</v>
      </c>
      <c r="M1139">
        <v>14.27</v>
      </c>
      <c r="N1139">
        <v>25.57</v>
      </c>
    </row>
    <row r="1140" spans="1:14">
      <c r="A1140" s="2" t="s">
        <v>1168</v>
      </c>
      <c r="B1140" t="s">
        <v>4961</v>
      </c>
      <c r="C1140">
        <v>-25.52</v>
      </c>
      <c r="D1140">
        <v>-7.22</v>
      </c>
      <c r="E1140">
        <v>6.43</v>
      </c>
      <c r="F1140">
        <v>-17.21</v>
      </c>
      <c r="G1140">
        <v>31.26</v>
      </c>
      <c r="H1140">
        <v>-27.64</v>
      </c>
      <c r="I1140">
        <v>-15.2</v>
      </c>
      <c r="J1140">
        <v>-7.18</v>
      </c>
      <c r="K1140">
        <v>5.41</v>
      </c>
      <c r="L1140">
        <v>-0.68</v>
      </c>
      <c r="M1140">
        <v>-2.62</v>
      </c>
      <c r="N1140">
        <v>2.95</v>
      </c>
    </row>
    <row r="1141" spans="1:14">
      <c r="A1141" s="2" t="s">
        <v>1169</v>
      </c>
      <c r="B1141" t="s">
        <v>4962</v>
      </c>
      <c r="C1141">
        <v>2.96</v>
      </c>
      <c r="D1141">
        <v>4.34</v>
      </c>
      <c r="E1141">
        <v>15.6</v>
      </c>
      <c r="F1141">
        <v>2.64</v>
      </c>
      <c r="G1141">
        <v>-11.62</v>
      </c>
      <c r="H1141">
        <v>2.52</v>
      </c>
      <c r="I1141">
        <v>53.58</v>
      </c>
      <c r="J1141">
        <v>61.01</v>
      </c>
      <c r="K1141">
        <v>52.93</v>
      </c>
      <c r="L1141">
        <v>59.87</v>
      </c>
      <c r="M1141">
        <v>65.94</v>
      </c>
      <c r="N1141">
        <v>38.479999999999997</v>
      </c>
    </row>
    <row r="1142" spans="1:14">
      <c r="A1142" s="2" t="s">
        <v>1170</v>
      </c>
      <c r="B1142" t="s">
        <v>4963</v>
      </c>
      <c r="C1142">
        <v>-3.51</v>
      </c>
      <c r="D1142">
        <v>2.0499999999999998</v>
      </c>
      <c r="E1142">
        <v>-13.36</v>
      </c>
      <c r="F1142">
        <v>1.46</v>
      </c>
      <c r="G1142">
        <v>8.0500000000000007</v>
      </c>
      <c r="H1142">
        <v>5.58</v>
      </c>
      <c r="I1142">
        <v>4.17</v>
      </c>
      <c r="J1142">
        <v>0.62</v>
      </c>
      <c r="K1142">
        <v>-5.29</v>
      </c>
      <c r="L1142">
        <v>6.69</v>
      </c>
      <c r="M1142">
        <v>6.82</v>
      </c>
      <c r="N1142">
        <v>11.71</v>
      </c>
    </row>
    <row r="1143" spans="1:14">
      <c r="A1143" s="2" t="s">
        <v>1171</v>
      </c>
      <c r="B1143" t="s">
        <v>4964</v>
      </c>
      <c r="C1143">
        <v>-1.79</v>
      </c>
      <c r="D1143">
        <v>-7.11</v>
      </c>
      <c r="E1143">
        <v>1.06</v>
      </c>
      <c r="F1143">
        <v>-0.69</v>
      </c>
      <c r="G1143">
        <v>4.45</v>
      </c>
      <c r="H1143">
        <v>-3.2</v>
      </c>
      <c r="I1143">
        <v>0.51</v>
      </c>
      <c r="J1143">
        <v>-1.48</v>
      </c>
      <c r="K1143">
        <v>-2.66</v>
      </c>
      <c r="L1143">
        <v>0.56000000000000005</v>
      </c>
      <c r="M1143">
        <v>0.93</v>
      </c>
      <c r="N1143">
        <v>5.62</v>
      </c>
    </row>
    <row r="1144" spans="1:14">
      <c r="A1144" s="2" t="s">
        <v>1172</v>
      </c>
      <c r="B1144" t="s">
        <v>4965</v>
      </c>
      <c r="C1144">
        <v>-9</v>
      </c>
      <c r="D1144">
        <v>-7.16</v>
      </c>
      <c r="E1144">
        <v>22.76</v>
      </c>
      <c r="F1144">
        <v>-4.8899999999999997</v>
      </c>
      <c r="G1144">
        <v>23.59</v>
      </c>
      <c r="H1144">
        <v>18.55</v>
      </c>
      <c r="I1144">
        <v>-17.940000000000001</v>
      </c>
      <c r="J1144">
        <v>9.34</v>
      </c>
      <c r="K1144">
        <v>10.26</v>
      </c>
      <c r="L1144">
        <v>-23.41</v>
      </c>
      <c r="M1144">
        <v>-2</v>
      </c>
      <c r="N1144">
        <v>23.82</v>
      </c>
    </row>
    <row r="1145" spans="1:14">
      <c r="A1145" s="2" t="s">
        <v>1173</v>
      </c>
      <c r="B1145" t="s">
        <v>4966</v>
      </c>
      <c r="C1145">
        <v>11.28</v>
      </c>
      <c r="D1145">
        <v>6.78</v>
      </c>
      <c r="E1145">
        <v>1.96</v>
      </c>
      <c r="F1145">
        <v>14.21</v>
      </c>
      <c r="G1145">
        <v>13.6</v>
      </c>
      <c r="H1145">
        <v>83.74</v>
      </c>
      <c r="I1145">
        <v>62.55</v>
      </c>
      <c r="J1145">
        <v>92.26</v>
      </c>
      <c r="K1145">
        <v>86.83</v>
      </c>
      <c r="L1145">
        <v>110.22</v>
      </c>
      <c r="M1145">
        <v>151.56</v>
      </c>
      <c r="N1145">
        <v>307.11</v>
      </c>
    </row>
    <row r="1146" spans="1:14">
      <c r="A1146" s="2" t="s">
        <v>1174</v>
      </c>
      <c r="B1146" t="s">
        <v>4967</v>
      </c>
      <c r="C1146">
        <v>-0.4</v>
      </c>
      <c r="D1146">
        <v>8.9600000000000009</v>
      </c>
      <c r="E1146">
        <v>-6.44</v>
      </c>
      <c r="F1146">
        <v>-1.5</v>
      </c>
      <c r="G1146">
        <v>-3.45</v>
      </c>
      <c r="H1146">
        <v>38.71</v>
      </c>
      <c r="I1146">
        <v>-3.91</v>
      </c>
      <c r="J1146">
        <v>25.74</v>
      </c>
      <c r="K1146">
        <v>10.89</v>
      </c>
      <c r="L1146">
        <v>17.91</v>
      </c>
      <c r="M1146">
        <v>6.42</v>
      </c>
      <c r="N1146">
        <v>34.270000000000003</v>
      </c>
    </row>
    <row r="1147" spans="1:14">
      <c r="A1147" s="2" t="s">
        <v>1175</v>
      </c>
      <c r="B1147" t="s">
        <v>4968</v>
      </c>
      <c r="C1147">
        <v>-19.690000000000001</v>
      </c>
      <c r="D1147">
        <v>11.1</v>
      </c>
      <c r="E1147">
        <v>4.16</v>
      </c>
      <c r="F1147">
        <v>-20.86</v>
      </c>
      <c r="G1147">
        <v>44.92</v>
      </c>
      <c r="H1147">
        <v>-21.14</v>
      </c>
      <c r="I1147">
        <v>30.87</v>
      </c>
      <c r="J1147">
        <v>18.829999999999998</v>
      </c>
      <c r="K1147">
        <v>-14.93</v>
      </c>
      <c r="L1147">
        <v>8.25</v>
      </c>
      <c r="M1147">
        <v>28.18</v>
      </c>
      <c r="N1147">
        <v>1.71</v>
      </c>
    </row>
    <row r="1148" spans="1:14">
      <c r="A1148" s="2" t="s">
        <v>1176</v>
      </c>
      <c r="B1148" t="s">
        <v>4969</v>
      </c>
      <c r="C1148">
        <v>-5.25</v>
      </c>
      <c r="D1148">
        <v>-10.82</v>
      </c>
      <c r="E1148">
        <v>-8.7899999999999991</v>
      </c>
      <c r="F1148">
        <v>-0.45</v>
      </c>
      <c r="G1148">
        <v>6.5</v>
      </c>
      <c r="I1148">
        <v>-15.22</v>
      </c>
      <c r="J1148">
        <v>-22.41</v>
      </c>
      <c r="K1148">
        <v>-23.41</v>
      </c>
      <c r="L1148">
        <v>-28.69</v>
      </c>
      <c r="M1148">
        <v>-23.17</v>
      </c>
    </row>
    <row r="1149" spans="1:14">
      <c r="A1149" s="2" t="s">
        <v>1177</v>
      </c>
      <c r="B1149" t="s">
        <v>4970</v>
      </c>
      <c r="C1149">
        <v>31.13</v>
      </c>
      <c r="D1149">
        <v>24.82</v>
      </c>
      <c r="E1149">
        <v>-3.24</v>
      </c>
      <c r="F1149">
        <v>23.66</v>
      </c>
      <c r="G1149">
        <v>16.989999999999998</v>
      </c>
      <c r="I1149">
        <v>-42.6</v>
      </c>
      <c r="J1149">
        <v>36.770000000000003</v>
      </c>
      <c r="K1149">
        <v>14.96</v>
      </c>
      <c r="L1149">
        <v>10.58</v>
      </c>
      <c r="M1149">
        <v>-16.100000000000001</v>
      </c>
    </row>
    <row r="1150" spans="1:14">
      <c r="A1150" s="2" t="s">
        <v>1178</v>
      </c>
      <c r="B1150" t="s">
        <v>4971</v>
      </c>
      <c r="C1150">
        <v>-8.56</v>
      </c>
      <c r="D1150">
        <v>5.28</v>
      </c>
      <c r="E1150">
        <v>-2.19</v>
      </c>
      <c r="F1150">
        <v>-15.59</v>
      </c>
      <c r="G1150">
        <v>24.67</v>
      </c>
      <c r="H1150">
        <v>17.37</v>
      </c>
      <c r="I1150">
        <v>62.59</v>
      </c>
      <c r="J1150">
        <v>68.73</v>
      </c>
      <c r="K1150">
        <v>94.76</v>
      </c>
      <c r="L1150">
        <v>122.19</v>
      </c>
      <c r="M1150">
        <v>128.19</v>
      </c>
      <c r="N1150">
        <v>308.05</v>
      </c>
    </row>
    <row r="1151" spans="1:14">
      <c r="A1151" s="2" t="s">
        <v>1179</v>
      </c>
      <c r="B1151" t="s">
        <v>4972</v>
      </c>
      <c r="C1151">
        <v>-8.31</v>
      </c>
      <c r="D1151">
        <v>3.53</v>
      </c>
      <c r="E1151">
        <v>-7.72</v>
      </c>
      <c r="F1151">
        <v>-2.83</v>
      </c>
      <c r="G1151">
        <v>12.24</v>
      </c>
      <c r="H1151">
        <v>35.96</v>
      </c>
      <c r="I1151">
        <v>-21.65</v>
      </c>
      <c r="J1151">
        <v>-16.739999999999998</v>
      </c>
      <c r="K1151">
        <v>-7.19</v>
      </c>
      <c r="L1151">
        <v>-13.65</v>
      </c>
      <c r="M1151">
        <v>-10.55</v>
      </c>
      <c r="N1151">
        <v>17.18</v>
      </c>
    </row>
    <row r="1152" spans="1:14">
      <c r="A1152" s="2" t="s">
        <v>1180</v>
      </c>
      <c r="B1152" t="s">
        <v>4973</v>
      </c>
      <c r="C1152">
        <v>4</v>
      </c>
      <c r="D1152">
        <v>21.24</v>
      </c>
      <c r="E1152">
        <v>-13.82</v>
      </c>
      <c r="F1152">
        <v>7.42</v>
      </c>
      <c r="G1152">
        <v>9.68</v>
      </c>
      <c r="H1152">
        <v>-9.86</v>
      </c>
      <c r="I1152">
        <v>6.1</v>
      </c>
      <c r="J1152">
        <v>34.159999999999997</v>
      </c>
      <c r="K1152">
        <v>3.72</v>
      </c>
      <c r="L1152">
        <v>17.350000000000001</v>
      </c>
      <c r="M1152">
        <v>21.72</v>
      </c>
      <c r="N1152">
        <v>6.93</v>
      </c>
    </row>
    <row r="1153" spans="1:14">
      <c r="A1153" s="2" t="s">
        <v>1181</v>
      </c>
      <c r="B1153" t="s">
        <v>4974</v>
      </c>
      <c r="C1153">
        <v>665.63</v>
      </c>
      <c r="D1153">
        <v>-80.41</v>
      </c>
      <c r="E1153">
        <v>-100</v>
      </c>
      <c r="G1153">
        <v>-89.53</v>
      </c>
      <c r="H1153">
        <v>833.33</v>
      </c>
      <c r="I1153">
        <v>124.77</v>
      </c>
      <c r="J1153">
        <v>-66.2</v>
      </c>
      <c r="K1153">
        <v>-100</v>
      </c>
      <c r="L1153">
        <v>30.3</v>
      </c>
      <c r="M1153">
        <v>-95.05</v>
      </c>
      <c r="N1153">
        <v>2700</v>
      </c>
    </row>
    <row r="1154" spans="1:14">
      <c r="A1154" s="2" t="s">
        <v>1182</v>
      </c>
      <c r="B1154" t="s">
        <v>4975</v>
      </c>
      <c r="C1154">
        <v>7.4</v>
      </c>
      <c r="D1154">
        <v>-3.5</v>
      </c>
      <c r="E1154">
        <v>7.66</v>
      </c>
      <c r="F1154">
        <v>0.25</v>
      </c>
      <c r="G1154">
        <v>5.43</v>
      </c>
      <c r="H1154">
        <v>-5.14</v>
      </c>
      <c r="I1154">
        <v>1.7</v>
      </c>
      <c r="J1154">
        <v>3.47</v>
      </c>
      <c r="K1154">
        <v>12.9</v>
      </c>
      <c r="L1154">
        <v>17.829999999999998</v>
      </c>
      <c r="M1154">
        <v>16.079999999999998</v>
      </c>
      <c r="N1154">
        <v>11.74</v>
      </c>
    </row>
    <row r="1155" spans="1:14">
      <c r="A1155" s="2" t="s">
        <v>1183</v>
      </c>
      <c r="B1155" t="s">
        <v>4976</v>
      </c>
      <c r="C1155">
        <v>3.76</v>
      </c>
      <c r="D1155">
        <v>41.23</v>
      </c>
      <c r="E1155">
        <v>-1.08</v>
      </c>
      <c r="F1155">
        <v>38.53</v>
      </c>
      <c r="G1155">
        <v>-4.93</v>
      </c>
      <c r="H1155">
        <v>15.87</v>
      </c>
      <c r="I1155">
        <v>811.6</v>
      </c>
      <c r="J1155">
        <v>1056.31</v>
      </c>
      <c r="K1155">
        <v>411.78</v>
      </c>
      <c r="L1155">
        <v>384.78</v>
      </c>
      <c r="M1155">
        <v>227.06</v>
      </c>
      <c r="N1155">
        <v>265.41000000000003</v>
      </c>
    </row>
    <row r="1156" spans="1:14">
      <c r="A1156" s="2" t="s">
        <v>1184</v>
      </c>
      <c r="B1156" t="s">
        <v>4977</v>
      </c>
      <c r="C1156">
        <v>30.96</v>
      </c>
      <c r="D1156">
        <v>-1</v>
      </c>
      <c r="E1156">
        <v>2.27</v>
      </c>
      <c r="F1156">
        <v>-0.25</v>
      </c>
      <c r="G1156">
        <v>-8.89</v>
      </c>
      <c r="H1156">
        <v>3.65</v>
      </c>
      <c r="I1156">
        <v>27.72</v>
      </c>
      <c r="J1156">
        <v>32.78</v>
      </c>
      <c r="K1156">
        <v>18.899999999999999</v>
      </c>
      <c r="L1156">
        <v>10.43</v>
      </c>
      <c r="M1156">
        <v>-3.8</v>
      </c>
      <c r="N1156">
        <v>10.89</v>
      </c>
    </row>
    <row r="1157" spans="1:14">
      <c r="A1157" s="2" t="s">
        <v>1185</v>
      </c>
      <c r="B1157" t="s">
        <v>4978</v>
      </c>
      <c r="C1157">
        <v>16.18</v>
      </c>
      <c r="D1157">
        <v>-15.89</v>
      </c>
      <c r="E1157">
        <v>3.88</v>
      </c>
      <c r="F1157">
        <v>6.81</v>
      </c>
      <c r="G1157">
        <v>-6.21</v>
      </c>
      <c r="H1157">
        <v>-6.97</v>
      </c>
      <c r="I1157">
        <v>-16.71</v>
      </c>
      <c r="J1157">
        <v>-23</v>
      </c>
      <c r="K1157">
        <v>-20.97</v>
      </c>
      <c r="L1157">
        <v>-22.72</v>
      </c>
      <c r="M1157">
        <v>-19.559999999999999</v>
      </c>
      <c r="N1157">
        <v>-28.01</v>
      </c>
    </row>
    <row r="1158" spans="1:14">
      <c r="A1158" s="2" t="s">
        <v>1186</v>
      </c>
      <c r="B1158" t="s">
        <v>4979</v>
      </c>
      <c r="C1158">
        <v>19.22</v>
      </c>
      <c r="D1158">
        <v>-6.29</v>
      </c>
      <c r="E1158">
        <v>246.59</v>
      </c>
      <c r="F1158">
        <v>-62.9</v>
      </c>
      <c r="G1158">
        <v>362.78</v>
      </c>
      <c r="H1158">
        <v>-80.88</v>
      </c>
      <c r="I1158">
        <v>8.48</v>
      </c>
      <c r="J1158">
        <v>-93.97</v>
      </c>
      <c r="K1158">
        <v>-19.23</v>
      </c>
      <c r="L1158">
        <v>-89.4</v>
      </c>
      <c r="M1158">
        <v>-37.42</v>
      </c>
      <c r="N1158">
        <v>-50.92</v>
      </c>
    </row>
    <row r="1159" spans="1:14">
      <c r="A1159" s="2" t="s">
        <v>1187</v>
      </c>
      <c r="B1159" t="s">
        <v>4980</v>
      </c>
      <c r="C1159">
        <v>11.3</v>
      </c>
      <c r="D1159">
        <v>3.1</v>
      </c>
      <c r="E1159">
        <v>-17.46</v>
      </c>
      <c r="F1159">
        <v>20.98</v>
      </c>
      <c r="G1159">
        <v>1.08</v>
      </c>
      <c r="H1159">
        <v>11.8</v>
      </c>
      <c r="I1159">
        <v>-10.51</v>
      </c>
      <c r="J1159">
        <v>-5.54</v>
      </c>
      <c r="K1159">
        <v>-15.48</v>
      </c>
      <c r="L1159">
        <v>-7.89</v>
      </c>
      <c r="M1159">
        <v>2.71</v>
      </c>
      <c r="N1159">
        <v>35.409999999999997</v>
      </c>
    </row>
    <row r="1160" spans="1:14">
      <c r="A1160" s="2" t="s">
        <v>1188</v>
      </c>
      <c r="B1160" t="s">
        <v>4981</v>
      </c>
      <c r="C1160">
        <v>4.16</v>
      </c>
      <c r="D1160">
        <v>1.39</v>
      </c>
      <c r="E1160">
        <v>3.76</v>
      </c>
      <c r="F1160">
        <v>-0.04</v>
      </c>
      <c r="G1160">
        <v>-3.49</v>
      </c>
      <c r="H1160">
        <v>8.6</v>
      </c>
      <c r="I1160">
        <v>-1.54</v>
      </c>
      <c r="J1160">
        <v>7.78</v>
      </c>
      <c r="K1160">
        <v>13.45</v>
      </c>
      <c r="L1160">
        <v>13.59</v>
      </c>
      <c r="M1160">
        <v>12.24</v>
      </c>
      <c r="N1160">
        <v>40.35</v>
      </c>
    </row>
    <row r="1161" spans="1:14">
      <c r="A1161" s="2" t="s">
        <v>1189</v>
      </c>
      <c r="B1161" t="s">
        <v>4982</v>
      </c>
      <c r="C1161">
        <v>-8.93</v>
      </c>
      <c r="D1161">
        <v>-5.29</v>
      </c>
      <c r="E1161">
        <v>15.61</v>
      </c>
      <c r="F1161">
        <v>4.28</v>
      </c>
      <c r="G1161">
        <v>-1.27</v>
      </c>
      <c r="H1161">
        <v>0.56000000000000005</v>
      </c>
      <c r="I1161">
        <v>-4.3</v>
      </c>
      <c r="J1161">
        <v>-15.34</v>
      </c>
      <c r="K1161">
        <v>3.17</v>
      </c>
      <c r="L1161">
        <v>12.89</v>
      </c>
      <c r="M1161">
        <v>20.41</v>
      </c>
      <c r="N1161">
        <v>48.47</v>
      </c>
    </row>
    <row r="1162" spans="1:14">
      <c r="A1162" s="2" t="s">
        <v>1190</v>
      </c>
      <c r="B1162" t="s">
        <v>4983</v>
      </c>
      <c r="C1162">
        <v>307.99</v>
      </c>
      <c r="D1162">
        <v>50.9</v>
      </c>
      <c r="E1162">
        <v>-13.13</v>
      </c>
      <c r="F1162">
        <v>27.09</v>
      </c>
      <c r="G1162">
        <v>26.75</v>
      </c>
      <c r="H1162">
        <v>-73.06</v>
      </c>
      <c r="I1162">
        <v>281.76</v>
      </c>
      <c r="J1162">
        <v>574.96</v>
      </c>
      <c r="K1162">
        <v>352.43</v>
      </c>
      <c r="L1162">
        <v>383.52</v>
      </c>
      <c r="M1162">
        <v>503.92</v>
      </c>
      <c r="N1162">
        <v>151.38</v>
      </c>
    </row>
    <row r="1163" spans="1:14">
      <c r="A1163" s="2" t="s">
        <v>1191</v>
      </c>
      <c r="B1163" t="s">
        <v>4984</v>
      </c>
      <c r="C1163">
        <v>0.34</v>
      </c>
      <c r="D1163">
        <v>40.98</v>
      </c>
      <c r="E1163">
        <v>-23.52</v>
      </c>
      <c r="F1163">
        <v>-3.94</v>
      </c>
      <c r="G1163">
        <v>31.28</v>
      </c>
      <c r="H1163">
        <v>-18.62</v>
      </c>
      <c r="I1163">
        <v>-0.21</v>
      </c>
      <c r="J1163">
        <v>10.76</v>
      </c>
      <c r="K1163">
        <v>3.06</v>
      </c>
      <c r="L1163">
        <v>8.6300000000000008</v>
      </c>
      <c r="M1163">
        <v>14.56</v>
      </c>
      <c r="N1163">
        <v>18.37</v>
      </c>
    </row>
    <row r="1164" spans="1:14">
      <c r="A1164" s="2" t="s">
        <v>1192</v>
      </c>
      <c r="B1164" t="s">
        <v>4985</v>
      </c>
      <c r="C1164">
        <v>62.73</v>
      </c>
      <c r="D1164">
        <v>1.75</v>
      </c>
      <c r="E1164">
        <v>-4.91</v>
      </c>
      <c r="F1164">
        <v>-5.0199999999999996</v>
      </c>
      <c r="G1164">
        <v>19.27</v>
      </c>
      <c r="H1164">
        <v>-36.07</v>
      </c>
      <c r="I1164">
        <v>63.75</v>
      </c>
      <c r="J1164">
        <v>19.03</v>
      </c>
      <c r="K1164">
        <v>3.9</v>
      </c>
      <c r="L1164">
        <v>10.75</v>
      </c>
      <c r="M1164">
        <v>-18.63</v>
      </c>
      <c r="N1164">
        <v>16.72</v>
      </c>
    </row>
    <row r="1165" spans="1:14">
      <c r="A1165" s="2" t="s">
        <v>1193</v>
      </c>
      <c r="B1165" t="s">
        <v>4986</v>
      </c>
      <c r="C1165">
        <v>17.5</v>
      </c>
      <c r="D1165">
        <v>10.92</v>
      </c>
      <c r="E1165">
        <v>16.670000000000002</v>
      </c>
      <c r="F1165">
        <v>7.59</v>
      </c>
      <c r="G1165">
        <v>24.01</v>
      </c>
      <c r="H1165">
        <v>22.39</v>
      </c>
      <c r="I1165">
        <v>10.67</v>
      </c>
      <c r="J1165">
        <v>69.209999999999994</v>
      </c>
      <c r="K1165">
        <v>112.57</v>
      </c>
      <c r="L1165">
        <v>120.21</v>
      </c>
      <c r="M1165">
        <v>170.11</v>
      </c>
      <c r="N1165">
        <v>291.7</v>
      </c>
    </row>
    <row r="1166" spans="1:14">
      <c r="A1166" s="2" t="s">
        <v>1194</v>
      </c>
      <c r="B1166" t="s">
        <v>4987</v>
      </c>
      <c r="C1166">
        <v>7.0000000000000007E-2</v>
      </c>
      <c r="D1166">
        <v>-1.28</v>
      </c>
      <c r="E1166">
        <v>-8.0399999999999991</v>
      </c>
      <c r="F1166">
        <v>13.51</v>
      </c>
      <c r="G1166">
        <v>10.06</v>
      </c>
      <c r="H1166">
        <v>-25.88</v>
      </c>
      <c r="I1166">
        <v>-3.05</v>
      </c>
      <c r="J1166">
        <v>-4.01</v>
      </c>
      <c r="K1166">
        <v>6.2</v>
      </c>
      <c r="L1166">
        <v>21.4</v>
      </c>
      <c r="M1166">
        <v>7.29</v>
      </c>
      <c r="N1166">
        <v>-11.31</v>
      </c>
    </row>
    <row r="1167" spans="1:14">
      <c r="A1167" s="2" t="s">
        <v>1195</v>
      </c>
      <c r="B1167" t="s">
        <v>4988</v>
      </c>
      <c r="C1167">
        <v>-13.71</v>
      </c>
      <c r="D1167">
        <v>13.02</v>
      </c>
      <c r="E1167">
        <v>17.82</v>
      </c>
      <c r="F1167">
        <v>0.15</v>
      </c>
      <c r="G1167">
        <v>-3.85</v>
      </c>
      <c r="I1167">
        <v>-28.45</v>
      </c>
      <c r="J1167">
        <v>2.25</v>
      </c>
      <c r="K1167">
        <v>19.920000000000002</v>
      </c>
      <c r="L1167">
        <v>4.54</v>
      </c>
      <c r="M1167">
        <v>25.64</v>
      </c>
    </row>
    <row r="1168" spans="1:14">
      <c r="A1168" s="2" t="s">
        <v>1196</v>
      </c>
      <c r="B1168" t="s">
        <v>4989</v>
      </c>
      <c r="C1168">
        <v>-0.74</v>
      </c>
      <c r="D1168">
        <v>4.9400000000000004</v>
      </c>
      <c r="E1168">
        <v>-13.21</v>
      </c>
      <c r="F1168">
        <v>9.1</v>
      </c>
      <c r="G1168">
        <v>-9.19</v>
      </c>
      <c r="H1168">
        <v>-14.1</v>
      </c>
      <c r="I1168">
        <v>-27.82</v>
      </c>
      <c r="J1168">
        <v>-12.41</v>
      </c>
      <c r="K1168">
        <v>-19.809999999999999</v>
      </c>
      <c r="L1168">
        <v>-17.559999999999999</v>
      </c>
      <c r="M1168">
        <v>-24.66</v>
      </c>
      <c r="N1168">
        <v>-29.36</v>
      </c>
    </row>
    <row r="1169" spans="1:14">
      <c r="A1169" s="2" t="s">
        <v>1197</v>
      </c>
      <c r="B1169" t="s">
        <v>4990</v>
      </c>
      <c r="C1169">
        <v>10.88</v>
      </c>
      <c r="D1169">
        <v>-48.9</v>
      </c>
      <c r="E1169">
        <v>37.4</v>
      </c>
      <c r="F1169">
        <v>2.57</v>
      </c>
      <c r="G1169">
        <v>2.2200000000000002</v>
      </c>
      <c r="H1169">
        <v>-22.54</v>
      </c>
      <c r="I1169">
        <v>-3.46</v>
      </c>
      <c r="J1169">
        <v>-55.13</v>
      </c>
      <c r="K1169">
        <v>-11.94</v>
      </c>
      <c r="L1169">
        <v>-64.53</v>
      </c>
      <c r="M1169">
        <v>-50.51</v>
      </c>
      <c r="N1169">
        <v>-22.16</v>
      </c>
    </row>
    <row r="1170" spans="1:14">
      <c r="A1170" s="2" t="s">
        <v>1198</v>
      </c>
      <c r="B1170" t="s">
        <v>4991</v>
      </c>
      <c r="C1170">
        <v>6.23</v>
      </c>
      <c r="D1170">
        <v>3.57</v>
      </c>
      <c r="E1170">
        <v>10.52</v>
      </c>
      <c r="F1170">
        <v>-10.72</v>
      </c>
      <c r="G1170">
        <v>18.8</v>
      </c>
      <c r="I1170">
        <v>-7.88</v>
      </c>
      <c r="J1170">
        <v>0.75</v>
      </c>
      <c r="K1170">
        <v>27.79</v>
      </c>
      <c r="L1170">
        <v>6.09</v>
      </c>
      <c r="M1170">
        <v>10.39</v>
      </c>
    </row>
    <row r="1171" spans="1:14">
      <c r="A1171" s="2" t="s">
        <v>1199</v>
      </c>
      <c r="B1171" t="s">
        <v>4992</v>
      </c>
      <c r="C1171">
        <v>-10.42</v>
      </c>
      <c r="D1171">
        <v>-24.62</v>
      </c>
      <c r="E1171">
        <v>36.94</v>
      </c>
      <c r="F1171">
        <v>-41.16</v>
      </c>
      <c r="G1171">
        <v>37.76</v>
      </c>
      <c r="I1171">
        <v>-37.44</v>
      </c>
      <c r="J1171">
        <v>-11.63</v>
      </c>
      <c r="K1171">
        <v>-8.73</v>
      </c>
      <c r="L1171">
        <v>-35.21</v>
      </c>
      <c r="M1171">
        <v>56.14</v>
      </c>
    </row>
    <row r="1172" spans="1:14">
      <c r="A1172" s="2" t="s">
        <v>1200</v>
      </c>
      <c r="B1172" t="s">
        <v>4993</v>
      </c>
      <c r="C1172">
        <v>-4.25</v>
      </c>
      <c r="D1172">
        <v>61.17</v>
      </c>
      <c r="E1172">
        <v>117.84</v>
      </c>
      <c r="F1172">
        <v>11.88</v>
      </c>
      <c r="G1172">
        <v>-15.08</v>
      </c>
      <c r="H1172">
        <v>215.72</v>
      </c>
      <c r="I1172">
        <v>-51.85</v>
      </c>
      <c r="J1172">
        <v>-49.9</v>
      </c>
      <c r="K1172">
        <v>90.01</v>
      </c>
      <c r="L1172">
        <v>67.040000000000006</v>
      </c>
      <c r="M1172">
        <v>69.05</v>
      </c>
      <c r="N1172">
        <v>406.81</v>
      </c>
    </row>
    <row r="1173" spans="1:14">
      <c r="A1173" s="2" t="s">
        <v>1201</v>
      </c>
      <c r="B1173" t="s">
        <v>4994</v>
      </c>
      <c r="C1173">
        <v>-7.92</v>
      </c>
      <c r="D1173">
        <v>-4.93</v>
      </c>
      <c r="E1173">
        <v>-0.62</v>
      </c>
      <c r="F1173">
        <v>5.86</v>
      </c>
      <c r="G1173">
        <v>28.37</v>
      </c>
      <c r="H1173">
        <v>-16.91</v>
      </c>
      <c r="I1173">
        <v>17.54</v>
      </c>
      <c r="J1173">
        <v>9.51</v>
      </c>
      <c r="K1173">
        <v>24.93</v>
      </c>
      <c r="L1173">
        <v>9.58</v>
      </c>
      <c r="M1173">
        <v>17.22</v>
      </c>
      <c r="N1173">
        <v>32.94</v>
      </c>
    </row>
    <row r="1174" spans="1:14">
      <c r="A1174" s="2" t="s">
        <v>1202</v>
      </c>
      <c r="B1174" t="s">
        <v>4995</v>
      </c>
      <c r="C1174">
        <v>-8.41</v>
      </c>
      <c r="D1174">
        <v>14.77</v>
      </c>
      <c r="E1174">
        <v>-2.9</v>
      </c>
      <c r="F1174">
        <v>-7.83</v>
      </c>
      <c r="G1174">
        <v>15.92</v>
      </c>
      <c r="H1174">
        <v>-1.63</v>
      </c>
      <c r="I1174">
        <v>-15.33</v>
      </c>
      <c r="J1174">
        <v>-1.31</v>
      </c>
      <c r="K1174">
        <v>-9.44</v>
      </c>
      <c r="L1174">
        <v>-11.77</v>
      </c>
      <c r="M1174">
        <v>-5.39</v>
      </c>
      <c r="N1174">
        <v>20.8</v>
      </c>
    </row>
    <row r="1175" spans="1:14">
      <c r="A1175" s="2" t="s">
        <v>1203</v>
      </c>
      <c r="B1175" t="s">
        <v>4996</v>
      </c>
      <c r="C1175">
        <v>14.11</v>
      </c>
      <c r="D1175">
        <v>1.34</v>
      </c>
      <c r="E1175">
        <v>10.67</v>
      </c>
      <c r="F1175">
        <v>-36.21</v>
      </c>
      <c r="G1175">
        <v>-45.21</v>
      </c>
      <c r="H1175">
        <v>17.63</v>
      </c>
      <c r="I1175">
        <v>-2.2999999999999998</v>
      </c>
      <c r="J1175">
        <v>25.3</v>
      </c>
      <c r="K1175">
        <v>8.27</v>
      </c>
      <c r="L1175">
        <v>-37.6</v>
      </c>
      <c r="M1175">
        <v>-29.08</v>
      </c>
      <c r="N1175">
        <v>26.94</v>
      </c>
    </row>
    <row r="1176" spans="1:14">
      <c r="A1176" s="2" t="s">
        <v>1204</v>
      </c>
      <c r="B1176" t="s">
        <v>4997</v>
      </c>
      <c r="C1176">
        <v>-13.64</v>
      </c>
      <c r="D1176">
        <v>2.83</v>
      </c>
      <c r="E1176">
        <v>-8.83</v>
      </c>
      <c r="F1176">
        <v>47.69</v>
      </c>
      <c r="G1176">
        <v>47.17</v>
      </c>
      <c r="H1176">
        <v>-31.79</v>
      </c>
      <c r="I1176">
        <v>1.35</v>
      </c>
      <c r="J1176">
        <v>-3.34</v>
      </c>
      <c r="K1176">
        <v>-0.91</v>
      </c>
      <c r="L1176">
        <v>4.28</v>
      </c>
      <c r="M1176">
        <v>-0.39</v>
      </c>
      <c r="N1176">
        <v>26.93</v>
      </c>
    </row>
    <row r="1177" spans="1:14">
      <c r="A1177" s="2" t="s">
        <v>1205</v>
      </c>
      <c r="B1177" t="s">
        <v>4998</v>
      </c>
      <c r="C1177">
        <v>65.510000000000005</v>
      </c>
      <c r="D1177">
        <v>2.56</v>
      </c>
      <c r="E1177">
        <v>-61.63</v>
      </c>
      <c r="F1177">
        <v>42.69</v>
      </c>
      <c r="G1177">
        <v>39.22</v>
      </c>
      <c r="I1177">
        <v>79.709999999999994</v>
      </c>
      <c r="J1177">
        <v>32.020000000000003</v>
      </c>
      <c r="K1177">
        <v>-46.47</v>
      </c>
      <c r="L1177">
        <v>-41.32</v>
      </c>
      <c r="M1177">
        <v>21.71</v>
      </c>
    </row>
    <row r="1178" spans="1:14">
      <c r="A1178" s="2" t="s">
        <v>1206</v>
      </c>
      <c r="B1178" t="s">
        <v>4999</v>
      </c>
      <c r="C1178">
        <v>0.39</v>
      </c>
      <c r="D1178">
        <v>11.5</v>
      </c>
      <c r="E1178">
        <v>-8.7100000000000009</v>
      </c>
      <c r="F1178">
        <v>0.96</v>
      </c>
      <c r="G1178">
        <v>6.07</v>
      </c>
      <c r="H1178">
        <v>-4.01</v>
      </c>
      <c r="I1178">
        <v>6.64</v>
      </c>
      <c r="J1178">
        <v>24.12</v>
      </c>
      <c r="K1178">
        <v>6.9</v>
      </c>
      <c r="L1178">
        <v>1.29</v>
      </c>
      <c r="M1178">
        <v>4.6100000000000003</v>
      </c>
      <c r="N1178">
        <v>2.16</v>
      </c>
    </row>
    <row r="1179" spans="1:14">
      <c r="A1179" s="2" t="s">
        <v>1207</v>
      </c>
      <c r="B1179" t="s">
        <v>5000</v>
      </c>
      <c r="C1179">
        <v>-16.96</v>
      </c>
      <c r="D1179">
        <v>10.4</v>
      </c>
      <c r="E1179">
        <v>-6.45</v>
      </c>
      <c r="F1179">
        <v>-4.66</v>
      </c>
      <c r="G1179">
        <v>24.82</v>
      </c>
      <c r="H1179">
        <v>41.16</v>
      </c>
      <c r="I1179">
        <v>12.59</v>
      </c>
      <c r="J1179">
        <v>21.25</v>
      </c>
      <c r="K1179">
        <v>-1.35</v>
      </c>
      <c r="L1179">
        <v>-11.27</v>
      </c>
      <c r="M1179">
        <v>-19.62</v>
      </c>
      <c r="N1179">
        <v>29.35</v>
      </c>
    </row>
    <row r="1180" spans="1:14">
      <c r="A1180" s="2" t="s">
        <v>1208</v>
      </c>
      <c r="B1180" t="s">
        <v>5001</v>
      </c>
      <c r="C1180">
        <v>3.2</v>
      </c>
      <c r="D1180">
        <v>-23.9</v>
      </c>
      <c r="E1180">
        <v>8.26</v>
      </c>
      <c r="F1180">
        <v>60.81</v>
      </c>
      <c r="G1180">
        <v>-22.88</v>
      </c>
      <c r="H1180">
        <v>-22.15</v>
      </c>
      <c r="I1180">
        <v>16.43</v>
      </c>
      <c r="J1180">
        <v>19.98</v>
      </c>
      <c r="K1180">
        <v>19.54</v>
      </c>
      <c r="L1180">
        <v>90.58</v>
      </c>
      <c r="M1180">
        <v>30.91</v>
      </c>
      <c r="N1180">
        <v>150.54</v>
      </c>
    </row>
    <row r="1181" spans="1:14">
      <c r="A1181" s="2" t="s">
        <v>1209</v>
      </c>
      <c r="B1181" t="s">
        <v>5002</v>
      </c>
      <c r="C1181">
        <v>-0.28000000000000003</v>
      </c>
      <c r="D1181">
        <v>6.59</v>
      </c>
      <c r="E1181">
        <v>-16.63</v>
      </c>
      <c r="F1181">
        <v>13.02</v>
      </c>
      <c r="G1181">
        <v>12.88</v>
      </c>
      <c r="H1181">
        <v>-7.33</v>
      </c>
      <c r="I1181">
        <v>7.74</v>
      </c>
      <c r="J1181">
        <v>14.64</v>
      </c>
      <c r="K1181">
        <v>-3.04</v>
      </c>
      <c r="L1181">
        <v>9.99</v>
      </c>
      <c r="M1181">
        <v>18.88</v>
      </c>
      <c r="N1181">
        <v>8.25</v>
      </c>
    </row>
    <row r="1182" spans="1:14">
      <c r="A1182" s="2" t="s">
        <v>1210</v>
      </c>
      <c r="B1182" t="s">
        <v>5003</v>
      </c>
      <c r="C1182">
        <v>-32.61</v>
      </c>
      <c r="D1182">
        <v>36.44</v>
      </c>
      <c r="E1182">
        <v>-20.85</v>
      </c>
      <c r="F1182">
        <v>-4.5999999999999996</v>
      </c>
      <c r="G1182">
        <v>28.19</v>
      </c>
      <c r="H1182">
        <v>-45.76</v>
      </c>
      <c r="I1182">
        <v>-47.82</v>
      </c>
      <c r="J1182">
        <v>-31.29</v>
      </c>
      <c r="K1182">
        <v>-34.270000000000003</v>
      </c>
      <c r="L1182">
        <v>-36.32</v>
      </c>
      <c r="M1182">
        <v>-14.93</v>
      </c>
      <c r="N1182">
        <v>-32.049999999999997</v>
      </c>
    </row>
    <row r="1183" spans="1:14">
      <c r="A1183" s="2" t="s">
        <v>1211</v>
      </c>
      <c r="B1183" t="s">
        <v>5004</v>
      </c>
      <c r="C1183">
        <v>4.74</v>
      </c>
      <c r="D1183">
        <v>4.71</v>
      </c>
      <c r="E1183">
        <v>-8.9700000000000006</v>
      </c>
      <c r="F1183">
        <v>0.82</v>
      </c>
      <c r="G1183">
        <v>-25.39</v>
      </c>
      <c r="I1183">
        <v>199.53</v>
      </c>
      <c r="J1183">
        <v>208.72</v>
      </c>
      <c r="K1183">
        <v>146.35</v>
      </c>
      <c r="L1183">
        <v>135.41999999999999</v>
      </c>
      <c r="M1183">
        <v>111.45</v>
      </c>
    </row>
    <row r="1184" spans="1:14">
      <c r="A1184" s="2" t="s">
        <v>1212</v>
      </c>
      <c r="B1184" t="s">
        <v>5005</v>
      </c>
      <c r="C1184">
        <v>71.989999999999995</v>
      </c>
      <c r="D1184">
        <v>-21.24</v>
      </c>
      <c r="E1184">
        <v>-25.78</v>
      </c>
      <c r="F1184">
        <v>16.690000000000001</v>
      </c>
      <c r="G1184">
        <v>50.14</v>
      </c>
      <c r="H1184">
        <v>-51.47</v>
      </c>
      <c r="I1184">
        <v>30.44</v>
      </c>
      <c r="J1184">
        <v>69.13</v>
      </c>
      <c r="K1184">
        <v>-33.06</v>
      </c>
      <c r="L1184">
        <v>-23.66</v>
      </c>
      <c r="M1184">
        <v>1.3</v>
      </c>
      <c r="N1184">
        <v>-5.41</v>
      </c>
    </row>
    <row r="1185" spans="1:14">
      <c r="A1185" s="2" t="s">
        <v>1213</v>
      </c>
      <c r="B1185" t="s">
        <v>5006</v>
      </c>
      <c r="C1185">
        <v>-1.37</v>
      </c>
      <c r="D1185">
        <v>2.68</v>
      </c>
      <c r="E1185">
        <v>-8.06</v>
      </c>
      <c r="F1185">
        <v>14.17</v>
      </c>
      <c r="G1185">
        <v>13.49</v>
      </c>
      <c r="H1185">
        <v>-5.58</v>
      </c>
      <c r="I1185">
        <v>-19.52</v>
      </c>
      <c r="J1185">
        <v>-11.84</v>
      </c>
      <c r="K1185">
        <v>-26.17</v>
      </c>
      <c r="L1185">
        <v>-7.49</v>
      </c>
      <c r="M1185">
        <v>3.88</v>
      </c>
      <c r="N1185">
        <v>24.73</v>
      </c>
    </row>
    <row r="1186" spans="1:14">
      <c r="A1186" s="2" t="s">
        <v>1214</v>
      </c>
      <c r="B1186" t="s">
        <v>5007</v>
      </c>
      <c r="C1186">
        <v>-1.1299999999999999</v>
      </c>
      <c r="D1186">
        <v>0.1</v>
      </c>
      <c r="E1186">
        <v>-9.82</v>
      </c>
      <c r="F1186">
        <v>4.25</v>
      </c>
      <c r="G1186">
        <v>-4.75</v>
      </c>
      <c r="H1186">
        <v>11.08</v>
      </c>
      <c r="I1186">
        <v>-16.850000000000001</v>
      </c>
      <c r="J1186">
        <v>-12.42</v>
      </c>
      <c r="K1186">
        <v>-17.510000000000002</v>
      </c>
      <c r="L1186">
        <v>-18.84</v>
      </c>
      <c r="M1186">
        <v>-17.190000000000001</v>
      </c>
      <c r="N1186">
        <v>-10.92</v>
      </c>
    </row>
    <row r="1187" spans="1:14">
      <c r="A1187" s="2" t="s">
        <v>1215</v>
      </c>
      <c r="B1187" t="s">
        <v>5008</v>
      </c>
      <c r="C1187">
        <v>2245.1799999999998</v>
      </c>
      <c r="D1187">
        <v>93.1</v>
      </c>
      <c r="E1187">
        <v>-51.88</v>
      </c>
      <c r="F1187">
        <v>-93.9</v>
      </c>
      <c r="G1187">
        <v>1.1499999999999999</v>
      </c>
      <c r="H1187">
        <v>2.2599999999999998</v>
      </c>
      <c r="I1187">
        <v>2383.87</v>
      </c>
      <c r="J1187">
        <v>4696.24</v>
      </c>
      <c r="K1187">
        <v>2195.7199999999998</v>
      </c>
      <c r="L1187">
        <v>-99.99</v>
      </c>
      <c r="M1187">
        <v>-99.79</v>
      </c>
      <c r="N1187">
        <v>-99.89</v>
      </c>
    </row>
    <row r="1188" spans="1:14">
      <c r="A1188" s="2" t="s">
        <v>1216</v>
      </c>
      <c r="B1188" t="s">
        <v>5009</v>
      </c>
      <c r="C1188">
        <v>11.62</v>
      </c>
      <c r="D1188">
        <v>18.829999999999998</v>
      </c>
      <c r="E1188">
        <v>-21.3</v>
      </c>
      <c r="F1188">
        <v>-3.94</v>
      </c>
      <c r="G1188">
        <v>-2.11</v>
      </c>
      <c r="H1188">
        <v>-9.8000000000000007</v>
      </c>
      <c r="I1188">
        <v>-2.11</v>
      </c>
      <c r="J1188">
        <v>10.3</v>
      </c>
      <c r="K1188">
        <v>-0.2</v>
      </c>
      <c r="L1188">
        <v>-6.61</v>
      </c>
      <c r="M1188">
        <v>-0.59</v>
      </c>
      <c r="N1188">
        <v>-2.85</v>
      </c>
    </row>
    <row r="1189" spans="1:14">
      <c r="A1189" s="2" t="s">
        <v>1217</v>
      </c>
      <c r="B1189" t="s">
        <v>5010</v>
      </c>
      <c r="C1189">
        <v>-5.92</v>
      </c>
      <c r="D1189">
        <v>4.9400000000000004</v>
      </c>
      <c r="E1189">
        <v>-5.77</v>
      </c>
      <c r="F1189">
        <v>2.69</v>
      </c>
      <c r="G1189">
        <v>7.73</v>
      </c>
      <c r="H1189">
        <v>15.57</v>
      </c>
      <c r="I1189">
        <v>-30.73</v>
      </c>
      <c r="J1189">
        <v>-11.31</v>
      </c>
      <c r="K1189">
        <v>-23.12</v>
      </c>
      <c r="L1189">
        <v>-26.31</v>
      </c>
      <c r="M1189">
        <v>-4.5999999999999996</v>
      </c>
      <c r="N1189">
        <v>51.98</v>
      </c>
    </row>
    <row r="1190" spans="1:14">
      <c r="A1190" s="2" t="s">
        <v>1218</v>
      </c>
      <c r="B1190" t="s">
        <v>5011</v>
      </c>
      <c r="C1190">
        <v>7.59</v>
      </c>
      <c r="D1190">
        <v>-0.37</v>
      </c>
      <c r="E1190">
        <v>19.68</v>
      </c>
      <c r="F1190">
        <v>-5.59</v>
      </c>
      <c r="G1190">
        <v>-2.71</v>
      </c>
      <c r="H1190">
        <v>19.739999999999998</v>
      </c>
      <c r="I1190">
        <v>-28.02</v>
      </c>
      <c r="J1190">
        <v>4.45</v>
      </c>
      <c r="K1190">
        <v>54.38</v>
      </c>
      <c r="L1190">
        <v>1.97</v>
      </c>
      <c r="M1190">
        <v>8.15</v>
      </c>
      <c r="N1190">
        <v>15.55</v>
      </c>
    </row>
    <row r="1191" spans="1:14">
      <c r="A1191" s="2" t="s">
        <v>1219</v>
      </c>
      <c r="B1191" t="s">
        <v>5012</v>
      </c>
      <c r="C1191">
        <v>-16.989999999999998</v>
      </c>
      <c r="D1191">
        <v>-18.78</v>
      </c>
      <c r="E1191">
        <v>-7.4</v>
      </c>
      <c r="F1191">
        <v>17.03</v>
      </c>
      <c r="G1191">
        <v>-10.51</v>
      </c>
      <c r="I1191">
        <v>36.4</v>
      </c>
      <c r="J1191">
        <v>-0.73</v>
      </c>
      <c r="K1191">
        <v>-2.59</v>
      </c>
      <c r="L1191">
        <v>-4.8899999999999997</v>
      </c>
      <c r="M1191">
        <v>-34.57</v>
      </c>
    </row>
    <row r="1192" spans="1:14">
      <c r="A1192" s="2" t="s">
        <v>1220</v>
      </c>
      <c r="B1192" t="s">
        <v>5013</v>
      </c>
      <c r="C1192">
        <v>5.99</v>
      </c>
      <c r="D1192">
        <v>337.24</v>
      </c>
      <c r="E1192">
        <v>24.63</v>
      </c>
      <c r="F1192">
        <v>-76.819999999999993</v>
      </c>
      <c r="G1192">
        <v>15.15</v>
      </c>
      <c r="H1192">
        <v>2.16</v>
      </c>
      <c r="I1192">
        <v>-25.46</v>
      </c>
      <c r="J1192">
        <v>264.98</v>
      </c>
      <c r="K1192">
        <v>260.74</v>
      </c>
      <c r="L1192">
        <v>-13.03</v>
      </c>
      <c r="M1192">
        <v>9.91</v>
      </c>
      <c r="N1192">
        <v>15.16</v>
      </c>
    </row>
    <row r="1193" spans="1:14">
      <c r="A1193" s="2" t="s">
        <v>1221</v>
      </c>
      <c r="B1193" t="s">
        <v>5014</v>
      </c>
      <c r="C1193">
        <v>-2.5299999999999998</v>
      </c>
      <c r="D1193">
        <v>1.03</v>
      </c>
      <c r="E1193">
        <v>-2.99</v>
      </c>
      <c r="F1193">
        <v>-1.04</v>
      </c>
      <c r="G1193">
        <v>5.23</v>
      </c>
      <c r="I1193">
        <v>29.18</v>
      </c>
      <c r="J1193">
        <v>36.42</v>
      </c>
      <c r="K1193">
        <v>49.03</v>
      </c>
      <c r="L1193">
        <v>50.05</v>
      </c>
      <c r="M1193">
        <v>54.18</v>
      </c>
    </row>
    <row r="1194" spans="1:14">
      <c r="A1194" s="2" t="s">
        <v>1222</v>
      </c>
      <c r="B1194" t="s">
        <v>5015</v>
      </c>
      <c r="C1194">
        <v>-1.43</v>
      </c>
      <c r="D1194">
        <v>-9.56</v>
      </c>
      <c r="E1194">
        <v>7.48</v>
      </c>
      <c r="F1194">
        <v>1.71</v>
      </c>
      <c r="G1194">
        <v>9.69</v>
      </c>
      <c r="H1194">
        <v>9.6199999999999992</v>
      </c>
      <c r="I1194">
        <v>-4.0599999999999996</v>
      </c>
      <c r="J1194">
        <v>-7.69</v>
      </c>
      <c r="K1194">
        <v>1.06</v>
      </c>
      <c r="L1194">
        <v>-6.87</v>
      </c>
      <c r="M1194">
        <v>-5.49</v>
      </c>
      <c r="N1194">
        <v>56.5</v>
      </c>
    </row>
    <row r="1195" spans="1:14">
      <c r="A1195" s="2" t="s">
        <v>1223</v>
      </c>
      <c r="B1195" t="s">
        <v>5016</v>
      </c>
      <c r="C1195">
        <v>35.4</v>
      </c>
      <c r="D1195">
        <v>-23.73</v>
      </c>
      <c r="E1195">
        <v>-26.84</v>
      </c>
      <c r="F1195">
        <v>-8.74</v>
      </c>
      <c r="G1195">
        <v>10.050000000000001</v>
      </c>
      <c r="H1195">
        <v>11.97</v>
      </c>
      <c r="I1195">
        <v>101.06</v>
      </c>
      <c r="J1195">
        <v>56.98</v>
      </c>
      <c r="K1195">
        <v>7.93</v>
      </c>
      <c r="L1195">
        <v>-10.68</v>
      </c>
      <c r="M1195">
        <v>28.54</v>
      </c>
      <c r="N1195">
        <v>13.43</v>
      </c>
    </row>
    <row r="1196" spans="1:14">
      <c r="A1196" s="2" t="s">
        <v>1224</v>
      </c>
      <c r="B1196" t="s">
        <v>5017</v>
      </c>
      <c r="C1196">
        <v>8.7200000000000006</v>
      </c>
      <c r="D1196">
        <v>44.28</v>
      </c>
      <c r="E1196">
        <v>-19.72</v>
      </c>
      <c r="F1196">
        <v>11.77</v>
      </c>
      <c r="G1196">
        <v>27.01</v>
      </c>
      <c r="H1196">
        <v>-10.84</v>
      </c>
      <c r="I1196">
        <v>42.59</v>
      </c>
      <c r="J1196">
        <v>127.27</v>
      </c>
      <c r="K1196">
        <v>65.59</v>
      </c>
      <c r="L1196">
        <v>82.4</v>
      </c>
      <c r="M1196">
        <v>64.680000000000007</v>
      </c>
      <c r="N1196">
        <v>101.73</v>
      </c>
    </row>
    <row r="1197" spans="1:14">
      <c r="A1197" s="2" t="s">
        <v>1225</v>
      </c>
      <c r="B1197" t="s">
        <v>5018</v>
      </c>
      <c r="C1197">
        <v>0.66</v>
      </c>
      <c r="D1197">
        <v>9.2899999999999991</v>
      </c>
      <c r="E1197">
        <v>-6.08</v>
      </c>
      <c r="F1197">
        <v>12.59</v>
      </c>
      <c r="G1197">
        <v>4.04</v>
      </c>
      <c r="H1197">
        <v>-5.83</v>
      </c>
      <c r="I1197">
        <v>-9.5299999999999994</v>
      </c>
      <c r="J1197">
        <v>-4.71</v>
      </c>
      <c r="K1197">
        <v>1.87</v>
      </c>
      <c r="L1197">
        <v>16.86</v>
      </c>
      <c r="M1197">
        <v>12.69</v>
      </c>
      <c r="N1197">
        <v>0.71</v>
      </c>
    </row>
    <row r="1198" spans="1:14">
      <c r="A1198" s="2" t="s">
        <v>1226</v>
      </c>
      <c r="B1198" t="s">
        <v>5019</v>
      </c>
      <c r="C1198">
        <v>10.36</v>
      </c>
      <c r="D1198">
        <v>-24.68</v>
      </c>
      <c r="E1198">
        <v>-10.029999999999999</v>
      </c>
      <c r="F1198">
        <v>3.4</v>
      </c>
      <c r="G1198">
        <v>-0.21</v>
      </c>
      <c r="H1198">
        <v>17.93</v>
      </c>
      <c r="I1198">
        <v>-1.87</v>
      </c>
      <c r="J1198">
        <v>-11</v>
      </c>
      <c r="K1198">
        <v>2.58</v>
      </c>
      <c r="L1198">
        <v>3.53</v>
      </c>
      <c r="M1198">
        <v>-9.6999999999999993</v>
      </c>
      <c r="N1198">
        <v>7.35</v>
      </c>
    </row>
    <row r="1199" spans="1:14">
      <c r="A1199" s="2" t="s">
        <v>1227</v>
      </c>
      <c r="B1199" t="s">
        <v>5020</v>
      </c>
      <c r="C1199">
        <v>9.77</v>
      </c>
      <c r="D1199">
        <v>26.22</v>
      </c>
      <c r="E1199">
        <v>-20.69</v>
      </c>
      <c r="F1199">
        <v>4.2300000000000004</v>
      </c>
      <c r="G1199">
        <v>14.52</v>
      </c>
      <c r="I1199">
        <v>-12.98</v>
      </c>
      <c r="J1199">
        <v>18.5</v>
      </c>
      <c r="K1199">
        <v>-13.71</v>
      </c>
      <c r="L1199">
        <v>-0.14000000000000001</v>
      </c>
      <c r="M1199">
        <v>7.19</v>
      </c>
    </row>
    <row r="1200" spans="1:14">
      <c r="A1200" s="2" t="s">
        <v>1228</v>
      </c>
      <c r="B1200" t="s">
        <v>5021</v>
      </c>
      <c r="C1200">
        <v>17.29</v>
      </c>
      <c r="D1200">
        <v>5.48</v>
      </c>
      <c r="E1200">
        <v>37.22</v>
      </c>
      <c r="F1200">
        <v>-12.23</v>
      </c>
      <c r="G1200">
        <v>10.95</v>
      </c>
      <c r="H1200">
        <v>-16.21</v>
      </c>
      <c r="I1200">
        <v>2.38</v>
      </c>
      <c r="J1200">
        <v>100.34</v>
      </c>
      <c r="K1200">
        <v>47.1</v>
      </c>
      <c r="L1200">
        <v>9.85</v>
      </c>
      <c r="M1200">
        <v>471.58</v>
      </c>
      <c r="N1200">
        <v>137.97999999999999</v>
      </c>
    </row>
    <row r="1201" spans="1:14">
      <c r="A1201" s="2" t="s">
        <v>1229</v>
      </c>
      <c r="B1201" t="s">
        <v>5022</v>
      </c>
      <c r="C1201">
        <v>-18.559999999999999</v>
      </c>
      <c r="D1201">
        <v>17.899999999999999</v>
      </c>
      <c r="E1201">
        <v>-8.52</v>
      </c>
      <c r="F1201">
        <v>13.4</v>
      </c>
      <c r="G1201">
        <v>6.25</v>
      </c>
      <c r="H1201">
        <v>-20.91</v>
      </c>
      <c r="I1201">
        <v>-40.04</v>
      </c>
      <c r="J1201">
        <v>-20.8</v>
      </c>
      <c r="K1201">
        <v>-24.96</v>
      </c>
      <c r="L1201">
        <v>-12.29</v>
      </c>
      <c r="M1201">
        <v>-21.5</v>
      </c>
      <c r="N1201">
        <v>-9.4600000000000009</v>
      </c>
    </row>
    <row r="1202" spans="1:14">
      <c r="A1202" s="2" t="s">
        <v>1230</v>
      </c>
      <c r="B1202" t="s">
        <v>5023</v>
      </c>
      <c r="C1202">
        <v>12.95</v>
      </c>
      <c r="D1202">
        <v>-2.39</v>
      </c>
      <c r="E1202">
        <v>7.97</v>
      </c>
      <c r="F1202">
        <v>-6.17</v>
      </c>
      <c r="G1202">
        <v>3.14</v>
      </c>
      <c r="H1202">
        <v>45.1</v>
      </c>
      <c r="I1202">
        <v>-10.26</v>
      </c>
      <c r="J1202">
        <v>-15.3</v>
      </c>
      <c r="K1202">
        <v>-5.72</v>
      </c>
      <c r="L1202">
        <v>16.75</v>
      </c>
      <c r="M1202">
        <v>-9.6</v>
      </c>
      <c r="N1202">
        <v>67.819999999999993</v>
      </c>
    </row>
    <row r="1203" spans="1:14">
      <c r="A1203" s="2" t="s">
        <v>1231</v>
      </c>
      <c r="B1203" t="s">
        <v>5024</v>
      </c>
      <c r="C1203">
        <v>-6.58</v>
      </c>
      <c r="D1203">
        <v>-7.21</v>
      </c>
      <c r="E1203">
        <v>9.09</v>
      </c>
      <c r="F1203">
        <v>-15.54</v>
      </c>
      <c r="G1203">
        <v>53.41</v>
      </c>
      <c r="H1203">
        <v>-38.19</v>
      </c>
      <c r="I1203">
        <v>-11.08</v>
      </c>
      <c r="J1203">
        <v>-2.7</v>
      </c>
      <c r="K1203">
        <v>-10.69</v>
      </c>
      <c r="L1203">
        <v>-19.27</v>
      </c>
      <c r="M1203">
        <v>22.31</v>
      </c>
      <c r="N1203">
        <v>0.37</v>
      </c>
    </row>
    <row r="1204" spans="1:14">
      <c r="A1204" s="2" t="s">
        <v>1232</v>
      </c>
      <c r="B1204" t="s">
        <v>5025</v>
      </c>
      <c r="C1204">
        <v>30.2</v>
      </c>
      <c r="D1204">
        <v>36.770000000000003</v>
      </c>
      <c r="E1204">
        <v>-5.81</v>
      </c>
      <c r="F1204">
        <v>-6.51</v>
      </c>
      <c r="G1204">
        <v>-16.829999999999998</v>
      </c>
      <c r="H1204">
        <v>22.39</v>
      </c>
      <c r="I1204">
        <v>29.46</v>
      </c>
      <c r="J1204">
        <v>64.849999999999994</v>
      </c>
      <c r="K1204">
        <v>-0.59</v>
      </c>
      <c r="L1204">
        <v>18.27</v>
      </c>
      <c r="M1204">
        <v>13.45</v>
      </c>
      <c r="N1204">
        <v>11.36</v>
      </c>
    </row>
    <row r="1205" spans="1:14">
      <c r="A1205" s="2" t="s">
        <v>1233</v>
      </c>
      <c r="B1205" t="s">
        <v>5026</v>
      </c>
      <c r="C1205">
        <v>3.87</v>
      </c>
      <c r="D1205">
        <v>10.17</v>
      </c>
      <c r="E1205">
        <v>-16.96</v>
      </c>
      <c r="F1205">
        <v>13.16</v>
      </c>
      <c r="G1205">
        <v>18.11</v>
      </c>
      <c r="H1205">
        <v>-16.829999999999998</v>
      </c>
      <c r="I1205">
        <v>25.79</v>
      </c>
      <c r="J1205">
        <v>23.7</v>
      </c>
      <c r="K1205">
        <v>14.71</v>
      </c>
      <c r="L1205">
        <v>13.73</v>
      </c>
      <c r="M1205">
        <v>20.079999999999998</v>
      </c>
      <c r="N1205">
        <v>27.06</v>
      </c>
    </row>
    <row r="1206" spans="1:14">
      <c r="A1206" s="2" t="s">
        <v>1234</v>
      </c>
      <c r="B1206" t="s">
        <v>5027</v>
      </c>
      <c r="C1206">
        <v>10.66</v>
      </c>
      <c r="D1206">
        <v>6.43</v>
      </c>
      <c r="E1206">
        <v>-6.04</v>
      </c>
      <c r="F1206">
        <v>9.74</v>
      </c>
      <c r="G1206">
        <v>7.61</v>
      </c>
      <c r="H1206">
        <v>7.0000000000000007E-2</v>
      </c>
      <c r="I1206">
        <v>20.84</v>
      </c>
      <c r="J1206">
        <v>38.04</v>
      </c>
      <c r="K1206">
        <v>30.55</v>
      </c>
      <c r="L1206">
        <v>40.56</v>
      </c>
      <c r="M1206">
        <v>48.26</v>
      </c>
      <c r="N1206">
        <v>54.92</v>
      </c>
    </row>
    <row r="1207" spans="1:14">
      <c r="A1207" s="2" t="s">
        <v>1235</v>
      </c>
      <c r="B1207" t="s">
        <v>5028</v>
      </c>
      <c r="C1207">
        <v>-57.3</v>
      </c>
      <c r="D1207">
        <v>601.38</v>
      </c>
      <c r="E1207">
        <v>-43.37</v>
      </c>
      <c r="F1207">
        <v>52.01</v>
      </c>
      <c r="G1207">
        <v>30.56</v>
      </c>
      <c r="H1207">
        <v>-62.55</v>
      </c>
      <c r="I1207">
        <v>-91.42</v>
      </c>
      <c r="J1207">
        <v>-78.77</v>
      </c>
      <c r="K1207">
        <v>-54.28</v>
      </c>
      <c r="L1207">
        <v>-32.28</v>
      </c>
      <c r="M1207">
        <v>44.55</v>
      </c>
      <c r="N1207">
        <v>7.09</v>
      </c>
    </row>
    <row r="1208" spans="1:14">
      <c r="A1208" s="2" t="s">
        <v>1236</v>
      </c>
      <c r="B1208" t="s">
        <v>5029</v>
      </c>
      <c r="C1208">
        <v>-5.4</v>
      </c>
      <c r="D1208">
        <v>2.13</v>
      </c>
      <c r="E1208">
        <v>-14.4</v>
      </c>
      <c r="F1208">
        <v>1.31</v>
      </c>
      <c r="G1208">
        <v>102.06</v>
      </c>
      <c r="I1208">
        <v>44.79</v>
      </c>
      <c r="J1208">
        <v>-4.8899999999999997</v>
      </c>
      <c r="K1208">
        <v>38.6</v>
      </c>
      <c r="L1208">
        <v>30.63</v>
      </c>
      <c r="M1208">
        <v>29.16</v>
      </c>
    </row>
    <row r="1209" spans="1:14">
      <c r="A1209" s="2" t="s">
        <v>1237</v>
      </c>
      <c r="B1209" t="s">
        <v>5030</v>
      </c>
      <c r="C1209">
        <v>15.16</v>
      </c>
      <c r="D1209">
        <v>96.12</v>
      </c>
      <c r="E1209">
        <v>-40.270000000000003</v>
      </c>
      <c r="F1209">
        <v>9.58</v>
      </c>
      <c r="G1209">
        <v>60.62</v>
      </c>
      <c r="H1209">
        <v>-52.33</v>
      </c>
      <c r="I1209">
        <v>-21</v>
      </c>
      <c r="J1209">
        <v>127.4</v>
      </c>
      <c r="K1209">
        <v>18.149999999999999</v>
      </c>
      <c r="L1209">
        <v>-11.96</v>
      </c>
      <c r="M1209">
        <v>5.53</v>
      </c>
      <c r="N1209">
        <v>4</v>
      </c>
    </row>
    <row r="1210" spans="1:14">
      <c r="A1210" s="2" t="s">
        <v>1238</v>
      </c>
      <c r="B1210" t="s">
        <v>5031</v>
      </c>
      <c r="C1210">
        <v>0</v>
      </c>
      <c r="D1210">
        <v>-0.21</v>
      </c>
      <c r="E1210">
        <v>0.21</v>
      </c>
      <c r="F1210">
        <v>0</v>
      </c>
      <c r="G1210">
        <v>-0.21</v>
      </c>
      <c r="H1210">
        <v>6866.32</v>
      </c>
      <c r="I1210">
        <v>4.78</v>
      </c>
      <c r="J1210">
        <v>-0.21</v>
      </c>
      <c r="K1210">
        <v>4.5599999999999996</v>
      </c>
      <c r="L1210">
        <v>-3.98</v>
      </c>
      <c r="M1210">
        <v>-99.93</v>
      </c>
      <c r="N1210">
        <v>6851.87</v>
      </c>
    </row>
    <row r="1211" spans="1:14">
      <c r="A1211" s="2" t="s">
        <v>1239</v>
      </c>
      <c r="B1211" t="s">
        <v>5032</v>
      </c>
      <c r="C1211">
        <v>25.09</v>
      </c>
      <c r="D1211">
        <v>3.5</v>
      </c>
      <c r="E1211">
        <v>-1.19</v>
      </c>
      <c r="F1211">
        <v>3.34</v>
      </c>
      <c r="G1211">
        <v>-5.46</v>
      </c>
      <c r="H1211">
        <v>-10.82</v>
      </c>
      <c r="I1211">
        <v>46.68</v>
      </c>
      <c r="J1211">
        <v>34.28</v>
      </c>
      <c r="K1211">
        <v>7.77</v>
      </c>
      <c r="L1211">
        <v>12.65</v>
      </c>
      <c r="M1211">
        <v>-28.74</v>
      </c>
      <c r="N1211">
        <v>42.99</v>
      </c>
    </row>
    <row r="1212" spans="1:14">
      <c r="A1212" s="2" t="s">
        <v>1240</v>
      </c>
      <c r="B1212" t="s">
        <v>5033</v>
      </c>
      <c r="C1212">
        <v>56.23</v>
      </c>
      <c r="D1212">
        <v>20.21</v>
      </c>
      <c r="E1212">
        <v>-55.6</v>
      </c>
      <c r="F1212">
        <v>46.74</v>
      </c>
      <c r="G1212">
        <v>201.57</v>
      </c>
      <c r="H1212">
        <v>-69.41</v>
      </c>
      <c r="I1212">
        <v>25.98</v>
      </c>
      <c r="J1212">
        <v>83.91</v>
      </c>
      <c r="K1212">
        <v>-40.96</v>
      </c>
      <c r="L1212">
        <v>-37.450000000000003</v>
      </c>
      <c r="M1212">
        <v>113.37</v>
      </c>
      <c r="N1212">
        <v>45.64</v>
      </c>
    </row>
    <row r="1213" spans="1:14">
      <c r="A1213" s="2" t="s">
        <v>1241</v>
      </c>
      <c r="B1213" t="s">
        <v>5034</v>
      </c>
      <c r="C1213">
        <v>8.8800000000000008</v>
      </c>
      <c r="D1213">
        <v>-75.41</v>
      </c>
      <c r="E1213">
        <v>-32.32</v>
      </c>
      <c r="F1213">
        <v>75.89</v>
      </c>
      <c r="G1213">
        <v>-18.850000000000001</v>
      </c>
      <c r="H1213">
        <v>-17.41</v>
      </c>
      <c r="I1213">
        <v>604.89</v>
      </c>
      <c r="J1213">
        <v>223.65</v>
      </c>
      <c r="K1213">
        <v>-47.2</v>
      </c>
      <c r="L1213">
        <v>-64.94</v>
      </c>
      <c r="M1213">
        <v>-57.61</v>
      </c>
      <c r="N1213">
        <v>6.26</v>
      </c>
    </row>
    <row r="1214" spans="1:14">
      <c r="A1214" s="2" t="s">
        <v>1242</v>
      </c>
      <c r="B1214" t="s">
        <v>5035</v>
      </c>
      <c r="C1214">
        <v>-6.1</v>
      </c>
      <c r="D1214">
        <v>-0.31</v>
      </c>
      <c r="E1214">
        <v>0.13</v>
      </c>
      <c r="F1214">
        <v>-12.87</v>
      </c>
      <c r="G1214">
        <v>18.09</v>
      </c>
      <c r="H1214">
        <v>-2.5299999999999998</v>
      </c>
      <c r="I1214">
        <v>0.65</v>
      </c>
      <c r="J1214">
        <v>5.32</v>
      </c>
      <c r="K1214">
        <v>20.65</v>
      </c>
      <c r="L1214">
        <v>-10.01</v>
      </c>
      <c r="M1214">
        <v>-9.69</v>
      </c>
      <c r="N1214">
        <v>15.98</v>
      </c>
    </row>
    <row r="1215" spans="1:14">
      <c r="A1215" s="2" t="s">
        <v>1243</v>
      </c>
      <c r="B1215" t="s">
        <v>5036</v>
      </c>
      <c r="C1215">
        <v>-10.01</v>
      </c>
      <c r="D1215">
        <v>8.8800000000000008</v>
      </c>
      <c r="E1215">
        <v>-25.19</v>
      </c>
      <c r="F1215">
        <v>8.18</v>
      </c>
      <c r="G1215">
        <v>36.9</v>
      </c>
      <c r="H1215">
        <v>-35.6</v>
      </c>
      <c r="I1215">
        <v>-1.99</v>
      </c>
      <c r="J1215">
        <v>0.23</v>
      </c>
      <c r="K1215">
        <v>-16.579999999999998</v>
      </c>
      <c r="L1215">
        <v>11.17</v>
      </c>
      <c r="M1215">
        <v>14.61</v>
      </c>
      <c r="N1215">
        <v>-7.04</v>
      </c>
    </row>
    <row r="1216" spans="1:14">
      <c r="A1216" s="2" t="s">
        <v>1244</v>
      </c>
      <c r="B1216" t="s">
        <v>5037</v>
      </c>
      <c r="C1216">
        <v>395.82</v>
      </c>
      <c r="D1216">
        <v>-77.37</v>
      </c>
      <c r="E1216">
        <v>376.27</v>
      </c>
      <c r="F1216">
        <v>70.09</v>
      </c>
      <c r="G1216">
        <v>-66.2</v>
      </c>
      <c r="H1216">
        <v>29.69</v>
      </c>
      <c r="I1216">
        <v>110.95</v>
      </c>
      <c r="J1216">
        <v>-50.36</v>
      </c>
      <c r="K1216">
        <v>200.99</v>
      </c>
      <c r="L1216">
        <v>501.47</v>
      </c>
      <c r="M1216">
        <v>407.92</v>
      </c>
      <c r="N1216">
        <v>2495.4899999999998</v>
      </c>
    </row>
    <row r="1217" spans="1:14">
      <c r="A1217" s="2" t="s">
        <v>1245</v>
      </c>
      <c r="B1217" t="s">
        <v>5038</v>
      </c>
      <c r="C1217">
        <v>-67.739999999999995</v>
      </c>
      <c r="D1217">
        <v>0</v>
      </c>
      <c r="E1217">
        <v>0</v>
      </c>
      <c r="F1217">
        <v>0</v>
      </c>
      <c r="G1217">
        <v>1.62</v>
      </c>
      <c r="H1217">
        <v>3.46</v>
      </c>
      <c r="I1217">
        <v>125.61</v>
      </c>
      <c r="J1217">
        <v>126.99</v>
      </c>
      <c r="K1217">
        <v>-85.29</v>
      </c>
      <c r="L1217">
        <v>-70.28</v>
      </c>
      <c r="M1217">
        <v>0.53</v>
      </c>
      <c r="N1217">
        <v>1.04</v>
      </c>
    </row>
    <row r="1218" spans="1:14">
      <c r="A1218" s="2" t="s">
        <v>1246</v>
      </c>
      <c r="B1218" t="s">
        <v>5039</v>
      </c>
      <c r="C1218">
        <v>-0.53</v>
      </c>
      <c r="D1218">
        <v>-1.68</v>
      </c>
      <c r="E1218">
        <v>-0.94</v>
      </c>
      <c r="F1218">
        <v>916.4</v>
      </c>
      <c r="G1218">
        <v>427.41</v>
      </c>
      <c r="H1218">
        <v>-72.14</v>
      </c>
      <c r="I1218">
        <v>-84.39</v>
      </c>
      <c r="J1218">
        <v>-84.39</v>
      </c>
      <c r="K1218">
        <v>-97.83</v>
      </c>
      <c r="L1218">
        <v>-9.4700000000000006</v>
      </c>
      <c r="M1218">
        <v>2402.42</v>
      </c>
      <c r="N1218">
        <v>1344.14</v>
      </c>
    </row>
    <row r="1219" spans="1:14">
      <c r="A1219" s="2" t="s">
        <v>1247</v>
      </c>
      <c r="B1219" t="s">
        <v>5040</v>
      </c>
      <c r="C1219">
        <v>-87.04</v>
      </c>
      <c r="D1219">
        <v>-20.49</v>
      </c>
      <c r="E1219">
        <v>61.04</v>
      </c>
      <c r="F1219">
        <v>-19.16</v>
      </c>
      <c r="G1219">
        <v>23570.78</v>
      </c>
      <c r="H1219">
        <v>-76.84</v>
      </c>
      <c r="I1219">
        <v>-43.35</v>
      </c>
      <c r="J1219">
        <v>-40.25</v>
      </c>
      <c r="K1219">
        <v>-13.9</v>
      </c>
      <c r="L1219">
        <v>-38.15</v>
      </c>
      <c r="M1219">
        <v>12386.08</v>
      </c>
      <c r="N1219">
        <v>3603.46</v>
      </c>
    </row>
    <row r="1220" spans="1:14">
      <c r="A1220" s="2" t="s">
        <v>1248</v>
      </c>
      <c r="B1220" t="s">
        <v>5041</v>
      </c>
      <c r="C1220">
        <v>-19.22</v>
      </c>
      <c r="D1220">
        <v>-21.76</v>
      </c>
      <c r="E1220">
        <v>56.9</v>
      </c>
      <c r="F1220">
        <v>-32.58</v>
      </c>
      <c r="G1220">
        <v>49.04</v>
      </c>
      <c r="H1220">
        <v>7.93</v>
      </c>
      <c r="I1220">
        <v>1.86</v>
      </c>
      <c r="J1220">
        <v>-24.83</v>
      </c>
      <c r="K1220">
        <v>-52.02</v>
      </c>
      <c r="L1220">
        <v>-21.09</v>
      </c>
      <c r="M1220">
        <v>7.35</v>
      </c>
      <c r="N1220">
        <v>8.2799999999999994</v>
      </c>
    </row>
    <row r="1221" spans="1:14">
      <c r="A1221" s="2" t="s">
        <v>1249</v>
      </c>
      <c r="B1221" t="s">
        <v>5042</v>
      </c>
      <c r="C1221">
        <v>43.67</v>
      </c>
      <c r="D1221">
        <v>441.65</v>
      </c>
      <c r="E1221">
        <v>-88.25</v>
      </c>
      <c r="F1221">
        <v>35.61</v>
      </c>
      <c r="G1221">
        <v>-48.1</v>
      </c>
      <c r="H1221">
        <v>12.71</v>
      </c>
      <c r="I1221">
        <v>2.97</v>
      </c>
      <c r="J1221">
        <v>-48.78</v>
      </c>
      <c r="K1221">
        <v>-45.66</v>
      </c>
      <c r="L1221">
        <v>73.239999999999995</v>
      </c>
      <c r="M1221">
        <v>-98.47</v>
      </c>
      <c r="N1221">
        <v>-9.1300000000000008</v>
      </c>
    </row>
    <row r="1222" spans="1:14">
      <c r="A1222" s="2" t="s">
        <v>1250</v>
      </c>
      <c r="B1222" t="s">
        <v>5043</v>
      </c>
      <c r="C1222">
        <v>-23.05</v>
      </c>
      <c r="D1222">
        <v>52.33</v>
      </c>
      <c r="E1222">
        <v>-22.37</v>
      </c>
      <c r="F1222">
        <v>-9.15</v>
      </c>
      <c r="G1222">
        <v>97.23</v>
      </c>
      <c r="H1222">
        <v>-11.04</v>
      </c>
      <c r="I1222">
        <v>-87.02</v>
      </c>
      <c r="J1222">
        <v>-82.5</v>
      </c>
      <c r="K1222">
        <v>-81.849999999999994</v>
      </c>
      <c r="L1222">
        <v>-64.47</v>
      </c>
      <c r="M1222">
        <v>46.24</v>
      </c>
      <c r="N1222">
        <v>-31.45</v>
      </c>
    </row>
    <row r="1223" spans="1:14">
      <c r="A1223" s="2" t="s">
        <v>1251</v>
      </c>
      <c r="B1223" t="s">
        <v>5044</v>
      </c>
      <c r="C1223">
        <v>34.89</v>
      </c>
      <c r="D1223">
        <v>176.61</v>
      </c>
      <c r="E1223">
        <v>-25.24</v>
      </c>
      <c r="F1223">
        <v>195.76</v>
      </c>
      <c r="G1223">
        <v>26.64</v>
      </c>
      <c r="H1223">
        <v>-82.4</v>
      </c>
      <c r="I1223">
        <v>-40.659999999999997</v>
      </c>
      <c r="J1223">
        <v>-42.08</v>
      </c>
      <c r="K1223">
        <v>-54.23</v>
      </c>
      <c r="L1223">
        <v>1.68</v>
      </c>
      <c r="M1223">
        <v>-24.35</v>
      </c>
      <c r="N1223">
        <v>-3.88</v>
      </c>
    </row>
    <row r="1224" spans="1:14">
      <c r="A1224" s="2" t="s">
        <v>1252</v>
      </c>
      <c r="B1224" t="s">
        <v>5045</v>
      </c>
      <c r="C1224">
        <v>-10.17</v>
      </c>
      <c r="D1224">
        <v>15.81</v>
      </c>
      <c r="E1224">
        <v>-18.100000000000001</v>
      </c>
      <c r="F1224">
        <v>16.41</v>
      </c>
      <c r="G1224">
        <v>8.61</v>
      </c>
      <c r="H1224">
        <v>-9.43</v>
      </c>
      <c r="I1224">
        <v>41.85</v>
      </c>
      <c r="J1224">
        <v>28.78</v>
      </c>
      <c r="K1224">
        <v>17.850000000000001</v>
      </c>
      <c r="L1224">
        <v>20.03</v>
      </c>
      <c r="M1224">
        <v>10.14</v>
      </c>
      <c r="N1224">
        <v>38.79</v>
      </c>
    </row>
    <row r="1225" spans="1:14">
      <c r="A1225" s="2" t="s">
        <v>1253</v>
      </c>
      <c r="B1225" t="s">
        <v>5046</v>
      </c>
      <c r="C1225">
        <v>1.36</v>
      </c>
      <c r="D1225">
        <v>3.31</v>
      </c>
      <c r="E1225">
        <v>-10.71</v>
      </c>
      <c r="F1225">
        <v>13.93</v>
      </c>
      <c r="G1225">
        <v>14.02</v>
      </c>
      <c r="H1225">
        <v>-2.98</v>
      </c>
      <c r="I1225">
        <v>-6.13</v>
      </c>
      <c r="J1225">
        <v>-4.13</v>
      </c>
      <c r="K1225">
        <v>-9.15</v>
      </c>
      <c r="L1225">
        <v>-4.08</v>
      </c>
      <c r="M1225">
        <v>4.43</v>
      </c>
      <c r="N1225">
        <v>46.21</v>
      </c>
    </row>
    <row r="1226" spans="1:14">
      <c r="A1226" s="2" t="s">
        <v>1254</v>
      </c>
      <c r="B1226" t="s">
        <v>5047</v>
      </c>
      <c r="C1226">
        <v>-22.41</v>
      </c>
      <c r="D1226">
        <v>30.1</v>
      </c>
      <c r="E1226">
        <v>-5.62</v>
      </c>
      <c r="F1226">
        <v>8.08</v>
      </c>
      <c r="G1226">
        <v>1.77</v>
      </c>
      <c r="I1226">
        <v>-25.03</v>
      </c>
      <c r="J1226">
        <v>-13.02</v>
      </c>
      <c r="K1226">
        <v>4.8600000000000003</v>
      </c>
      <c r="L1226">
        <v>-7.91</v>
      </c>
      <c r="M1226">
        <v>3.11</v>
      </c>
    </row>
    <row r="1227" spans="1:14">
      <c r="A1227" s="2" t="s">
        <v>1255</v>
      </c>
      <c r="B1227" t="s">
        <v>5048</v>
      </c>
      <c r="C1227">
        <v>-15.09</v>
      </c>
      <c r="D1227">
        <v>-2.5099999999999998</v>
      </c>
      <c r="E1227">
        <v>-10.28</v>
      </c>
      <c r="F1227">
        <v>6.98</v>
      </c>
      <c r="G1227">
        <v>6.91</v>
      </c>
      <c r="H1227">
        <v>-26.33</v>
      </c>
      <c r="I1227">
        <v>-24.79</v>
      </c>
      <c r="J1227">
        <v>-32.11</v>
      </c>
      <c r="K1227">
        <v>-46.4</v>
      </c>
      <c r="L1227">
        <v>-51.07</v>
      </c>
      <c r="M1227">
        <v>-52.21</v>
      </c>
      <c r="N1227">
        <v>-48.61</v>
      </c>
    </row>
    <row r="1228" spans="1:14">
      <c r="A1228" s="2" t="s">
        <v>1256</v>
      </c>
      <c r="B1228" t="s">
        <v>5049</v>
      </c>
      <c r="C1228">
        <v>17.510000000000002</v>
      </c>
      <c r="D1228">
        <v>-4.38</v>
      </c>
      <c r="E1228">
        <v>13.08</v>
      </c>
      <c r="F1228">
        <v>64.84</v>
      </c>
      <c r="G1228">
        <v>-20.260000000000002</v>
      </c>
      <c r="H1228">
        <v>-18.54</v>
      </c>
      <c r="I1228">
        <v>-13.18</v>
      </c>
      <c r="J1228">
        <v>-38.44</v>
      </c>
      <c r="K1228">
        <v>-0.84</v>
      </c>
      <c r="L1228">
        <v>66.39</v>
      </c>
      <c r="M1228">
        <v>0.54</v>
      </c>
      <c r="N1228">
        <v>-2.73</v>
      </c>
    </row>
    <row r="1229" spans="1:14">
      <c r="A1229" s="2" t="s">
        <v>1257</v>
      </c>
      <c r="B1229" t="s">
        <v>5050</v>
      </c>
      <c r="C1229">
        <v>-0.72</v>
      </c>
      <c r="D1229">
        <v>58.42</v>
      </c>
      <c r="E1229">
        <v>-30</v>
      </c>
      <c r="F1229">
        <v>52.13</v>
      </c>
      <c r="G1229">
        <v>-9.41</v>
      </c>
      <c r="I1229">
        <v>-10.75</v>
      </c>
      <c r="J1229">
        <v>38.03</v>
      </c>
      <c r="K1229">
        <v>3.98</v>
      </c>
      <c r="L1229">
        <v>45.89</v>
      </c>
      <c r="M1229">
        <v>7.55</v>
      </c>
    </row>
    <row r="1230" spans="1:14">
      <c r="A1230" s="2" t="s">
        <v>1258</v>
      </c>
      <c r="B1230" t="s">
        <v>5051</v>
      </c>
      <c r="C1230">
        <v>5.86</v>
      </c>
      <c r="D1230">
        <v>0.55000000000000004</v>
      </c>
      <c r="E1230">
        <v>-1.76</v>
      </c>
      <c r="F1230">
        <v>0.22</v>
      </c>
      <c r="G1230">
        <v>3.33</v>
      </c>
      <c r="H1230">
        <v>-4.29</v>
      </c>
      <c r="I1230">
        <v>4.0599999999999996</v>
      </c>
      <c r="J1230">
        <v>1.1000000000000001</v>
      </c>
      <c r="K1230">
        <v>5.22</v>
      </c>
      <c r="L1230">
        <v>0.37</v>
      </c>
      <c r="M1230">
        <v>0.47</v>
      </c>
      <c r="N1230">
        <v>0.67</v>
      </c>
    </row>
    <row r="1231" spans="1:14">
      <c r="A1231" s="2" t="s">
        <v>1259</v>
      </c>
      <c r="B1231" t="s">
        <v>5052</v>
      </c>
      <c r="C1231">
        <v>-5.71</v>
      </c>
      <c r="D1231">
        <v>2.63</v>
      </c>
      <c r="E1231">
        <v>3.67</v>
      </c>
      <c r="F1231">
        <v>-11.41</v>
      </c>
      <c r="G1231">
        <v>11.62</v>
      </c>
      <c r="H1231">
        <v>17.809999999999999</v>
      </c>
      <c r="I1231">
        <v>-37.31</v>
      </c>
      <c r="J1231">
        <v>-19.690000000000001</v>
      </c>
      <c r="K1231">
        <v>-2.4900000000000002</v>
      </c>
      <c r="L1231">
        <v>-5.71</v>
      </c>
      <c r="M1231">
        <v>-27.35</v>
      </c>
      <c r="N1231">
        <v>-5.35</v>
      </c>
    </row>
    <row r="1232" spans="1:14">
      <c r="A1232" s="2" t="s">
        <v>1260</v>
      </c>
      <c r="B1232" t="s">
        <v>5053</v>
      </c>
      <c r="C1232">
        <v>0.81</v>
      </c>
      <c r="D1232">
        <v>1.22</v>
      </c>
      <c r="E1232">
        <v>-0.42</v>
      </c>
      <c r="F1232">
        <v>0.48</v>
      </c>
      <c r="G1232">
        <v>-0.01</v>
      </c>
      <c r="H1232">
        <v>1.33</v>
      </c>
      <c r="I1232">
        <v>0.33</v>
      </c>
      <c r="J1232">
        <v>2.02</v>
      </c>
      <c r="K1232">
        <v>1.71</v>
      </c>
      <c r="L1232">
        <v>1.95</v>
      </c>
      <c r="M1232">
        <v>1.74</v>
      </c>
      <c r="N1232">
        <v>3.99</v>
      </c>
    </row>
    <row r="1233" spans="1:14">
      <c r="A1233" s="2" t="s">
        <v>1261</v>
      </c>
      <c r="B1233" t="s">
        <v>5054</v>
      </c>
      <c r="C1233">
        <v>-2.39</v>
      </c>
      <c r="D1233">
        <v>0.68</v>
      </c>
      <c r="E1233">
        <v>2.14</v>
      </c>
      <c r="F1233">
        <v>-0.95</v>
      </c>
      <c r="G1233">
        <v>7.79</v>
      </c>
      <c r="H1233">
        <v>5.64</v>
      </c>
      <c r="I1233">
        <v>18.16</v>
      </c>
      <c r="J1233">
        <v>26.7</v>
      </c>
      <c r="K1233">
        <v>24.57</v>
      </c>
      <c r="L1233">
        <v>20.97</v>
      </c>
      <c r="M1233">
        <v>29.57</v>
      </c>
      <c r="N1233">
        <v>41.15</v>
      </c>
    </row>
    <row r="1234" spans="1:14">
      <c r="A1234" s="2" t="s">
        <v>1262</v>
      </c>
      <c r="B1234" t="s">
        <v>5055</v>
      </c>
      <c r="C1234">
        <v>6.41</v>
      </c>
      <c r="D1234">
        <v>-3.53</v>
      </c>
      <c r="E1234">
        <v>12.14</v>
      </c>
      <c r="F1234">
        <v>-1.7</v>
      </c>
      <c r="G1234">
        <v>0.26</v>
      </c>
      <c r="H1234">
        <v>-8.1199999999999992</v>
      </c>
      <c r="I1234">
        <v>-13.98</v>
      </c>
      <c r="J1234">
        <v>-17.43</v>
      </c>
      <c r="K1234">
        <v>-5.23</v>
      </c>
      <c r="L1234">
        <v>-9.69</v>
      </c>
      <c r="M1234">
        <v>-8</v>
      </c>
      <c r="N1234">
        <v>-11.13</v>
      </c>
    </row>
    <row r="1235" spans="1:14">
      <c r="A1235" s="2" t="s">
        <v>1263</v>
      </c>
      <c r="B1235" t="s">
        <v>5056</v>
      </c>
      <c r="C1235">
        <v>3.5</v>
      </c>
      <c r="D1235">
        <v>1.25</v>
      </c>
      <c r="E1235">
        <v>-5.88</v>
      </c>
      <c r="F1235">
        <v>11.88</v>
      </c>
      <c r="G1235">
        <v>0.08</v>
      </c>
      <c r="H1235">
        <v>-10.23</v>
      </c>
      <c r="I1235">
        <v>-0.43</v>
      </c>
      <c r="J1235">
        <v>-5.41</v>
      </c>
      <c r="K1235">
        <v>-14.8</v>
      </c>
      <c r="L1235">
        <v>-6.98</v>
      </c>
      <c r="M1235">
        <v>-4.57</v>
      </c>
      <c r="N1235">
        <v>2.39</v>
      </c>
    </row>
    <row r="1236" spans="1:14">
      <c r="A1236" s="2" t="s">
        <v>1264</v>
      </c>
      <c r="B1236" t="s">
        <v>5057</v>
      </c>
      <c r="C1236">
        <v>62.19</v>
      </c>
      <c r="D1236">
        <v>-36.049999999999997</v>
      </c>
      <c r="E1236">
        <v>52.6</v>
      </c>
      <c r="F1236">
        <v>-22.03</v>
      </c>
      <c r="G1236">
        <v>28.39</v>
      </c>
      <c r="H1236">
        <v>-25.59</v>
      </c>
      <c r="I1236">
        <v>-1.2</v>
      </c>
      <c r="J1236">
        <v>-0.46</v>
      </c>
      <c r="K1236">
        <v>59.08</v>
      </c>
      <c r="L1236">
        <v>-4.2300000000000004</v>
      </c>
      <c r="M1236">
        <v>18.59</v>
      </c>
      <c r="N1236">
        <v>-4.51</v>
      </c>
    </row>
    <row r="1237" spans="1:14">
      <c r="A1237" s="2" t="s">
        <v>1265</v>
      </c>
      <c r="B1237" t="s">
        <v>5058</v>
      </c>
      <c r="C1237">
        <v>18.95</v>
      </c>
      <c r="D1237">
        <v>3.87</v>
      </c>
      <c r="E1237">
        <v>14.01</v>
      </c>
      <c r="F1237">
        <v>38.700000000000003</v>
      </c>
      <c r="G1237">
        <v>19.47</v>
      </c>
      <c r="H1237">
        <v>-26.09</v>
      </c>
      <c r="I1237">
        <v>3.88</v>
      </c>
      <c r="J1237">
        <v>21.14</v>
      </c>
      <c r="K1237">
        <v>6.88</v>
      </c>
      <c r="L1237">
        <v>16.48</v>
      </c>
      <c r="M1237">
        <v>4.16</v>
      </c>
      <c r="N1237">
        <v>-2.4700000000000002</v>
      </c>
    </row>
    <row r="1238" spans="1:14">
      <c r="A1238" s="2" t="s">
        <v>1266</v>
      </c>
      <c r="B1238" t="s">
        <v>5059</v>
      </c>
      <c r="C1238">
        <v>23.8</v>
      </c>
      <c r="D1238">
        <v>-32.450000000000003</v>
      </c>
      <c r="E1238">
        <v>68.38</v>
      </c>
      <c r="F1238">
        <v>-12.26</v>
      </c>
      <c r="G1238">
        <v>34.75</v>
      </c>
      <c r="H1238">
        <v>0.98</v>
      </c>
      <c r="I1238">
        <v>3.68</v>
      </c>
      <c r="J1238">
        <v>-15.24</v>
      </c>
      <c r="K1238">
        <v>4607.4799999999996</v>
      </c>
      <c r="L1238">
        <v>36.64</v>
      </c>
      <c r="M1238">
        <v>59.14</v>
      </c>
      <c r="N1238">
        <v>27.02</v>
      </c>
    </row>
    <row r="1239" spans="1:14">
      <c r="A1239" s="2" t="s">
        <v>1267</v>
      </c>
      <c r="B1239" t="s">
        <v>5060</v>
      </c>
      <c r="C1239">
        <v>-12.61</v>
      </c>
      <c r="D1239">
        <v>19.739999999999998</v>
      </c>
      <c r="E1239">
        <v>33.840000000000003</v>
      </c>
      <c r="F1239">
        <v>-40.39</v>
      </c>
      <c r="G1239">
        <v>-32.840000000000003</v>
      </c>
      <c r="H1239">
        <v>4.13</v>
      </c>
      <c r="I1239">
        <v>-7.98</v>
      </c>
      <c r="J1239">
        <v>6.19</v>
      </c>
      <c r="K1239">
        <v>-4.67</v>
      </c>
      <c r="L1239">
        <v>-27.74</v>
      </c>
      <c r="M1239">
        <v>-0.84</v>
      </c>
      <c r="N1239">
        <v>-40.22</v>
      </c>
    </row>
    <row r="1240" spans="1:14">
      <c r="A1240" s="2" t="s">
        <v>1268</v>
      </c>
      <c r="B1240" t="s">
        <v>5061</v>
      </c>
      <c r="C1240">
        <v>71.16</v>
      </c>
      <c r="D1240">
        <v>25.27</v>
      </c>
      <c r="E1240">
        <v>31.79</v>
      </c>
      <c r="H1240">
        <v>248.41</v>
      </c>
      <c r="K1240">
        <v>24652.26</v>
      </c>
      <c r="L1240">
        <v>-74.2</v>
      </c>
      <c r="M1240">
        <v>6185.39</v>
      </c>
      <c r="N1240">
        <v>8548.66</v>
      </c>
    </row>
    <row r="1241" spans="1:14">
      <c r="A1241" s="2" t="s">
        <v>1269</v>
      </c>
      <c r="B1241" t="s">
        <v>5062</v>
      </c>
      <c r="C1241">
        <v>3.82</v>
      </c>
      <c r="D1241">
        <v>-2.86</v>
      </c>
      <c r="E1241">
        <v>1.29</v>
      </c>
      <c r="F1241">
        <v>-3.47</v>
      </c>
      <c r="G1241">
        <v>5.52</v>
      </c>
      <c r="H1241">
        <v>-1.98</v>
      </c>
      <c r="I1241">
        <v>-6.36</v>
      </c>
      <c r="J1241">
        <v>-6.59</v>
      </c>
      <c r="K1241">
        <v>-6.13</v>
      </c>
      <c r="L1241">
        <v>-4.84</v>
      </c>
      <c r="M1241">
        <v>-2.83</v>
      </c>
      <c r="N1241">
        <v>-2.2200000000000002</v>
      </c>
    </row>
    <row r="1242" spans="1:14">
      <c r="A1242" s="2" t="s">
        <v>1270</v>
      </c>
      <c r="B1242" t="s">
        <v>5063</v>
      </c>
      <c r="C1242">
        <v>-2.6</v>
      </c>
      <c r="D1242">
        <v>-6.8</v>
      </c>
      <c r="E1242">
        <v>20.399999999999999</v>
      </c>
      <c r="F1242">
        <v>-12.03</v>
      </c>
      <c r="G1242">
        <v>1.1499999999999999</v>
      </c>
      <c r="H1242">
        <v>15.95</v>
      </c>
      <c r="I1242">
        <v>3.06</v>
      </c>
      <c r="J1242">
        <v>12.55</v>
      </c>
      <c r="K1242">
        <v>7.57</v>
      </c>
      <c r="L1242">
        <v>12.16</v>
      </c>
      <c r="M1242">
        <v>-15.66</v>
      </c>
      <c r="N1242">
        <v>0.94</v>
      </c>
    </row>
    <row r="1243" spans="1:14">
      <c r="A1243" s="2" t="s">
        <v>1271</v>
      </c>
      <c r="B1243" t="s">
        <v>5064</v>
      </c>
      <c r="C1243">
        <v>-9.07</v>
      </c>
      <c r="D1243">
        <v>-5.58</v>
      </c>
      <c r="E1243">
        <v>34.81</v>
      </c>
      <c r="F1243">
        <v>-18.97</v>
      </c>
      <c r="G1243">
        <v>29.57</v>
      </c>
      <c r="H1243">
        <v>-8.1300000000000008</v>
      </c>
      <c r="I1243">
        <v>-15.22</v>
      </c>
      <c r="J1243">
        <v>2.35</v>
      </c>
      <c r="K1243">
        <v>15.94</v>
      </c>
      <c r="L1243">
        <v>-10.119999999999999</v>
      </c>
      <c r="M1243">
        <v>4.34</v>
      </c>
      <c r="N1243">
        <v>6.74</v>
      </c>
    </row>
    <row r="1244" spans="1:14">
      <c r="A1244" s="2" t="s">
        <v>1272</v>
      </c>
      <c r="B1244" t="s">
        <v>5065</v>
      </c>
      <c r="C1244">
        <v>-4.1500000000000004</v>
      </c>
      <c r="D1244">
        <v>1.99</v>
      </c>
      <c r="E1244">
        <v>-7.7</v>
      </c>
      <c r="F1244">
        <v>4.5</v>
      </c>
      <c r="G1244">
        <v>9.1999999999999993</v>
      </c>
      <c r="I1244">
        <v>4.03</v>
      </c>
      <c r="J1244">
        <v>18.14</v>
      </c>
      <c r="K1244">
        <v>22.86</v>
      </c>
      <c r="L1244">
        <v>25.51</v>
      </c>
      <c r="M1244">
        <v>31.96</v>
      </c>
    </row>
    <row r="1245" spans="1:14">
      <c r="A1245" s="2" t="s">
        <v>1273</v>
      </c>
      <c r="B1245" t="s">
        <v>5066</v>
      </c>
      <c r="C1245">
        <v>-1.6</v>
      </c>
      <c r="D1245">
        <v>9.8800000000000008</v>
      </c>
      <c r="E1245">
        <v>-12.56</v>
      </c>
      <c r="F1245">
        <v>1.03</v>
      </c>
      <c r="G1245">
        <v>-13.69</v>
      </c>
      <c r="H1245">
        <v>37.31</v>
      </c>
      <c r="I1245">
        <v>-4.91</v>
      </c>
      <c r="J1245">
        <v>2.84</v>
      </c>
      <c r="K1245">
        <v>-4.3</v>
      </c>
      <c r="L1245">
        <v>10.7</v>
      </c>
      <c r="M1245">
        <v>-7.53</v>
      </c>
      <c r="N1245">
        <v>-9.67</v>
      </c>
    </row>
    <row r="1246" spans="1:14">
      <c r="A1246" s="2" t="s">
        <v>1274</v>
      </c>
      <c r="B1246" t="s">
        <v>5067</v>
      </c>
      <c r="C1246">
        <v>-0.97</v>
      </c>
      <c r="D1246">
        <v>-4.18</v>
      </c>
      <c r="E1246">
        <v>5.58</v>
      </c>
      <c r="F1246">
        <v>-2.88</v>
      </c>
      <c r="G1246">
        <v>2.5</v>
      </c>
      <c r="H1246">
        <v>-3.04</v>
      </c>
      <c r="I1246">
        <v>3.91</v>
      </c>
      <c r="J1246">
        <v>2.4900000000000002</v>
      </c>
      <c r="K1246">
        <v>6.91</v>
      </c>
      <c r="L1246">
        <v>7.61</v>
      </c>
      <c r="M1246">
        <v>9.89</v>
      </c>
      <c r="N1246">
        <v>5.74</v>
      </c>
    </row>
    <row r="1247" spans="1:14">
      <c r="A1247" s="2" t="s">
        <v>1275</v>
      </c>
      <c r="B1247" t="s">
        <v>5068</v>
      </c>
      <c r="C1247">
        <v>7.77</v>
      </c>
      <c r="D1247">
        <v>-6.33</v>
      </c>
      <c r="E1247">
        <v>2.6</v>
      </c>
      <c r="F1247">
        <v>1.35</v>
      </c>
      <c r="G1247">
        <v>3.61</v>
      </c>
      <c r="H1247">
        <v>5.32</v>
      </c>
      <c r="I1247">
        <v>8.81</v>
      </c>
      <c r="J1247">
        <v>2.19</v>
      </c>
      <c r="K1247">
        <v>13.16</v>
      </c>
      <c r="L1247">
        <v>14.27</v>
      </c>
      <c r="M1247">
        <v>2.5</v>
      </c>
      <c r="N1247">
        <v>-1.86</v>
      </c>
    </row>
    <row r="1248" spans="1:14">
      <c r="A1248" s="2" t="s">
        <v>1276</v>
      </c>
      <c r="B1248" t="s">
        <v>5069</v>
      </c>
      <c r="C1248">
        <v>29.54</v>
      </c>
      <c r="D1248">
        <v>-22</v>
      </c>
      <c r="E1248">
        <v>13.97</v>
      </c>
      <c r="F1248">
        <v>-22.22</v>
      </c>
      <c r="G1248">
        <v>-5.99</v>
      </c>
      <c r="I1248">
        <v>20.55</v>
      </c>
      <c r="J1248">
        <v>32.159999999999997</v>
      </c>
      <c r="K1248">
        <v>66.540000000000006</v>
      </c>
      <c r="L1248">
        <v>34.97</v>
      </c>
      <c r="M1248">
        <v>15.68</v>
      </c>
    </row>
    <row r="1249" spans="1:14">
      <c r="A1249" s="2" t="s">
        <v>1277</v>
      </c>
      <c r="B1249" t="s">
        <v>5070</v>
      </c>
      <c r="C1249">
        <v>-1.5</v>
      </c>
      <c r="D1249">
        <v>-27.71</v>
      </c>
      <c r="E1249">
        <v>75.59</v>
      </c>
      <c r="F1249">
        <v>6.31</v>
      </c>
      <c r="G1249">
        <v>-19.46</v>
      </c>
      <c r="H1249">
        <v>11.21</v>
      </c>
      <c r="I1249">
        <v>-10.29</v>
      </c>
      <c r="J1249">
        <v>-21.44</v>
      </c>
      <c r="K1249">
        <v>16.920000000000002</v>
      </c>
      <c r="L1249">
        <v>-1.88</v>
      </c>
      <c r="M1249">
        <v>-7.3</v>
      </c>
      <c r="N1249">
        <v>-35.54</v>
      </c>
    </row>
    <row r="1250" spans="1:14">
      <c r="A1250" s="2" t="s">
        <v>1278</v>
      </c>
      <c r="B1250" t="s">
        <v>5071</v>
      </c>
      <c r="C1250">
        <v>26.66</v>
      </c>
      <c r="D1250">
        <v>-7.33</v>
      </c>
      <c r="E1250">
        <v>20.23</v>
      </c>
      <c r="F1250">
        <v>-3.63</v>
      </c>
      <c r="G1250">
        <v>-18.41</v>
      </c>
      <c r="I1250">
        <v>-12.13</v>
      </c>
      <c r="J1250">
        <v>-11.8</v>
      </c>
      <c r="K1250">
        <v>-19</v>
      </c>
      <c r="L1250">
        <v>-11.47</v>
      </c>
      <c r="M1250">
        <v>-26.4</v>
      </c>
    </row>
    <row r="1251" spans="1:14">
      <c r="A1251" s="2" t="s">
        <v>1279</v>
      </c>
      <c r="B1251" t="s">
        <v>5072</v>
      </c>
      <c r="C1251">
        <v>27.48</v>
      </c>
      <c r="D1251">
        <v>-15</v>
      </c>
      <c r="E1251">
        <v>-1.87</v>
      </c>
      <c r="F1251">
        <v>-7.48</v>
      </c>
      <c r="G1251">
        <v>20.170000000000002</v>
      </c>
      <c r="H1251">
        <v>54.45</v>
      </c>
      <c r="I1251">
        <v>32.9</v>
      </c>
      <c r="J1251">
        <v>25.06</v>
      </c>
      <c r="K1251">
        <v>43.95</v>
      </c>
      <c r="L1251">
        <v>11.56</v>
      </c>
      <c r="M1251">
        <v>38.86</v>
      </c>
      <c r="N1251">
        <v>129.99</v>
      </c>
    </row>
    <row r="1252" spans="1:14">
      <c r="A1252" s="2" t="s">
        <v>1280</v>
      </c>
      <c r="B1252" t="s">
        <v>5073</v>
      </c>
      <c r="C1252">
        <v>89.03</v>
      </c>
      <c r="D1252">
        <v>-29.58</v>
      </c>
      <c r="E1252">
        <v>-15.05</v>
      </c>
      <c r="F1252">
        <v>36.96</v>
      </c>
      <c r="G1252">
        <v>7.39</v>
      </c>
      <c r="H1252">
        <v>94.68</v>
      </c>
      <c r="I1252">
        <v>165.52</v>
      </c>
      <c r="J1252">
        <v>80.58</v>
      </c>
      <c r="K1252">
        <v>59.58</v>
      </c>
      <c r="L1252">
        <v>412.88</v>
      </c>
      <c r="M1252">
        <v>87.26</v>
      </c>
      <c r="N1252">
        <v>226.84</v>
      </c>
    </row>
    <row r="1253" spans="1:14">
      <c r="A1253" s="2" t="s">
        <v>1281</v>
      </c>
      <c r="B1253" t="s">
        <v>5074</v>
      </c>
      <c r="C1253">
        <v>49.51</v>
      </c>
      <c r="D1253">
        <v>-47.85</v>
      </c>
      <c r="E1253">
        <v>-5.64</v>
      </c>
      <c r="F1253">
        <v>-5.15</v>
      </c>
      <c r="G1253">
        <v>38.909999999999997</v>
      </c>
      <c r="H1253">
        <v>118.88</v>
      </c>
      <c r="I1253">
        <v>190</v>
      </c>
      <c r="J1253">
        <v>143.41</v>
      </c>
      <c r="K1253">
        <v>49.7</v>
      </c>
      <c r="L1253">
        <v>83.88</v>
      </c>
      <c r="M1253">
        <v>50.12</v>
      </c>
      <c r="N1253">
        <v>151.85</v>
      </c>
    </row>
    <row r="1254" spans="1:14">
      <c r="A1254" s="2" t="s">
        <v>1282</v>
      </c>
      <c r="B1254" t="s">
        <v>5075</v>
      </c>
      <c r="C1254">
        <v>174.16</v>
      </c>
      <c r="D1254">
        <v>-63.59</v>
      </c>
      <c r="E1254">
        <v>-4.62</v>
      </c>
      <c r="F1254">
        <v>-12.66</v>
      </c>
      <c r="G1254">
        <v>-47.55</v>
      </c>
      <c r="H1254">
        <v>1031.8800000000001</v>
      </c>
      <c r="I1254">
        <v>175.4</v>
      </c>
      <c r="J1254">
        <v>153.51</v>
      </c>
      <c r="L1254">
        <v>551.32000000000005</v>
      </c>
      <c r="M1254">
        <v>-44.43</v>
      </c>
    </row>
    <row r="1255" spans="1:14">
      <c r="A1255" s="2" t="s">
        <v>1283</v>
      </c>
      <c r="B1255" t="s">
        <v>5076</v>
      </c>
      <c r="C1255">
        <v>-30.27</v>
      </c>
      <c r="D1255">
        <v>65.349999999999994</v>
      </c>
      <c r="E1255">
        <v>35.99</v>
      </c>
      <c r="H1255">
        <v>83.23</v>
      </c>
      <c r="I1255">
        <v>377.67</v>
      </c>
      <c r="J1255">
        <v>333.99</v>
      </c>
      <c r="K1255">
        <v>187.56</v>
      </c>
      <c r="L1255">
        <v>-1717.8</v>
      </c>
      <c r="M1255">
        <v>124.5</v>
      </c>
      <c r="N1255">
        <v>237.02</v>
      </c>
    </row>
    <row r="1256" spans="1:14">
      <c r="A1256" s="2" t="s">
        <v>1284</v>
      </c>
      <c r="B1256" t="s">
        <v>5077</v>
      </c>
      <c r="C1256">
        <v>7.07</v>
      </c>
      <c r="D1256">
        <v>19.829999999999998</v>
      </c>
      <c r="E1256">
        <v>0.59</v>
      </c>
      <c r="F1256">
        <v>4.46</v>
      </c>
      <c r="G1256">
        <v>-17.57</v>
      </c>
      <c r="H1256">
        <v>39.11</v>
      </c>
      <c r="I1256">
        <v>-31.41</v>
      </c>
      <c r="J1256">
        <v>5.84</v>
      </c>
      <c r="K1256">
        <v>8.01</v>
      </c>
      <c r="L1256">
        <v>13.83</v>
      </c>
      <c r="M1256">
        <v>11.38</v>
      </c>
      <c r="N1256">
        <v>49.03</v>
      </c>
    </row>
    <row r="1257" spans="1:14">
      <c r="A1257" s="2" t="s">
        <v>1285</v>
      </c>
      <c r="B1257" t="s">
        <v>5078</v>
      </c>
      <c r="C1257">
        <v>-10.07</v>
      </c>
      <c r="D1257">
        <v>48.1</v>
      </c>
      <c r="E1257">
        <v>-27.83</v>
      </c>
      <c r="F1257">
        <v>-2.13</v>
      </c>
      <c r="G1257">
        <v>-28.1</v>
      </c>
      <c r="I1257">
        <v>-32.65</v>
      </c>
      <c r="J1257">
        <v>31.17</v>
      </c>
      <c r="K1257">
        <v>2.96</v>
      </c>
      <c r="L1257">
        <v>1.87</v>
      </c>
      <c r="M1257">
        <v>-22.95</v>
      </c>
    </row>
    <row r="1258" spans="1:14">
      <c r="A1258" s="2" t="s">
        <v>1286</v>
      </c>
      <c r="B1258" t="s">
        <v>5079</v>
      </c>
      <c r="C1258">
        <v>-18.93</v>
      </c>
      <c r="D1258">
        <v>342.63</v>
      </c>
      <c r="E1258">
        <v>-42.8</v>
      </c>
      <c r="F1258">
        <v>-36.71</v>
      </c>
      <c r="G1258">
        <v>44.33</v>
      </c>
      <c r="H1258">
        <v>-78.72</v>
      </c>
      <c r="I1258">
        <v>228.49</v>
      </c>
      <c r="J1258">
        <v>102.01</v>
      </c>
      <c r="K1258">
        <v>104.59</v>
      </c>
      <c r="L1258">
        <v>215.77</v>
      </c>
      <c r="M1258">
        <v>50.48</v>
      </c>
      <c r="N1258">
        <v>-85.77</v>
      </c>
    </row>
    <row r="1259" spans="1:14">
      <c r="A1259" s="2" t="s">
        <v>1287</v>
      </c>
      <c r="B1259" t="s">
        <v>5080</v>
      </c>
      <c r="C1259">
        <v>10.3</v>
      </c>
      <c r="D1259">
        <v>-24.02</v>
      </c>
      <c r="E1259">
        <v>-60.72</v>
      </c>
      <c r="F1259">
        <v>6.73</v>
      </c>
      <c r="G1259">
        <v>-58.69</v>
      </c>
      <c r="H1259">
        <v>-35.659999999999997</v>
      </c>
      <c r="I1259">
        <v>763.86</v>
      </c>
      <c r="J1259">
        <v>8125.56</v>
      </c>
      <c r="K1259">
        <v>-49.43</v>
      </c>
      <c r="L1259">
        <v>-40.89</v>
      </c>
      <c r="M1259">
        <v>-63.69</v>
      </c>
      <c r="N1259">
        <v>138.19999999999999</v>
      </c>
    </row>
    <row r="1260" spans="1:14">
      <c r="A1260" s="2" t="s">
        <v>1288</v>
      </c>
      <c r="B1260" t="s">
        <v>5081</v>
      </c>
      <c r="C1260">
        <v>-6.18</v>
      </c>
      <c r="D1260">
        <v>-23.55</v>
      </c>
      <c r="E1260">
        <v>5.54</v>
      </c>
      <c r="F1260">
        <v>3.14</v>
      </c>
      <c r="G1260">
        <v>14.35</v>
      </c>
      <c r="H1260">
        <v>7.14</v>
      </c>
      <c r="I1260">
        <v>51.7</v>
      </c>
      <c r="J1260">
        <v>-1.23</v>
      </c>
      <c r="K1260">
        <v>24.28</v>
      </c>
      <c r="L1260">
        <v>0.24</v>
      </c>
      <c r="M1260">
        <v>457.69</v>
      </c>
      <c r="N1260">
        <v>15.99</v>
      </c>
    </row>
    <row r="1261" spans="1:14">
      <c r="A1261" s="2" t="s">
        <v>1289</v>
      </c>
      <c r="B1261" t="s">
        <v>5082</v>
      </c>
      <c r="C1261">
        <v>-4.3099999999999996</v>
      </c>
      <c r="D1261">
        <v>1.48</v>
      </c>
      <c r="E1261">
        <v>-5.92</v>
      </c>
      <c r="F1261">
        <v>17.309999999999999</v>
      </c>
      <c r="G1261">
        <v>0.46</v>
      </c>
      <c r="H1261">
        <v>3.77</v>
      </c>
      <c r="I1261">
        <v>2.42</v>
      </c>
      <c r="J1261">
        <v>1.41</v>
      </c>
      <c r="K1261">
        <v>-8.82</v>
      </c>
      <c r="L1261">
        <v>7.9</v>
      </c>
      <c r="M1261">
        <v>15.77</v>
      </c>
      <c r="N1261">
        <v>8.3699999999999992</v>
      </c>
    </row>
    <row r="1262" spans="1:14">
      <c r="A1262" s="2" t="s">
        <v>1290</v>
      </c>
      <c r="B1262" t="s">
        <v>5083</v>
      </c>
      <c r="C1262">
        <v>2.4700000000000002</v>
      </c>
      <c r="D1262">
        <v>-12.44</v>
      </c>
      <c r="E1262">
        <v>13.11</v>
      </c>
      <c r="F1262">
        <v>-20.75</v>
      </c>
      <c r="G1262">
        <v>-8.8000000000000007</v>
      </c>
      <c r="H1262">
        <v>32.130000000000003</v>
      </c>
      <c r="I1262">
        <v>-6.11</v>
      </c>
      <c r="J1262">
        <v>-9.9499999999999993</v>
      </c>
      <c r="K1262">
        <v>14.6</v>
      </c>
      <c r="L1262">
        <v>-17.27</v>
      </c>
      <c r="M1262">
        <v>-11.59</v>
      </c>
      <c r="N1262">
        <v>1</v>
      </c>
    </row>
    <row r="1263" spans="1:14">
      <c r="A1263" s="2" t="s">
        <v>1291</v>
      </c>
      <c r="B1263" t="s">
        <v>5084</v>
      </c>
      <c r="C1263">
        <v>5.28</v>
      </c>
      <c r="D1263">
        <v>42.44</v>
      </c>
      <c r="E1263">
        <v>-23.41</v>
      </c>
      <c r="F1263">
        <v>15.82</v>
      </c>
      <c r="G1263">
        <v>0.98</v>
      </c>
      <c r="H1263">
        <v>11.98</v>
      </c>
      <c r="I1263">
        <v>11.47</v>
      </c>
      <c r="J1263">
        <v>46.57</v>
      </c>
      <c r="K1263">
        <v>36.49</v>
      </c>
      <c r="L1263">
        <v>43.84</v>
      </c>
      <c r="M1263">
        <v>33.159999999999997</v>
      </c>
      <c r="N1263">
        <v>78.239999999999995</v>
      </c>
    </row>
    <row r="1264" spans="1:14">
      <c r="A1264" s="2" t="s">
        <v>1292</v>
      </c>
      <c r="B1264" t="s">
        <v>5085</v>
      </c>
      <c r="C1264">
        <v>132.58000000000001</v>
      </c>
      <c r="D1264">
        <v>-1.02</v>
      </c>
      <c r="E1264">
        <v>-5.62</v>
      </c>
      <c r="F1264">
        <v>-5.64</v>
      </c>
      <c r="G1264">
        <v>29.16</v>
      </c>
      <c r="H1264">
        <v>-2.2400000000000002</v>
      </c>
      <c r="I1264">
        <v>86.97</v>
      </c>
      <c r="J1264">
        <v>111.17</v>
      </c>
      <c r="K1264">
        <v>129.34</v>
      </c>
      <c r="L1264">
        <v>121.24</v>
      </c>
      <c r="M1264">
        <v>107.35</v>
      </c>
      <c r="N1264">
        <v>102.54</v>
      </c>
    </row>
    <row r="1265" spans="1:14">
      <c r="A1265" s="2" t="s">
        <v>1293</v>
      </c>
      <c r="B1265" t="s">
        <v>5086</v>
      </c>
      <c r="C1265">
        <v>-6.42</v>
      </c>
      <c r="D1265">
        <v>7.97</v>
      </c>
      <c r="E1265">
        <v>-3.12</v>
      </c>
      <c r="F1265">
        <v>-5.29</v>
      </c>
      <c r="G1265">
        <v>9.9499999999999993</v>
      </c>
      <c r="H1265">
        <v>-7.0000000000000007E-2</v>
      </c>
      <c r="I1265">
        <v>23.65</v>
      </c>
      <c r="J1265">
        <v>39.380000000000003</v>
      </c>
      <c r="K1265">
        <v>19.75</v>
      </c>
      <c r="L1265">
        <v>11.07</v>
      </c>
      <c r="M1265">
        <v>11.84</v>
      </c>
      <c r="N1265">
        <v>22.07</v>
      </c>
    </row>
    <row r="1266" spans="1:14">
      <c r="A1266" s="2" t="s">
        <v>1294</v>
      </c>
      <c r="B1266" t="s">
        <v>5087</v>
      </c>
      <c r="C1266">
        <v>6.13</v>
      </c>
      <c r="D1266">
        <v>15.38</v>
      </c>
      <c r="E1266">
        <v>2.3199999999999998</v>
      </c>
      <c r="F1266">
        <v>17.940000000000001</v>
      </c>
      <c r="G1266">
        <v>-32.64</v>
      </c>
      <c r="H1266">
        <v>71.7</v>
      </c>
      <c r="I1266">
        <v>-33.44</v>
      </c>
      <c r="J1266">
        <v>-8.98</v>
      </c>
      <c r="K1266">
        <v>6.61</v>
      </c>
      <c r="L1266">
        <v>14.58</v>
      </c>
      <c r="M1266">
        <v>-9.44</v>
      </c>
      <c r="N1266">
        <v>99.73</v>
      </c>
    </row>
    <row r="1267" spans="1:14">
      <c r="A1267" s="2" t="s">
        <v>1295</v>
      </c>
      <c r="B1267" t="s">
        <v>5088</v>
      </c>
      <c r="C1267">
        <v>-4.71</v>
      </c>
      <c r="D1267">
        <v>-14.24</v>
      </c>
      <c r="E1267">
        <v>-7.23</v>
      </c>
      <c r="F1267">
        <v>20</v>
      </c>
      <c r="G1267">
        <v>-22.57</v>
      </c>
      <c r="H1267">
        <v>46.8</v>
      </c>
      <c r="I1267">
        <v>-15.03</v>
      </c>
      <c r="J1267">
        <v>-30.02</v>
      </c>
      <c r="K1267">
        <v>-35.67</v>
      </c>
      <c r="L1267">
        <v>-14.07</v>
      </c>
      <c r="M1267">
        <v>-30.71</v>
      </c>
      <c r="N1267">
        <v>-11.02</v>
      </c>
    </row>
    <row r="1268" spans="1:14">
      <c r="A1268" s="2" t="s">
        <v>1296</v>
      </c>
      <c r="B1268" t="s">
        <v>5089</v>
      </c>
      <c r="C1268">
        <v>-0.71</v>
      </c>
      <c r="D1268">
        <v>-2.19</v>
      </c>
      <c r="E1268">
        <v>-7.88</v>
      </c>
      <c r="F1268">
        <v>6.68</v>
      </c>
      <c r="G1268">
        <v>10.11</v>
      </c>
      <c r="H1268">
        <v>4.6500000000000004</v>
      </c>
      <c r="I1268">
        <v>2.5299999999999998</v>
      </c>
      <c r="J1268">
        <v>7.61</v>
      </c>
      <c r="K1268">
        <v>-0.2</v>
      </c>
      <c r="L1268">
        <v>8.32</v>
      </c>
      <c r="M1268">
        <v>9.5299999999999994</v>
      </c>
      <c r="N1268">
        <v>35.99</v>
      </c>
    </row>
    <row r="1269" spans="1:14">
      <c r="A1269" s="2" t="s">
        <v>1297</v>
      </c>
      <c r="B1269" t="s">
        <v>5090</v>
      </c>
      <c r="C1269">
        <v>-3.93</v>
      </c>
      <c r="D1269">
        <v>15.4</v>
      </c>
      <c r="E1269">
        <v>-11.1</v>
      </c>
      <c r="F1269">
        <v>6.6</v>
      </c>
      <c r="G1269">
        <v>-0.68</v>
      </c>
      <c r="H1269">
        <v>12.29</v>
      </c>
      <c r="I1269">
        <v>38.369999999999997</v>
      </c>
      <c r="J1269">
        <v>1.43</v>
      </c>
      <c r="K1269">
        <v>-13.89</v>
      </c>
      <c r="L1269">
        <v>10.72</v>
      </c>
      <c r="M1269">
        <v>-4.09</v>
      </c>
      <c r="N1269">
        <v>11.91</v>
      </c>
    </row>
    <row r="1270" spans="1:14">
      <c r="A1270" s="2" t="s">
        <v>1298</v>
      </c>
      <c r="B1270" t="s">
        <v>5091</v>
      </c>
      <c r="C1270">
        <v>-9.0299999999999994</v>
      </c>
      <c r="D1270">
        <v>2.27</v>
      </c>
      <c r="E1270">
        <v>-6.77</v>
      </c>
      <c r="F1270">
        <v>7.25</v>
      </c>
      <c r="G1270">
        <v>2.58</v>
      </c>
      <c r="H1270">
        <v>3.35</v>
      </c>
      <c r="I1270">
        <v>21.07</v>
      </c>
      <c r="J1270">
        <v>9.5500000000000007</v>
      </c>
      <c r="K1270">
        <v>23.86</v>
      </c>
      <c r="L1270">
        <v>12.2</v>
      </c>
      <c r="M1270">
        <v>8.4600000000000009</v>
      </c>
      <c r="N1270">
        <v>23.29</v>
      </c>
    </row>
    <row r="1271" spans="1:14">
      <c r="A1271" s="2" t="s">
        <v>1299</v>
      </c>
      <c r="B1271" t="s">
        <v>5092</v>
      </c>
      <c r="C1271">
        <v>-0.08</v>
      </c>
      <c r="D1271">
        <v>2.83</v>
      </c>
      <c r="E1271">
        <v>1.78</v>
      </c>
      <c r="F1271">
        <v>2.44</v>
      </c>
      <c r="G1271">
        <v>1.86</v>
      </c>
      <c r="H1271">
        <v>15.97</v>
      </c>
      <c r="I1271">
        <v>-1.72</v>
      </c>
      <c r="J1271">
        <v>9.94</v>
      </c>
      <c r="K1271">
        <v>12.63</v>
      </c>
      <c r="L1271">
        <v>3.54</v>
      </c>
      <c r="M1271">
        <v>15.68</v>
      </c>
      <c r="N1271">
        <v>56.85</v>
      </c>
    </row>
    <row r="1272" spans="1:14">
      <c r="A1272" s="2" t="s">
        <v>1300</v>
      </c>
      <c r="B1272" t="s">
        <v>5093</v>
      </c>
      <c r="C1272">
        <v>19.02</v>
      </c>
      <c r="D1272">
        <v>2.2200000000000002</v>
      </c>
      <c r="E1272">
        <v>-19.98</v>
      </c>
      <c r="F1272">
        <v>6.66</v>
      </c>
      <c r="G1272">
        <v>42.81</v>
      </c>
      <c r="H1272">
        <v>-8.8000000000000007</v>
      </c>
      <c r="I1272">
        <v>-35.86</v>
      </c>
      <c r="J1272">
        <v>-14.78</v>
      </c>
      <c r="K1272">
        <v>-4.66</v>
      </c>
      <c r="L1272">
        <v>-24.87</v>
      </c>
      <c r="M1272">
        <v>-6.05</v>
      </c>
      <c r="N1272">
        <v>7.1</v>
      </c>
    </row>
    <row r="1273" spans="1:14">
      <c r="A1273" s="2" t="s">
        <v>1301</v>
      </c>
      <c r="B1273" t="s">
        <v>5094</v>
      </c>
      <c r="C1273">
        <v>2</v>
      </c>
      <c r="D1273">
        <v>18.03</v>
      </c>
      <c r="E1273">
        <v>3.41</v>
      </c>
      <c r="F1273">
        <v>1.67</v>
      </c>
      <c r="G1273">
        <v>-1.72</v>
      </c>
      <c r="H1273">
        <v>-24.5</v>
      </c>
      <c r="I1273">
        <v>-16.23</v>
      </c>
      <c r="J1273">
        <v>-4.3899999999999997</v>
      </c>
      <c r="K1273">
        <v>0.05</v>
      </c>
      <c r="L1273">
        <v>10.19</v>
      </c>
      <c r="M1273">
        <v>25.3</v>
      </c>
      <c r="N1273">
        <v>3.1</v>
      </c>
    </row>
    <row r="1274" spans="1:14">
      <c r="A1274" s="2" t="s">
        <v>1302</v>
      </c>
      <c r="B1274" t="s">
        <v>5095</v>
      </c>
      <c r="C1274">
        <v>14.67</v>
      </c>
      <c r="D1274">
        <v>13.16</v>
      </c>
      <c r="E1274">
        <v>-38.64</v>
      </c>
      <c r="F1274">
        <v>78.78</v>
      </c>
      <c r="G1274">
        <v>21.2</v>
      </c>
      <c r="H1274">
        <v>-43.63</v>
      </c>
      <c r="I1274">
        <v>20.43</v>
      </c>
      <c r="J1274">
        <v>0.5</v>
      </c>
      <c r="K1274">
        <v>-22.83</v>
      </c>
      <c r="L1274">
        <v>34.270000000000003</v>
      </c>
      <c r="M1274">
        <v>19.09</v>
      </c>
      <c r="N1274">
        <v>5.63</v>
      </c>
    </row>
    <row r="1275" spans="1:14">
      <c r="A1275" s="2" t="s">
        <v>1303</v>
      </c>
      <c r="B1275" t="s">
        <v>5096</v>
      </c>
      <c r="C1275">
        <v>29.15</v>
      </c>
      <c r="D1275">
        <v>-8.3000000000000007</v>
      </c>
      <c r="E1275">
        <v>-24.19</v>
      </c>
      <c r="F1275">
        <v>-2.79</v>
      </c>
      <c r="G1275">
        <v>9.16</v>
      </c>
      <c r="I1275">
        <v>-1.96</v>
      </c>
      <c r="J1275">
        <v>-10.39</v>
      </c>
      <c r="K1275">
        <v>-13.54</v>
      </c>
      <c r="L1275">
        <v>-18.739999999999998</v>
      </c>
      <c r="M1275">
        <v>-8.26</v>
      </c>
    </row>
    <row r="1276" spans="1:14">
      <c r="A1276" s="2" t="s">
        <v>1304</v>
      </c>
      <c r="B1276" t="s">
        <v>5097</v>
      </c>
      <c r="C1276">
        <v>-23.66</v>
      </c>
      <c r="D1276">
        <v>5.54</v>
      </c>
      <c r="E1276">
        <v>-11.46</v>
      </c>
      <c r="F1276">
        <v>-11.94</v>
      </c>
      <c r="G1276">
        <v>43.63</v>
      </c>
      <c r="H1276">
        <v>11.19</v>
      </c>
      <c r="I1276">
        <v>-25.63</v>
      </c>
      <c r="J1276">
        <v>-16.78</v>
      </c>
      <c r="K1276">
        <v>-32.33</v>
      </c>
      <c r="L1276">
        <v>-42.79</v>
      </c>
      <c r="M1276">
        <v>2.6</v>
      </c>
      <c r="N1276">
        <v>50.45</v>
      </c>
    </row>
    <row r="1277" spans="1:14">
      <c r="A1277" s="2" t="s">
        <v>1305</v>
      </c>
      <c r="B1277" t="s">
        <v>5098</v>
      </c>
      <c r="C1277">
        <v>-1.99</v>
      </c>
      <c r="D1277">
        <v>1.79</v>
      </c>
      <c r="E1277">
        <v>-9.2799999999999994</v>
      </c>
      <c r="F1277">
        <v>8.1300000000000008</v>
      </c>
      <c r="G1277">
        <v>-11.21</v>
      </c>
      <c r="I1277">
        <v>54.33</v>
      </c>
      <c r="J1277">
        <v>52.06</v>
      </c>
      <c r="K1277">
        <v>49.34</v>
      </c>
      <c r="L1277">
        <v>71.55</v>
      </c>
      <c r="M1277">
        <v>31.07</v>
      </c>
    </row>
    <row r="1278" spans="1:14">
      <c r="A1278" s="2" t="s">
        <v>1306</v>
      </c>
      <c r="B1278" t="s">
        <v>5099</v>
      </c>
      <c r="C1278">
        <v>0.36</v>
      </c>
      <c r="D1278">
        <v>4.97</v>
      </c>
      <c r="E1278">
        <v>-20.83</v>
      </c>
      <c r="F1278">
        <v>17.34</v>
      </c>
      <c r="G1278">
        <v>18.77</v>
      </c>
      <c r="H1278">
        <v>25.21</v>
      </c>
      <c r="I1278">
        <v>-2.06</v>
      </c>
      <c r="J1278">
        <v>12.36</v>
      </c>
      <c r="K1278">
        <v>6.59</v>
      </c>
      <c r="L1278">
        <v>11.97</v>
      </c>
      <c r="M1278">
        <v>19.920000000000002</v>
      </c>
      <c r="N1278">
        <v>75.23</v>
      </c>
    </row>
    <row r="1279" spans="1:14">
      <c r="A1279" s="2" t="s">
        <v>1307</v>
      </c>
      <c r="B1279" t="s">
        <v>5100</v>
      </c>
      <c r="C1279">
        <v>6.67</v>
      </c>
      <c r="D1279">
        <v>-24.9</v>
      </c>
      <c r="E1279">
        <v>27.12</v>
      </c>
      <c r="F1279">
        <v>-1.1200000000000001</v>
      </c>
      <c r="G1279">
        <v>13.47</v>
      </c>
      <c r="H1279">
        <v>-5.69</v>
      </c>
      <c r="I1279">
        <v>-14.98</v>
      </c>
      <c r="J1279">
        <v>-33.799999999999997</v>
      </c>
      <c r="K1279">
        <v>-10.58</v>
      </c>
      <c r="L1279">
        <v>-9.1</v>
      </c>
      <c r="M1279">
        <v>11.43</v>
      </c>
      <c r="N1279">
        <v>-2.72</v>
      </c>
    </row>
    <row r="1280" spans="1:14">
      <c r="A1280" s="2" t="s">
        <v>1308</v>
      </c>
      <c r="B1280" t="s">
        <v>5101</v>
      </c>
      <c r="C1280">
        <v>-20.63</v>
      </c>
      <c r="D1280">
        <v>33.69</v>
      </c>
      <c r="E1280">
        <v>1.1000000000000001</v>
      </c>
      <c r="F1280">
        <v>-13.05</v>
      </c>
      <c r="G1280">
        <v>2.4900000000000002</v>
      </c>
      <c r="H1280">
        <v>3.3</v>
      </c>
      <c r="I1280">
        <v>-13.15</v>
      </c>
      <c r="J1280">
        <v>-4.51</v>
      </c>
      <c r="K1280">
        <v>-7.4</v>
      </c>
      <c r="L1280">
        <v>-10.5</v>
      </c>
      <c r="M1280">
        <v>-1.58</v>
      </c>
      <c r="N1280">
        <v>-4.8499999999999996</v>
      </c>
    </row>
    <row r="1281" spans="1:14">
      <c r="A1281" s="2" t="s">
        <v>1309</v>
      </c>
      <c r="B1281" t="s">
        <v>5102</v>
      </c>
      <c r="C1281">
        <v>-6.11</v>
      </c>
      <c r="D1281">
        <v>9.92</v>
      </c>
      <c r="E1281">
        <v>0.27</v>
      </c>
      <c r="F1281">
        <v>2.62</v>
      </c>
      <c r="G1281">
        <v>21.48</v>
      </c>
      <c r="H1281">
        <v>-20.75</v>
      </c>
      <c r="I1281">
        <v>-3.53</v>
      </c>
      <c r="J1281">
        <v>-0.78</v>
      </c>
      <c r="K1281">
        <v>24.02</v>
      </c>
      <c r="L1281">
        <v>14.94</v>
      </c>
      <c r="M1281">
        <v>1.67</v>
      </c>
      <c r="N1281">
        <v>60.06</v>
      </c>
    </row>
    <row r="1282" spans="1:14">
      <c r="A1282" s="2" t="s">
        <v>1310</v>
      </c>
      <c r="B1282" t="s">
        <v>5103</v>
      </c>
      <c r="C1282">
        <v>13.79</v>
      </c>
      <c r="D1282">
        <v>7.86</v>
      </c>
      <c r="E1282">
        <v>-19.78</v>
      </c>
      <c r="F1282">
        <v>6.7</v>
      </c>
      <c r="G1282">
        <v>8.1300000000000008</v>
      </c>
      <c r="I1282">
        <v>-11.61</v>
      </c>
      <c r="J1282">
        <v>-32.28</v>
      </c>
      <c r="K1282">
        <v>-3.59</v>
      </c>
      <c r="L1282">
        <v>-23.4</v>
      </c>
      <c r="M1282">
        <v>-8.19</v>
      </c>
    </row>
    <row r="1283" spans="1:14">
      <c r="A1283" s="2" t="s">
        <v>1311</v>
      </c>
      <c r="B1283" t="s">
        <v>5104</v>
      </c>
      <c r="C1283">
        <v>-5.48</v>
      </c>
      <c r="D1283">
        <v>-2.4</v>
      </c>
      <c r="E1283">
        <v>-0.27</v>
      </c>
      <c r="F1283">
        <v>20.63</v>
      </c>
      <c r="G1283">
        <v>8.76</v>
      </c>
      <c r="H1283">
        <v>-13.86</v>
      </c>
      <c r="I1283">
        <v>5.31</v>
      </c>
      <c r="J1283">
        <v>21.29</v>
      </c>
      <c r="K1283">
        <v>15.11</v>
      </c>
      <c r="L1283">
        <v>49.98</v>
      </c>
      <c r="M1283">
        <v>40.57</v>
      </c>
      <c r="N1283">
        <v>17.2</v>
      </c>
    </row>
    <row r="1284" spans="1:14">
      <c r="A1284" s="2" t="s">
        <v>1312</v>
      </c>
      <c r="B1284" t="s">
        <v>5105</v>
      </c>
      <c r="C1284">
        <v>6</v>
      </c>
      <c r="D1284">
        <v>-11.14</v>
      </c>
      <c r="E1284">
        <v>-5.75</v>
      </c>
      <c r="F1284">
        <v>12.4</v>
      </c>
      <c r="G1284">
        <v>0.88</v>
      </c>
      <c r="H1284">
        <v>20.68</v>
      </c>
      <c r="I1284">
        <v>35.39</v>
      </c>
      <c r="J1284">
        <v>2.5299999999999998</v>
      </c>
      <c r="K1284">
        <v>30.18</v>
      </c>
      <c r="L1284">
        <v>36.65</v>
      </c>
      <c r="M1284">
        <v>33.89</v>
      </c>
      <c r="N1284">
        <v>68.13</v>
      </c>
    </row>
    <row r="1285" spans="1:14">
      <c r="A1285" s="2" t="s">
        <v>1313</v>
      </c>
      <c r="B1285" t="s">
        <v>5106</v>
      </c>
      <c r="C1285">
        <v>0.79</v>
      </c>
      <c r="D1285">
        <v>34.69</v>
      </c>
      <c r="E1285">
        <v>-24.1</v>
      </c>
      <c r="F1285">
        <v>-5.01</v>
      </c>
      <c r="G1285">
        <v>63.21</v>
      </c>
      <c r="I1285">
        <v>21.8</v>
      </c>
      <c r="J1285">
        <v>101.78</v>
      </c>
      <c r="K1285">
        <v>18.22</v>
      </c>
      <c r="L1285">
        <v>20.6</v>
      </c>
      <c r="M1285">
        <v>64.239999999999995</v>
      </c>
    </row>
    <row r="1286" spans="1:14">
      <c r="A1286" s="2" t="s">
        <v>1314</v>
      </c>
      <c r="B1286" t="s">
        <v>5107</v>
      </c>
      <c r="C1286">
        <v>1.08</v>
      </c>
      <c r="D1286">
        <v>3.38</v>
      </c>
      <c r="E1286">
        <v>-2.78</v>
      </c>
      <c r="F1286">
        <v>-1.88</v>
      </c>
      <c r="G1286">
        <v>-1.03</v>
      </c>
      <c r="H1286">
        <v>7.77</v>
      </c>
      <c r="I1286">
        <v>21.92</v>
      </c>
      <c r="J1286">
        <v>22.13</v>
      </c>
      <c r="K1286">
        <v>29.46</v>
      </c>
      <c r="L1286">
        <v>28.67</v>
      </c>
      <c r="M1286">
        <v>24.96</v>
      </c>
      <c r="N1286">
        <v>11.55</v>
      </c>
    </row>
    <row r="1287" spans="1:14">
      <c r="A1287" s="2" t="s">
        <v>1315</v>
      </c>
      <c r="B1287" t="s">
        <v>5108</v>
      </c>
      <c r="C1287">
        <v>15.48</v>
      </c>
      <c r="D1287">
        <v>29.8</v>
      </c>
      <c r="E1287">
        <v>-29.96</v>
      </c>
      <c r="F1287">
        <v>20.350000000000001</v>
      </c>
      <c r="G1287">
        <v>11.66</v>
      </c>
      <c r="I1287">
        <v>97.38</v>
      </c>
      <c r="J1287">
        <v>79.91</v>
      </c>
      <c r="K1287">
        <v>77.010000000000005</v>
      </c>
      <c r="L1287">
        <v>169.57</v>
      </c>
      <c r="M1287">
        <v>165.15</v>
      </c>
    </row>
    <row r="1288" spans="1:14">
      <c r="A1288" s="2" t="s">
        <v>1316</v>
      </c>
      <c r="B1288" t="s">
        <v>5109</v>
      </c>
      <c r="C1288">
        <v>-29.53</v>
      </c>
      <c r="D1288">
        <v>81.88</v>
      </c>
      <c r="E1288">
        <v>-55.53</v>
      </c>
      <c r="F1288">
        <v>13.33</v>
      </c>
      <c r="G1288">
        <v>25.6</v>
      </c>
      <c r="H1288">
        <v>-28.5</v>
      </c>
      <c r="I1288">
        <v>-0.75</v>
      </c>
      <c r="J1288">
        <v>73.78</v>
      </c>
      <c r="K1288">
        <v>7.02</v>
      </c>
      <c r="L1288">
        <v>-24.49</v>
      </c>
      <c r="M1288">
        <v>-39.32</v>
      </c>
      <c r="N1288">
        <v>-14.42</v>
      </c>
    </row>
    <row r="1289" spans="1:14">
      <c r="A1289" s="2" t="s">
        <v>1317</v>
      </c>
      <c r="B1289" t="s">
        <v>5110</v>
      </c>
      <c r="C1289">
        <v>-3.34</v>
      </c>
      <c r="D1289">
        <v>11.06</v>
      </c>
      <c r="E1289">
        <v>0.38</v>
      </c>
      <c r="F1289">
        <v>-7.23</v>
      </c>
      <c r="G1289">
        <v>-13.6</v>
      </c>
      <c r="H1289">
        <v>33.590000000000003</v>
      </c>
      <c r="I1289">
        <v>-6.93</v>
      </c>
      <c r="J1289">
        <v>-15.4</v>
      </c>
      <c r="K1289">
        <v>8.74</v>
      </c>
      <c r="L1289">
        <v>10.73</v>
      </c>
      <c r="M1289">
        <v>-24.65</v>
      </c>
      <c r="N1289">
        <v>19.850000000000001</v>
      </c>
    </row>
    <row r="1290" spans="1:14">
      <c r="A1290" s="2" t="s">
        <v>1318</v>
      </c>
      <c r="B1290" t="s">
        <v>5111</v>
      </c>
      <c r="C1290">
        <v>-22.37</v>
      </c>
      <c r="D1290">
        <v>8.7200000000000006</v>
      </c>
      <c r="E1290">
        <v>-26.26</v>
      </c>
      <c r="F1290">
        <v>-5.81</v>
      </c>
      <c r="G1290">
        <v>28.85</v>
      </c>
      <c r="H1290">
        <v>2.65</v>
      </c>
      <c r="I1290">
        <v>43.52</v>
      </c>
      <c r="J1290">
        <v>16.420000000000002</v>
      </c>
      <c r="K1290">
        <v>-0.7</v>
      </c>
      <c r="L1290">
        <v>-8.92</v>
      </c>
      <c r="M1290">
        <v>13.91</v>
      </c>
      <c r="N1290">
        <v>1.64</v>
      </c>
    </row>
    <row r="1291" spans="1:14">
      <c r="A1291" s="2" t="s">
        <v>1319</v>
      </c>
      <c r="B1291" t="s">
        <v>5112</v>
      </c>
      <c r="C1291">
        <v>12.77</v>
      </c>
      <c r="D1291">
        <v>7.36</v>
      </c>
      <c r="E1291">
        <v>3.38</v>
      </c>
      <c r="F1291">
        <v>5.13</v>
      </c>
      <c r="G1291">
        <v>-10.82</v>
      </c>
      <c r="H1291">
        <v>-3.86</v>
      </c>
      <c r="I1291">
        <v>17.18</v>
      </c>
      <c r="J1291">
        <v>65.11</v>
      </c>
      <c r="K1291">
        <v>37.82</v>
      </c>
      <c r="L1291">
        <v>20.3</v>
      </c>
      <c r="M1291">
        <v>-9.42</v>
      </c>
      <c r="N1291">
        <v>64.92</v>
      </c>
    </row>
    <row r="1292" spans="1:14">
      <c r="A1292" s="2" t="s">
        <v>1320</v>
      </c>
      <c r="B1292" t="s">
        <v>5113</v>
      </c>
      <c r="C1292">
        <v>10.7</v>
      </c>
      <c r="D1292">
        <v>-6.21</v>
      </c>
      <c r="E1292">
        <v>26.56</v>
      </c>
      <c r="F1292">
        <v>-18.18</v>
      </c>
      <c r="G1292">
        <v>-0.86</v>
      </c>
      <c r="H1292">
        <v>-17.399999999999999</v>
      </c>
      <c r="I1292">
        <v>-1.23</v>
      </c>
      <c r="J1292">
        <v>-15</v>
      </c>
      <c r="K1292">
        <v>10.98</v>
      </c>
      <c r="L1292">
        <v>3.5</v>
      </c>
      <c r="M1292">
        <v>2.6</v>
      </c>
      <c r="N1292">
        <v>-27.54</v>
      </c>
    </row>
    <row r="1293" spans="1:14">
      <c r="A1293" s="2" t="s">
        <v>1321</v>
      </c>
      <c r="B1293" t="s">
        <v>5114</v>
      </c>
      <c r="C1293">
        <v>0.17</v>
      </c>
      <c r="D1293">
        <v>7.0000000000000007E-2</v>
      </c>
      <c r="E1293">
        <v>0.26</v>
      </c>
      <c r="F1293">
        <v>0.83</v>
      </c>
      <c r="G1293">
        <v>0.05</v>
      </c>
      <c r="H1293">
        <v>5.43</v>
      </c>
      <c r="I1293">
        <v>-1.1299999999999999</v>
      </c>
      <c r="J1293">
        <v>-1.1000000000000001</v>
      </c>
      <c r="K1293">
        <v>0.5</v>
      </c>
      <c r="L1293">
        <v>1.3</v>
      </c>
      <c r="M1293">
        <v>1.34</v>
      </c>
      <c r="N1293">
        <v>9.86</v>
      </c>
    </row>
    <row r="1294" spans="1:14">
      <c r="A1294" s="2" t="s">
        <v>1322</v>
      </c>
      <c r="B1294" t="s">
        <v>5115</v>
      </c>
      <c r="C1294">
        <v>0.64</v>
      </c>
      <c r="D1294">
        <v>4.51</v>
      </c>
      <c r="E1294">
        <v>-3.91</v>
      </c>
      <c r="F1294">
        <v>-3.36</v>
      </c>
      <c r="G1294">
        <v>1.32</v>
      </c>
      <c r="H1294">
        <v>9.42</v>
      </c>
      <c r="I1294">
        <v>-1.87</v>
      </c>
      <c r="J1294">
        <v>6.59</v>
      </c>
      <c r="K1294">
        <v>-2.4</v>
      </c>
      <c r="L1294">
        <v>2.79</v>
      </c>
      <c r="M1294">
        <v>2.31</v>
      </c>
      <c r="N1294">
        <v>19.309999999999999</v>
      </c>
    </row>
    <row r="1295" spans="1:14">
      <c r="A1295" s="2" t="s">
        <v>1323</v>
      </c>
      <c r="B1295" t="s">
        <v>5116</v>
      </c>
      <c r="C1295">
        <v>-78.040000000000006</v>
      </c>
      <c r="D1295">
        <v>86.37</v>
      </c>
      <c r="E1295">
        <v>-11.87</v>
      </c>
      <c r="F1295">
        <v>235.28</v>
      </c>
      <c r="G1295">
        <v>-37.520000000000003</v>
      </c>
      <c r="H1295">
        <v>-71.33</v>
      </c>
      <c r="I1295">
        <v>-57.13</v>
      </c>
      <c r="J1295">
        <v>-58.14</v>
      </c>
      <c r="K1295">
        <v>73.150000000000006</v>
      </c>
      <c r="L1295">
        <v>539.22</v>
      </c>
      <c r="M1295">
        <v>-38.08</v>
      </c>
      <c r="N1295">
        <v>-17.36</v>
      </c>
    </row>
    <row r="1296" spans="1:14">
      <c r="A1296" s="2" t="s">
        <v>1324</v>
      </c>
      <c r="B1296" t="s">
        <v>5117</v>
      </c>
      <c r="C1296">
        <v>77.94</v>
      </c>
      <c r="D1296">
        <v>0.57999999999999996</v>
      </c>
      <c r="E1296">
        <v>-14.16</v>
      </c>
      <c r="F1296">
        <v>0.53</v>
      </c>
      <c r="G1296">
        <v>-3.27</v>
      </c>
      <c r="H1296">
        <v>-11.98</v>
      </c>
      <c r="I1296">
        <v>288.8</v>
      </c>
      <c r="J1296">
        <v>85.18</v>
      </c>
      <c r="K1296">
        <v>49.21</v>
      </c>
      <c r="L1296">
        <v>76.41</v>
      </c>
      <c r="M1296">
        <v>-14.04</v>
      </c>
      <c r="N1296">
        <v>2.0499999999999998</v>
      </c>
    </row>
    <row r="1297" spans="1:14">
      <c r="A1297" s="2" t="s">
        <v>1325</v>
      </c>
      <c r="B1297" t="s">
        <v>5118</v>
      </c>
      <c r="C1297">
        <v>-3.64</v>
      </c>
      <c r="D1297">
        <v>-0.39</v>
      </c>
      <c r="E1297">
        <v>3.11</v>
      </c>
      <c r="F1297">
        <v>10.26</v>
      </c>
      <c r="G1297">
        <v>6.5</v>
      </c>
      <c r="H1297">
        <v>0.3</v>
      </c>
      <c r="I1297">
        <v>2.69</v>
      </c>
      <c r="J1297">
        <v>1.91</v>
      </c>
      <c r="K1297">
        <v>-2.25</v>
      </c>
      <c r="L1297">
        <v>5.32</v>
      </c>
      <c r="M1297">
        <v>8.18</v>
      </c>
      <c r="N1297">
        <v>34.590000000000003</v>
      </c>
    </row>
    <row r="1298" spans="1:14">
      <c r="A1298" s="2" t="s">
        <v>1326</v>
      </c>
      <c r="B1298" t="s">
        <v>5119</v>
      </c>
      <c r="C1298">
        <v>21.06</v>
      </c>
      <c r="D1298">
        <v>-24.17</v>
      </c>
      <c r="E1298">
        <v>11.39</v>
      </c>
      <c r="F1298">
        <v>40.659999999999997</v>
      </c>
      <c r="G1298">
        <v>-1.61</v>
      </c>
      <c r="H1298">
        <v>-37.4</v>
      </c>
      <c r="I1298">
        <v>-49.41</v>
      </c>
      <c r="J1298">
        <v>-20.58</v>
      </c>
      <c r="K1298">
        <v>7.8</v>
      </c>
      <c r="L1298">
        <v>12.71</v>
      </c>
      <c r="M1298">
        <v>-6.86</v>
      </c>
      <c r="N1298">
        <v>39.11</v>
      </c>
    </row>
    <row r="1299" spans="1:14">
      <c r="A1299" s="2" t="s">
        <v>1327</v>
      </c>
      <c r="B1299" t="s">
        <v>5120</v>
      </c>
      <c r="C1299">
        <v>4.51</v>
      </c>
      <c r="D1299">
        <v>9.07</v>
      </c>
      <c r="E1299">
        <v>-21.53</v>
      </c>
      <c r="F1299">
        <v>-10.29</v>
      </c>
      <c r="G1299">
        <v>9.2899999999999991</v>
      </c>
      <c r="H1299">
        <v>14.36</v>
      </c>
      <c r="I1299">
        <v>-24.19</v>
      </c>
      <c r="J1299">
        <v>-20.9</v>
      </c>
      <c r="K1299">
        <v>-25.97</v>
      </c>
      <c r="L1299">
        <v>-33.44</v>
      </c>
      <c r="M1299">
        <v>-20.260000000000002</v>
      </c>
      <c r="N1299">
        <v>-2.0499999999999998</v>
      </c>
    </row>
    <row r="1300" spans="1:14">
      <c r="A1300" s="2" t="s">
        <v>1328</v>
      </c>
      <c r="B1300" t="s">
        <v>5121</v>
      </c>
      <c r="C1300">
        <v>11.28</v>
      </c>
      <c r="D1300">
        <v>-9.56</v>
      </c>
      <c r="E1300">
        <v>-6.83</v>
      </c>
      <c r="F1300">
        <v>2.65</v>
      </c>
      <c r="G1300">
        <v>1.29</v>
      </c>
      <c r="H1300">
        <v>8.8000000000000007</v>
      </c>
      <c r="I1300">
        <v>-0.48</v>
      </c>
      <c r="J1300">
        <v>-3.32</v>
      </c>
      <c r="K1300">
        <v>4.3</v>
      </c>
      <c r="L1300">
        <v>7.6</v>
      </c>
      <c r="M1300">
        <v>10.95</v>
      </c>
      <c r="N1300">
        <v>11.75</v>
      </c>
    </row>
    <row r="1301" spans="1:14">
      <c r="A1301" s="2" t="s">
        <v>1329</v>
      </c>
      <c r="B1301" t="s">
        <v>5122</v>
      </c>
      <c r="C1301">
        <v>-5</v>
      </c>
      <c r="D1301">
        <v>21.96</v>
      </c>
      <c r="E1301">
        <v>-18.25</v>
      </c>
      <c r="F1301">
        <v>-0.57999999999999996</v>
      </c>
      <c r="G1301">
        <v>14.4</v>
      </c>
      <c r="H1301">
        <v>5.1100000000000003</v>
      </c>
      <c r="I1301">
        <v>-11.56</v>
      </c>
      <c r="J1301">
        <v>9.31</v>
      </c>
      <c r="K1301">
        <v>2.4500000000000002</v>
      </c>
      <c r="L1301">
        <v>0.67</v>
      </c>
      <c r="M1301">
        <v>21.03</v>
      </c>
      <c r="N1301">
        <v>15.07</v>
      </c>
    </row>
    <row r="1302" spans="1:14">
      <c r="A1302" s="2" t="s">
        <v>1330</v>
      </c>
      <c r="B1302" t="s">
        <v>5123</v>
      </c>
      <c r="C1302">
        <v>-9.25</v>
      </c>
      <c r="D1302">
        <v>-8.98</v>
      </c>
      <c r="E1302">
        <v>-8.69</v>
      </c>
      <c r="F1302">
        <v>33.14</v>
      </c>
      <c r="G1302">
        <v>12.09</v>
      </c>
      <c r="I1302">
        <v>-1.28</v>
      </c>
      <c r="J1302">
        <v>-13.34</v>
      </c>
      <c r="K1302">
        <v>-28.61</v>
      </c>
      <c r="L1302">
        <v>-5.6</v>
      </c>
      <c r="M1302">
        <v>-3.66</v>
      </c>
    </row>
    <row r="1303" spans="1:14">
      <c r="A1303" s="2" t="s">
        <v>1331</v>
      </c>
      <c r="B1303" t="s">
        <v>5124</v>
      </c>
      <c r="C1303">
        <v>-3.18</v>
      </c>
      <c r="D1303">
        <v>15.19</v>
      </c>
      <c r="E1303">
        <v>-27.27</v>
      </c>
      <c r="F1303">
        <v>18.12</v>
      </c>
      <c r="G1303">
        <v>-6.46</v>
      </c>
      <c r="H1303">
        <v>4.59</v>
      </c>
      <c r="I1303">
        <v>-14.16</v>
      </c>
      <c r="J1303">
        <v>-0.46</v>
      </c>
      <c r="K1303">
        <v>-7.23</v>
      </c>
      <c r="L1303">
        <v>3.77</v>
      </c>
      <c r="M1303">
        <v>-4.6399999999999997</v>
      </c>
      <c r="N1303">
        <v>-1.68</v>
      </c>
    </row>
    <row r="1304" spans="1:14">
      <c r="A1304" s="2" t="s">
        <v>1332</v>
      </c>
      <c r="B1304" t="s">
        <v>5125</v>
      </c>
      <c r="C1304">
        <v>-19.829999999999998</v>
      </c>
      <c r="D1304">
        <v>-10.55</v>
      </c>
      <c r="E1304">
        <v>38.44</v>
      </c>
      <c r="F1304">
        <v>-17.850000000000001</v>
      </c>
      <c r="G1304">
        <v>2.3199999999999998</v>
      </c>
      <c r="H1304">
        <v>-27.81</v>
      </c>
      <c r="I1304">
        <v>-15.38</v>
      </c>
      <c r="J1304">
        <v>-17.149999999999999</v>
      </c>
      <c r="K1304">
        <v>-19.739999999999998</v>
      </c>
      <c r="L1304">
        <v>-30.83</v>
      </c>
      <c r="M1304">
        <v>-29.12</v>
      </c>
      <c r="N1304">
        <v>-32.700000000000003</v>
      </c>
    </row>
    <row r="1305" spans="1:14">
      <c r="A1305" s="2" t="s">
        <v>1333</v>
      </c>
      <c r="B1305" t="s">
        <v>5126</v>
      </c>
      <c r="C1305">
        <v>32.58</v>
      </c>
      <c r="D1305">
        <v>24.04</v>
      </c>
      <c r="E1305">
        <v>-33.159999999999997</v>
      </c>
      <c r="F1305">
        <v>23.47</v>
      </c>
      <c r="G1305">
        <v>-39.24</v>
      </c>
      <c r="H1305">
        <v>21.87</v>
      </c>
      <c r="I1305">
        <v>56.97</v>
      </c>
      <c r="J1305">
        <v>61.56</v>
      </c>
      <c r="K1305">
        <v>37.51</v>
      </c>
      <c r="L1305">
        <v>33.74</v>
      </c>
      <c r="M1305">
        <v>20.21</v>
      </c>
      <c r="N1305">
        <v>10.210000000000001</v>
      </c>
    </row>
    <row r="1306" spans="1:14">
      <c r="A1306" s="2" t="s">
        <v>1334</v>
      </c>
      <c r="B1306" t="s">
        <v>5127</v>
      </c>
      <c r="C1306">
        <v>18.03</v>
      </c>
      <c r="D1306">
        <v>-21.37</v>
      </c>
      <c r="E1306">
        <v>-28.52</v>
      </c>
      <c r="F1306">
        <v>37.71</v>
      </c>
      <c r="G1306">
        <v>193.23</v>
      </c>
      <c r="I1306">
        <v>22.07</v>
      </c>
      <c r="J1306">
        <v>-19.82</v>
      </c>
      <c r="K1306">
        <v>-14.08</v>
      </c>
      <c r="L1306">
        <v>-17.66</v>
      </c>
      <c r="M1306">
        <v>43.19</v>
      </c>
    </row>
    <row r="1307" spans="1:14">
      <c r="A1307" s="2" t="s">
        <v>1335</v>
      </c>
      <c r="B1307" t="s">
        <v>5128</v>
      </c>
      <c r="C1307">
        <v>49.53</v>
      </c>
      <c r="D1307">
        <v>-23.82</v>
      </c>
      <c r="E1307">
        <v>-23.27</v>
      </c>
      <c r="F1307">
        <v>74.97</v>
      </c>
      <c r="G1307">
        <v>-14</v>
      </c>
      <c r="H1307">
        <v>23.19</v>
      </c>
      <c r="I1307">
        <v>12.03</v>
      </c>
      <c r="J1307">
        <v>-16.91</v>
      </c>
      <c r="K1307">
        <v>-23.83</v>
      </c>
      <c r="L1307">
        <v>-0.19</v>
      </c>
      <c r="M1307">
        <v>-28.59</v>
      </c>
      <c r="N1307">
        <v>12.46</v>
      </c>
    </row>
    <row r="1308" spans="1:14">
      <c r="A1308" s="2" t="s">
        <v>1336</v>
      </c>
      <c r="B1308" t="s">
        <v>5129</v>
      </c>
      <c r="C1308">
        <v>3.93</v>
      </c>
      <c r="D1308">
        <v>10.06</v>
      </c>
      <c r="E1308">
        <v>-8.8000000000000007</v>
      </c>
      <c r="F1308">
        <v>-5.1100000000000003</v>
      </c>
      <c r="G1308">
        <v>9.26</v>
      </c>
      <c r="H1308">
        <v>13.39</v>
      </c>
      <c r="I1308">
        <v>24.71</v>
      </c>
      <c r="J1308">
        <v>28.03</v>
      </c>
      <c r="K1308">
        <v>15.62</v>
      </c>
      <c r="L1308">
        <v>11.82</v>
      </c>
      <c r="M1308">
        <v>14.34</v>
      </c>
      <c r="N1308">
        <v>6.33</v>
      </c>
    </row>
    <row r="1309" spans="1:14">
      <c r="A1309" s="2" t="s">
        <v>1337</v>
      </c>
      <c r="B1309" t="s">
        <v>5130</v>
      </c>
      <c r="C1309">
        <v>0.14000000000000001</v>
      </c>
      <c r="D1309">
        <v>-1.69</v>
      </c>
      <c r="E1309">
        <v>-4.3600000000000003</v>
      </c>
      <c r="F1309">
        <v>7.09</v>
      </c>
      <c r="G1309">
        <v>5.98</v>
      </c>
      <c r="H1309">
        <v>-5.58</v>
      </c>
      <c r="I1309">
        <v>35.729999999999997</v>
      </c>
      <c r="J1309">
        <v>23.58</v>
      </c>
      <c r="K1309">
        <v>15.07</v>
      </c>
      <c r="L1309">
        <v>26.68</v>
      </c>
      <c r="M1309">
        <v>-21.4</v>
      </c>
      <c r="N1309">
        <v>43.15</v>
      </c>
    </row>
    <row r="1310" spans="1:14">
      <c r="A1310" s="2" t="s">
        <v>1338</v>
      </c>
      <c r="B1310" t="s">
        <v>5131</v>
      </c>
      <c r="C1310">
        <v>-17.420000000000002</v>
      </c>
      <c r="D1310">
        <v>36.32</v>
      </c>
      <c r="E1310">
        <v>-31.98</v>
      </c>
      <c r="F1310">
        <v>6.17</v>
      </c>
      <c r="G1310">
        <v>27.08</v>
      </c>
      <c r="H1310">
        <v>12.39</v>
      </c>
      <c r="I1310">
        <v>-0.25</v>
      </c>
      <c r="J1310">
        <v>1.5</v>
      </c>
      <c r="K1310">
        <v>-34.630000000000003</v>
      </c>
      <c r="L1310">
        <v>-4.9000000000000004</v>
      </c>
      <c r="M1310">
        <v>47.49</v>
      </c>
      <c r="N1310">
        <v>33.79</v>
      </c>
    </row>
    <row r="1311" spans="1:14">
      <c r="A1311" s="2" t="s">
        <v>1339</v>
      </c>
      <c r="B1311" t="s">
        <v>5132</v>
      </c>
      <c r="C1311">
        <v>2.4500000000000002</v>
      </c>
      <c r="D1311">
        <v>-1.24</v>
      </c>
      <c r="E1311">
        <v>-7.04</v>
      </c>
      <c r="F1311">
        <v>0.55000000000000004</v>
      </c>
      <c r="G1311">
        <v>-4.45</v>
      </c>
      <c r="I1311">
        <v>9.83</v>
      </c>
      <c r="J1311">
        <v>8.59</v>
      </c>
      <c r="K1311">
        <v>3.57</v>
      </c>
      <c r="L1311">
        <v>6.62</v>
      </c>
      <c r="M1311">
        <v>9.65</v>
      </c>
    </row>
    <row r="1312" spans="1:14">
      <c r="A1312" s="2" t="s">
        <v>1340</v>
      </c>
      <c r="B1312" t="s">
        <v>5133</v>
      </c>
      <c r="C1312">
        <v>-84.03</v>
      </c>
      <c r="D1312">
        <v>677.51</v>
      </c>
      <c r="E1312">
        <v>-1.74</v>
      </c>
      <c r="F1312">
        <v>-38.700000000000003</v>
      </c>
      <c r="G1312">
        <v>-5.98</v>
      </c>
      <c r="H1312">
        <v>-24.25</v>
      </c>
      <c r="I1312">
        <v>-76.55</v>
      </c>
      <c r="J1312">
        <v>91.34</v>
      </c>
      <c r="K1312">
        <v>92.38</v>
      </c>
      <c r="L1312">
        <v>19.329999999999998</v>
      </c>
      <c r="M1312">
        <v>7.92</v>
      </c>
      <c r="N1312">
        <v>-41.25</v>
      </c>
    </row>
    <row r="1313" spans="1:14">
      <c r="A1313" s="2" t="s">
        <v>1341</v>
      </c>
      <c r="B1313" t="s">
        <v>5134</v>
      </c>
      <c r="C1313">
        <v>-3.36</v>
      </c>
      <c r="D1313">
        <v>-4.67</v>
      </c>
      <c r="E1313">
        <v>0.72</v>
      </c>
      <c r="F1313">
        <v>-7.19</v>
      </c>
      <c r="G1313">
        <v>9.31</v>
      </c>
      <c r="H1313">
        <v>4.99</v>
      </c>
      <c r="I1313">
        <v>9.75</v>
      </c>
      <c r="J1313">
        <v>1.17</v>
      </c>
      <c r="K1313">
        <v>-1.48</v>
      </c>
      <c r="L1313">
        <v>-1.98</v>
      </c>
      <c r="M1313">
        <v>1.56</v>
      </c>
      <c r="N1313">
        <v>-3.13</v>
      </c>
    </row>
    <row r="1314" spans="1:14">
      <c r="A1314" s="2" t="s">
        <v>1342</v>
      </c>
      <c r="B1314" t="s">
        <v>5135</v>
      </c>
      <c r="C1314">
        <v>-81.66</v>
      </c>
      <c r="D1314">
        <v>160.71</v>
      </c>
      <c r="E1314">
        <v>-84.06</v>
      </c>
      <c r="F1314">
        <v>-99.76</v>
      </c>
      <c r="G1314">
        <v>0</v>
      </c>
      <c r="H1314">
        <v>107530.3</v>
      </c>
      <c r="I1314">
        <v>99960.61</v>
      </c>
      <c r="J1314">
        <v>-88.71</v>
      </c>
      <c r="K1314">
        <v>-98.1</v>
      </c>
      <c r="L1314">
        <v>-99.99</v>
      </c>
      <c r="M1314">
        <v>-99.93</v>
      </c>
      <c r="N1314">
        <v>3828.98</v>
      </c>
    </row>
    <row r="1315" spans="1:14">
      <c r="A1315" s="2" t="s">
        <v>1343</v>
      </c>
      <c r="B1315" t="s">
        <v>5136</v>
      </c>
      <c r="C1315">
        <v>-1.57</v>
      </c>
      <c r="D1315">
        <v>-4.84</v>
      </c>
      <c r="E1315">
        <v>-7.73</v>
      </c>
      <c r="F1315">
        <v>1.01</v>
      </c>
      <c r="G1315">
        <v>-1.0900000000000001</v>
      </c>
      <c r="H1315">
        <v>9.76</v>
      </c>
      <c r="I1315">
        <v>8.92</v>
      </c>
      <c r="J1315">
        <v>6.55</v>
      </c>
      <c r="K1315">
        <v>3.7</v>
      </c>
      <c r="L1315">
        <v>4.55</v>
      </c>
      <c r="M1315">
        <v>5.61</v>
      </c>
      <c r="N1315">
        <v>14.2</v>
      </c>
    </row>
    <row r="1316" spans="1:14">
      <c r="A1316" s="2" t="s">
        <v>1344</v>
      </c>
      <c r="B1316" t="s">
        <v>5137</v>
      </c>
      <c r="C1316">
        <v>-6.04</v>
      </c>
      <c r="D1316">
        <v>1.21</v>
      </c>
      <c r="E1316">
        <v>21.3</v>
      </c>
      <c r="F1316">
        <v>-23.09</v>
      </c>
      <c r="G1316">
        <v>-1.46</v>
      </c>
      <c r="H1316">
        <v>33.36</v>
      </c>
      <c r="I1316">
        <v>35.700000000000003</v>
      </c>
      <c r="J1316">
        <v>21.69</v>
      </c>
      <c r="K1316">
        <v>22.37</v>
      </c>
      <c r="L1316">
        <v>8.48</v>
      </c>
      <c r="M1316">
        <v>15.51</v>
      </c>
      <c r="N1316">
        <v>20.12</v>
      </c>
    </row>
    <row r="1317" spans="1:14">
      <c r="A1317" s="2" t="s">
        <v>1345</v>
      </c>
      <c r="B1317" t="s">
        <v>5138</v>
      </c>
      <c r="C1317">
        <v>-15.08</v>
      </c>
      <c r="D1317">
        <v>19</v>
      </c>
      <c r="E1317">
        <v>-13.02</v>
      </c>
      <c r="F1317">
        <v>18.68</v>
      </c>
      <c r="G1317">
        <v>5.28</v>
      </c>
      <c r="H1317">
        <v>-4.58</v>
      </c>
      <c r="I1317">
        <v>-23.33</v>
      </c>
      <c r="J1317">
        <v>-3.13</v>
      </c>
      <c r="K1317">
        <v>-13.58</v>
      </c>
      <c r="L1317">
        <v>1.04</v>
      </c>
      <c r="M1317">
        <v>12.61</v>
      </c>
      <c r="N1317">
        <v>-2.65</v>
      </c>
    </row>
    <row r="1318" spans="1:14">
      <c r="A1318" s="2" t="s">
        <v>1346</v>
      </c>
      <c r="B1318" t="s">
        <v>5139</v>
      </c>
      <c r="C1318">
        <v>6.35</v>
      </c>
      <c r="D1318">
        <v>-9.7799999999999994</v>
      </c>
      <c r="E1318">
        <v>-11.44</v>
      </c>
      <c r="F1318">
        <v>7.29</v>
      </c>
      <c r="G1318">
        <v>13.83</v>
      </c>
      <c r="H1318">
        <v>10.31</v>
      </c>
      <c r="I1318">
        <v>-7.08</v>
      </c>
      <c r="J1318">
        <v>-14.78</v>
      </c>
      <c r="K1318">
        <v>-23.97</v>
      </c>
      <c r="L1318">
        <v>-25.83</v>
      </c>
      <c r="M1318">
        <v>-12.55</v>
      </c>
      <c r="N1318">
        <v>8.11</v>
      </c>
    </row>
    <row r="1319" spans="1:14">
      <c r="A1319" s="2" t="s">
        <v>1347</v>
      </c>
      <c r="B1319" t="s">
        <v>5140</v>
      </c>
      <c r="C1319">
        <v>529.08000000000004</v>
      </c>
      <c r="D1319">
        <v>-78.88</v>
      </c>
      <c r="E1319">
        <v>-18.82</v>
      </c>
      <c r="F1319">
        <v>80.239999999999995</v>
      </c>
      <c r="G1319">
        <v>1550.07</v>
      </c>
      <c r="H1319">
        <v>-53.66</v>
      </c>
      <c r="I1319">
        <v>716.91</v>
      </c>
      <c r="J1319">
        <v>57.66</v>
      </c>
      <c r="K1319">
        <v>-95.11</v>
      </c>
      <c r="L1319">
        <v>-82.78</v>
      </c>
      <c r="M1319">
        <v>1398.03</v>
      </c>
      <c r="N1319">
        <v>1653.94</v>
      </c>
    </row>
    <row r="1320" spans="1:14">
      <c r="A1320" s="2" t="s">
        <v>1348</v>
      </c>
      <c r="B1320" t="s">
        <v>5141</v>
      </c>
      <c r="C1320">
        <v>-9.1199999999999992</v>
      </c>
      <c r="D1320">
        <v>57.73</v>
      </c>
      <c r="E1320">
        <v>-7.99</v>
      </c>
      <c r="F1320">
        <v>34.54</v>
      </c>
      <c r="G1320">
        <v>-5.74</v>
      </c>
      <c r="I1320">
        <v>12.32</v>
      </c>
      <c r="J1320">
        <v>-18.64</v>
      </c>
      <c r="K1320">
        <v>20.38</v>
      </c>
      <c r="L1320">
        <v>38.630000000000003</v>
      </c>
      <c r="M1320">
        <v>-66.290000000000006</v>
      </c>
    </row>
    <row r="1321" spans="1:14">
      <c r="A1321" s="2" t="s">
        <v>1349</v>
      </c>
      <c r="B1321" t="s">
        <v>5142</v>
      </c>
      <c r="C1321">
        <v>-25.46</v>
      </c>
      <c r="D1321">
        <v>-8.33</v>
      </c>
      <c r="E1321">
        <v>-7.63</v>
      </c>
      <c r="F1321">
        <v>-10.26</v>
      </c>
      <c r="G1321">
        <v>28.26</v>
      </c>
      <c r="H1321">
        <v>58.86</v>
      </c>
      <c r="I1321">
        <v>-35.159999999999997</v>
      </c>
      <c r="J1321">
        <v>-12.35</v>
      </c>
      <c r="K1321">
        <v>-28.32</v>
      </c>
      <c r="L1321">
        <v>-14.76</v>
      </c>
      <c r="M1321">
        <v>13.28</v>
      </c>
      <c r="N1321">
        <v>20.7</v>
      </c>
    </row>
    <row r="1322" spans="1:14">
      <c r="A1322" s="2" t="s">
        <v>1350</v>
      </c>
      <c r="B1322" t="s">
        <v>5143</v>
      </c>
      <c r="C1322">
        <v>0.11</v>
      </c>
      <c r="D1322">
        <v>6.33</v>
      </c>
      <c r="E1322">
        <v>-3.2</v>
      </c>
      <c r="F1322">
        <v>-5.23</v>
      </c>
      <c r="G1322">
        <v>-6.81</v>
      </c>
      <c r="H1322">
        <v>12.05</v>
      </c>
      <c r="I1322">
        <v>6.03</v>
      </c>
      <c r="J1322">
        <v>10.26</v>
      </c>
      <c r="K1322">
        <v>14.98</v>
      </c>
      <c r="L1322">
        <v>15</v>
      </c>
      <c r="M1322">
        <v>22.08</v>
      </c>
      <c r="N1322">
        <v>18.86</v>
      </c>
    </row>
    <row r="1323" spans="1:14">
      <c r="A1323" s="2" t="s">
        <v>1351</v>
      </c>
      <c r="B1323" t="s">
        <v>5144</v>
      </c>
      <c r="C1323">
        <v>-11.68</v>
      </c>
      <c r="D1323">
        <v>17.149999999999999</v>
      </c>
      <c r="E1323">
        <v>-15.7</v>
      </c>
      <c r="F1323">
        <v>5.76</v>
      </c>
      <c r="G1323">
        <v>60.27</v>
      </c>
      <c r="H1323">
        <v>-35.07</v>
      </c>
      <c r="I1323">
        <v>9.3800000000000008</v>
      </c>
      <c r="J1323">
        <v>-1.04</v>
      </c>
      <c r="K1323">
        <v>7.71</v>
      </c>
      <c r="L1323">
        <v>-3.24</v>
      </c>
      <c r="M1323">
        <v>5.28</v>
      </c>
      <c r="N1323">
        <v>0.56000000000000005</v>
      </c>
    </row>
    <row r="1324" spans="1:14">
      <c r="A1324" s="2" t="s">
        <v>1352</v>
      </c>
      <c r="B1324" t="s">
        <v>5145</v>
      </c>
      <c r="C1324">
        <v>-0.18</v>
      </c>
      <c r="D1324">
        <v>5.09</v>
      </c>
      <c r="E1324">
        <v>-5.05</v>
      </c>
      <c r="F1324">
        <v>-0.01</v>
      </c>
      <c r="G1324">
        <v>6.16</v>
      </c>
      <c r="I1324">
        <v>-0.33</v>
      </c>
      <c r="J1324">
        <v>5.85</v>
      </c>
      <c r="K1324">
        <v>-1.03</v>
      </c>
      <c r="L1324">
        <v>0.31</v>
      </c>
      <c r="M1324">
        <v>1.98</v>
      </c>
    </row>
    <row r="1325" spans="1:14">
      <c r="A1325" s="2" t="s">
        <v>1353</v>
      </c>
      <c r="B1325" t="s">
        <v>5146</v>
      </c>
      <c r="C1325">
        <v>0.53</v>
      </c>
      <c r="D1325">
        <v>9.9600000000000009</v>
      </c>
      <c r="E1325">
        <v>-26.29</v>
      </c>
      <c r="F1325">
        <v>59.43</v>
      </c>
      <c r="G1325">
        <v>-26.27</v>
      </c>
      <c r="H1325">
        <v>51.25</v>
      </c>
      <c r="I1325">
        <v>35.68</v>
      </c>
      <c r="J1325">
        <v>114.46</v>
      </c>
      <c r="K1325">
        <v>9.35</v>
      </c>
      <c r="L1325">
        <v>47.59</v>
      </c>
      <c r="M1325">
        <v>-12.09</v>
      </c>
      <c r="N1325">
        <v>61.45</v>
      </c>
    </row>
    <row r="1326" spans="1:14">
      <c r="A1326" s="2" t="s">
        <v>1354</v>
      </c>
      <c r="B1326" t="s">
        <v>5147</v>
      </c>
      <c r="C1326">
        <v>-55.72</v>
      </c>
      <c r="D1326">
        <v>-95.2</v>
      </c>
      <c r="E1326">
        <v>511.2</v>
      </c>
      <c r="F1326">
        <v>-90.32</v>
      </c>
      <c r="G1326">
        <v>-100</v>
      </c>
      <c r="I1326">
        <v>23.24</v>
      </c>
      <c r="J1326">
        <v>-53.4</v>
      </c>
      <c r="K1326">
        <v>-72.959999999999994</v>
      </c>
      <c r="L1326">
        <v>-99.14</v>
      </c>
      <c r="M1326">
        <v>-100</v>
      </c>
      <c r="N1326">
        <v>-100</v>
      </c>
    </row>
    <row r="1327" spans="1:14">
      <c r="A1327" s="2" t="s">
        <v>1355</v>
      </c>
      <c r="B1327" t="s">
        <v>5148</v>
      </c>
      <c r="C1327">
        <v>-10.210000000000001</v>
      </c>
      <c r="D1327">
        <v>1.56</v>
      </c>
      <c r="E1327">
        <v>-44.49</v>
      </c>
      <c r="F1327">
        <v>-1.1100000000000001</v>
      </c>
      <c r="G1327">
        <v>-9.44</v>
      </c>
      <c r="H1327">
        <v>41.77</v>
      </c>
      <c r="I1327">
        <v>-19.43</v>
      </c>
      <c r="J1327">
        <v>-18.75</v>
      </c>
      <c r="K1327">
        <v>-39.83</v>
      </c>
      <c r="L1327">
        <v>-42.38</v>
      </c>
      <c r="M1327">
        <v>-50.57</v>
      </c>
      <c r="N1327">
        <v>6.18</v>
      </c>
    </row>
    <row r="1328" spans="1:14">
      <c r="A1328" s="2" t="s">
        <v>1356</v>
      </c>
      <c r="B1328" t="s">
        <v>5149</v>
      </c>
      <c r="C1328">
        <v>14.73</v>
      </c>
      <c r="D1328">
        <v>17.45</v>
      </c>
      <c r="E1328">
        <v>1.17</v>
      </c>
      <c r="F1328">
        <v>0.46</v>
      </c>
      <c r="G1328">
        <v>-4.99</v>
      </c>
      <c r="H1328">
        <v>-12.93</v>
      </c>
      <c r="I1328">
        <v>27.37</v>
      </c>
      <c r="J1328">
        <v>50.71</v>
      </c>
      <c r="K1328">
        <v>28.24</v>
      </c>
      <c r="L1328">
        <v>11.95</v>
      </c>
      <c r="M1328">
        <v>-3.81</v>
      </c>
      <c r="N1328">
        <v>0.85</v>
      </c>
    </row>
    <row r="1329" spans="1:14">
      <c r="A1329" s="2" t="s">
        <v>1357</v>
      </c>
      <c r="B1329" t="s">
        <v>5150</v>
      </c>
      <c r="C1329">
        <v>-15.43</v>
      </c>
      <c r="D1329">
        <v>8.1</v>
      </c>
      <c r="E1329">
        <v>-3.77</v>
      </c>
      <c r="F1329">
        <v>2.8</v>
      </c>
      <c r="G1329">
        <v>1.36</v>
      </c>
      <c r="H1329">
        <v>8.8000000000000007</v>
      </c>
      <c r="I1329">
        <v>-22.55</v>
      </c>
      <c r="J1329">
        <v>-18.03</v>
      </c>
      <c r="K1329">
        <v>-21.18</v>
      </c>
      <c r="L1329">
        <v>-6.72</v>
      </c>
      <c r="M1329">
        <v>-9.4499999999999993</v>
      </c>
      <c r="N1329">
        <v>-9.36</v>
      </c>
    </row>
    <row r="1330" spans="1:14">
      <c r="A1330" s="2" t="s">
        <v>1358</v>
      </c>
      <c r="B1330" t="s">
        <v>5151</v>
      </c>
      <c r="C1330">
        <v>-15.75</v>
      </c>
      <c r="D1330">
        <v>12.83</v>
      </c>
      <c r="E1330">
        <v>-1.61</v>
      </c>
      <c r="F1330">
        <v>-3.13</v>
      </c>
      <c r="G1330">
        <v>8.67</v>
      </c>
      <c r="H1330">
        <v>21.52</v>
      </c>
      <c r="I1330">
        <v>-17.809999999999999</v>
      </c>
      <c r="J1330">
        <v>2.83</v>
      </c>
      <c r="K1330">
        <v>-0.52</v>
      </c>
      <c r="L1330">
        <v>-10.18</v>
      </c>
      <c r="M1330">
        <v>12.65</v>
      </c>
      <c r="N1330">
        <v>20.97</v>
      </c>
    </row>
    <row r="1331" spans="1:14">
      <c r="A1331" s="2" t="s">
        <v>1359</v>
      </c>
      <c r="B1331" t="s">
        <v>5152</v>
      </c>
      <c r="C1331">
        <v>-4.21</v>
      </c>
      <c r="D1331">
        <v>-1.17</v>
      </c>
      <c r="E1331">
        <v>-3.35</v>
      </c>
      <c r="F1331">
        <v>1.01</v>
      </c>
      <c r="G1331">
        <v>7.02</v>
      </c>
      <c r="H1331">
        <v>-0.78</v>
      </c>
      <c r="I1331">
        <v>62.18</v>
      </c>
      <c r="J1331">
        <v>65.17</v>
      </c>
      <c r="K1331">
        <v>86.45</v>
      </c>
      <c r="L1331">
        <v>84.15</v>
      </c>
      <c r="M1331">
        <v>90.74</v>
      </c>
      <c r="N1331">
        <v>93.36</v>
      </c>
    </row>
    <row r="1332" spans="1:14">
      <c r="A1332" s="2" t="s">
        <v>1360</v>
      </c>
      <c r="B1332" t="s">
        <v>5153</v>
      </c>
      <c r="C1332">
        <v>-5.18</v>
      </c>
      <c r="D1332">
        <v>-4.57</v>
      </c>
      <c r="E1332">
        <v>0.78</v>
      </c>
      <c r="F1332">
        <v>29.83</v>
      </c>
      <c r="G1332">
        <v>8.6300000000000008</v>
      </c>
      <c r="H1332">
        <v>-17.239999999999998</v>
      </c>
      <c r="I1332">
        <v>-18.45</v>
      </c>
      <c r="J1332">
        <v>-9.59</v>
      </c>
      <c r="K1332">
        <v>-28.78</v>
      </c>
      <c r="L1332">
        <v>-21.07</v>
      </c>
      <c r="M1332">
        <v>38.43</v>
      </c>
      <c r="N1332">
        <v>36.99</v>
      </c>
    </row>
    <row r="1333" spans="1:14">
      <c r="A1333" s="2" t="s">
        <v>1361</v>
      </c>
      <c r="B1333" t="s">
        <v>5154</v>
      </c>
      <c r="C1333">
        <v>-5.24</v>
      </c>
      <c r="D1333">
        <v>-16.84</v>
      </c>
      <c r="E1333">
        <v>-2.2200000000000002</v>
      </c>
      <c r="F1333">
        <v>2.19</v>
      </c>
      <c r="G1333">
        <v>7.73</v>
      </c>
      <c r="H1333">
        <v>11.74</v>
      </c>
      <c r="I1333">
        <v>-15.64</v>
      </c>
      <c r="J1333">
        <v>-12.84</v>
      </c>
      <c r="K1333">
        <v>-22.32</v>
      </c>
      <c r="L1333">
        <v>-25.37</v>
      </c>
      <c r="M1333">
        <v>-17.66</v>
      </c>
      <c r="N1333">
        <v>-2.4700000000000002</v>
      </c>
    </row>
    <row r="1334" spans="1:14">
      <c r="A1334" s="2" t="s">
        <v>1362</v>
      </c>
      <c r="B1334" t="s">
        <v>5155</v>
      </c>
      <c r="C1334">
        <v>8.91</v>
      </c>
      <c r="D1334">
        <v>-16.739999999999998</v>
      </c>
      <c r="E1334">
        <v>22.54</v>
      </c>
      <c r="F1334">
        <v>-0.38</v>
      </c>
      <c r="G1334">
        <v>19.5</v>
      </c>
      <c r="H1334">
        <v>35.19</v>
      </c>
      <c r="I1334">
        <v>20.65</v>
      </c>
      <c r="J1334">
        <v>-18.57</v>
      </c>
      <c r="K1334">
        <v>-4.43</v>
      </c>
      <c r="L1334">
        <v>-11.97</v>
      </c>
      <c r="M1334">
        <v>-0.33</v>
      </c>
      <c r="N1334">
        <v>4.37</v>
      </c>
    </row>
    <row r="1335" spans="1:14">
      <c r="A1335" s="2" t="s">
        <v>1363</v>
      </c>
      <c r="B1335" t="s">
        <v>5156</v>
      </c>
      <c r="C1335">
        <v>5.15</v>
      </c>
      <c r="D1335">
        <v>-3.06</v>
      </c>
      <c r="E1335">
        <v>8.77</v>
      </c>
      <c r="F1335">
        <v>31.72</v>
      </c>
      <c r="G1335">
        <v>-7.39</v>
      </c>
      <c r="H1335">
        <v>-6.71</v>
      </c>
      <c r="I1335">
        <v>-27.54</v>
      </c>
      <c r="J1335">
        <v>-27.96</v>
      </c>
      <c r="K1335">
        <v>-9.2899999999999991</v>
      </c>
      <c r="L1335">
        <v>5.72</v>
      </c>
      <c r="M1335">
        <v>-5.19</v>
      </c>
      <c r="N1335">
        <v>0.5</v>
      </c>
    </row>
    <row r="1336" spans="1:14">
      <c r="A1336" s="2" t="s">
        <v>1364</v>
      </c>
      <c r="B1336" t="s">
        <v>5157</v>
      </c>
      <c r="C1336">
        <v>-7.18</v>
      </c>
      <c r="D1336">
        <v>7.03</v>
      </c>
      <c r="E1336">
        <v>-7.33</v>
      </c>
      <c r="F1336">
        <v>-13.44</v>
      </c>
      <c r="G1336">
        <v>4.1399999999999997</v>
      </c>
      <c r="H1336">
        <v>28.19</v>
      </c>
      <c r="I1336">
        <v>3.63</v>
      </c>
      <c r="J1336">
        <v>21.57</v>
      </c>
      <c r="K1336">
        <v>20.16</v>
      </c>
      <c r="L1336">
        <v>0.35</v>
      </c>
      <c r="M1336">
        <v>14.27</v>
      </c>
      <c r="N1336">
        <v>30.86</v>
      </c>
    </row>
    <row r="1337" spans="1:14">
      <c r="A1337" s="2" t="s">
        <v>1365</v>
      </c>
      <c r="B1337" t="s">
        <v>5158</v>
      </c>
      <c r="C1337">
        <v>0</v>
      </c>
      <c r="D1337">
        <v>0</v>
      </c>
      <c r="E1337">
        <v>0</v>
      </c>
      <c r="F1337">
        <v>0</v>
      </c>
      <c r="G1337">
        <v>0</v>
      </c>
      <c r="H1337">
        <v>0</v>
      </c>
      <c r="I1337">
        <v>10</v>
      </c>
      <c r="J1337">
        <v>10</v>
      </c>
      <c r="K1337">
        <v>10</v>
      </c>
      <c r="L1337">
        <v>10</v>
      </c>
      <c r="M1337">
        <v>10</v>
      </c>
      <c r="N1337">
        <v>46.67</v>
      </c>
    </row>
    <row r="1338" spans="1:14">
      <c r="A1338" s="2" t="s">
        <v>1366</v>
      </c>
      <c r="B1338" t="s">
        <v>5159</v>
      </c>
      <c r="C1338">
        <v>63.88</v>
      </c>
      <c r="D1338">
        <v>13.87</v>
      </c>
      <c r="E1338">
        <v>8.9</v>
      </c>
      <c r="F1338">
        <v>14.39</v>
      </c>
      <c r="G1338">
        <v>4.8499999999999996</v>
      </c>
      <c r="H1338">
        <v>15.83</v>
      </c>
      <c r="I1338">
        <v>282.63</v>
      </c>
      <c r="J1338">
        <v>358.99</v>
      </c>
      <c r="K1338">
        <v>321.89999999999998</v>
      </c>
      <c r="L1338">
        <v>399.93</v>
      </c>
      <c r="M1338">
        <v>429.08</v>
      </c>
      <c r="N1338">
        <v>564.29</v>
      </c>
    </row>
    <row r="1339" spans="1:14">
      <c r="A1339" s="2" t="s">
        <v>1367</v>
      </c>
      <c r="B1339" t="s">
        <v>5160</v>
      </c>
      <c r="C1339">
        <v>-26.08</v>
      </c>
      <c r="D1339">
        <v>4.87</v>
      </c>
      <c r="E1339">
        <v>-28.27</v>
      </c>
      <c r="F1339">
        <v>35.19</v>
      </c>
      <c r="G1339">
        <v>5.79</v>
      </c>
      <c r="H1339">
        <v>-9.11</v>
      </c>
      <c r="I1339">
        <v>-16.5</v>
      </c>
      <c r="J1339">
        <v>-4.6500000000000004</v>
      </c>
      <c r="K1339">
        <v>-26.37</v>
      </c>
      <c r="L1339">
        <v>-7.23</v>
      </c>
      <c r="M1339">
        <v>-29.14</v>
      </c>
      <c r="N1339">
        <v>-15.06</v>
      </c>
    </row>
    <row r="1340" spans="1:14">
      <c r="A1340" s="2" t="s">
        <v>1368</v>
      </c>
      <c r="B1340" t="s">
        <v>5161</v>
      </c>
      <c r="C1340">
        <v>-3.07</v>
      </c>
      <c r="D1340">
        <v>-3.48</v>
      </c>
      <c r="E1340">
        <v>-2.84</v>
      </c>
      <c r="F1340">
        <v>0.65</v>
      </c>
      <c r="G1340">
        <v>-11.95</v>
      </c>
      <c r="H1340">
        <v>44.53</v>
      </c>
      <c r="I1340">
        <v>15.11</v>
      </c>
      <c r="J1340">
        <v>2.93</v>
      </c>
      <c r="K1340">
        <v>2.91</v>
      </c>
      <c r="L1340">
        <v>-0.25</v>
      </c>
      <c r="M1340">
        <v>-6.99</v>
      </c>
      <c r="N1340">
        <v>28.15</v>
      </c>
    </row>
    <row r="1341" spans="1:14">
      <c r="A1341" s="2" t="s">
        <v>1369</v>
      </c>
      <c r="B1341" t="s">
        <v>5162</v>
      </c>
      <c r="C1341">
        <v>-1.6</v>
      </c>
      <c r="D1341">
        <v>12.96</v>
      </c>
      <c r="E1341">
        <v>3.69</v>
      </c>
      <c r="F1341">
        <v>-34.93</v>
      </c>
      <c r="G1341">
        <v>-0.21</v>
      </c>
      <c r="I1341">
        <v>110.59</v>
      </c>
      <c r="J1341">
        <v>69.64</v>
      </c>
      <c r="K1341">
        <v>61.01</v>
      </c>
      <c r="L1341">
        <v>-10.86</v>
      </c>
      <c r="M1341">
        <v>14.55</v>
      </c>
    </row>
    <row r="1342" spans="1:14">
      <c r="A1342" s="2" t="s">
        <v>1370</v>
      </c>
      <c r="B1342" t="s">
        <v>5163</v>
      </c>
      <c r="C1342">
        <v>-11.76</v>
      </c>
      <c r="D1342">
        <v>25.28</v>
      </c>
      <c r="E1342">
        <v>-45.31</v>
      </c>
      <c r="F1342">
        <v>18.54</v>
      </c>
      <c r="G1342">
        <v>45.09</v>
      </c>
      <c r="H1342">
        <v>7.72</v>
      </c>
      <c r="I1342">
        <v>-12.52</v>
      </c>
      <c r="J1342">
        <v>0.28999999999999998</v>
      </c>
      <c r="K1342">
        <v>-31.09</v>
      </c>
      <c r="L1342">
        <v>-22.58</v>
      </c>
      <c r="M1342">
        <v>25.16</v>
      </c>
      <c r="N1342">
        <v>24.42</v>
      </c>
    </row>
    <row r="1343" spans="1:14">
      <c r="A1343" s="2" t="s">
        <v>1371</v>
      </c>
      <c r="B1343" t="s">
        <v>5164</v>
      </c>
      <c r="C1343">
        <v>-16.43</v>
      </c>
      <c r="D1343">
        <v>28.8</v>
      </c>
      <c r="E1343">
        <v>-15.98</v>
      </c>
      <c r="F1343">
        <v>-14.89</v>
      </c>
      <c r="G1343">
        <v>7.81</v>
      </c>
      <c r="H1343">
        <v>29.38</v>
      </c>
      <c r="I1343">
        <v>-0.32</v>
      </c>
      <c r="J1343">
        <v>5.77</v>
      </c>
      <c r="K1343">
        <v>-0.8</v>
      </c>
      <c r="L1343">
        <v>-25.43</v>
      </c>
      <c r="M1343">
        <v>-5.08</v>
      </c>
      <c r="N1343">
        <v>-11.75</v>
      </c>
    </row>
    <row r="1344" spans="1:14">
      <c r="A1344" s="2" t="s">
        <v>1372</v>
      </c>
      <c r="B1344" t="s">
        <v>5165</v>
      </c>
      <c r="C1344">
        <v>-12.57</v>
      </c>
      <c r="D1344">
        <v>26.67</v>
      </c>
      <c r="E1344">
        <v>-25.69</v>
      </c>
      <c r="F1344">
        <v>2.23</v>
      </c>
      <c r="G1344">
        <v>15.42</v>
      </c>
      <c r="H1344">
        <v>16.93</v>
      </c>
      <c r="I1344">
        <v>-2.13</v>
      </c>
      <c r="J1344">
        <v>28.88</v>
      </c>
      <c r="K1344">
        <v>-3.46</v>
      </c>
      <c r="L1344">
        <v>-25.26</v>
      </c>
      <c r="M1344">
        <v>-16.02</v>
      </c>
      <c r="N1344">
        <v>5.13</v>
      </c>
    </row>
    <row r="1345" spans="1:14">
      <c r="A1345" s="2" t="s">
        <v>1373</v>
      </c>
      <c r="B1345" t="s">
        <v>5166</v>
      </c>
      <c r="C1345">
        <v>-4.38</v>
      </c>
      <c r="D1345">
        <v>-16.649999999999999</v>
      </c>
      <c r="E1345">
        <v>-25.48</v>
      </c>
      <c r="F1345">
        <v>52.61</v>
      </c>
      <c r="G1345">
        <v>-14.93</v>
      </c>
      <c r="H1345">
        <v>-26.09</v>
      </c>
      <c r="I1345">
        <v>7.14</v>
      </c>
      <c r="J1345">
        <v>-10.9</v>
      </c>
      <c r="K1345">
        <v>-37.21</v>
      </c>
      <c r="L1345">
        <v>-11.74</v>
      </c>
      <c r="M1345">
        <v>-62.39</v>
      </c>
      <c r="N1345">
        <v>-9.1999999999999993</v>
      </c>
    </row>
    <row r="1346" spans="1:14">
      <c r="A1346" s="2" t="s">
        <v>1374</v>
      </c>
      <c r="B1346" t="s">
        <v>5167</v>
      </c>
      <c r="C1346">
        <v>-7.38</v>
      </c>
      <c r="D1346">
        <v>-20.38</v>
      </c>
      <c r="E1346">
        <v>26.69</v>
      </c>
      <c r="F1346">
        <v>11.82</v>
      </c>
      <c r="G1346">
        <v>-14.9</v>
      </c>
      <c r="H1346">
        <v>-13.53</v>
      </c>
      <c r="I1346">
        <v>2.83</v>
      </c>
      <c r="J1346">
        <v>-17.72</v>
      </c>
      <c r="K1346">
        <v>3.94</v>
      </c>
      <c r="L1346">
        <v>5.17</v>
      </c>
      <c r="M1346">
        <v>-8.02</v>
      </c>
      <c r="N1346">
        <v>12.53</v>
      </c>
    </row>
    <row r="1347" spans="1:14">
      <c r="A1347" s="2" t="s">
        <v>1375</v>
      </c>
      <c r="B1347" t="s">
        <v>5168</v>
      </c>
      <c r="C1347">
        <v>-0.79</v>
      </c>
      <c r="D1347">
        <v>36.79</v>
      </c>
      <c r="E1347">
        <v>10.1</v>
      </c>
      <c r="F1347">
        <v>0.64</v>
      </c>
      <c r="G1347">
        <v>0.24</v>
      </c>
      <c r="H1347">
        <v>8.65</v>
      </c>
      <c r="I1347">
        <v>49.94</v>
      </c>
      <c r="J1347">
        <v>101.67</v>
      </c>
      <c r="K1347">
        <v>95.88</v>
      </c>
      <c r="L1347">
        <v>72.7</v>
      </c>
      <c r="M1347">
        <v>74.37</v>
      </c>
      <c r="N1347">
        <v>55.4</v>
      </c>
    </row>
    <row r="1348" spans="1:14">
      <c r="A1348" s="2" t="s">
        <v>1376</v>
      </c>
      <c r="B1348" t="s">
        <v>5169</v>
      </c>
      <c r="C1348">
        <v>64.39</v>
      </c>
      <c r="D1348">
        <v>3.53</v>
      </c>
      <c r="E1348">
        <v>18.2</v>
      </c>
      <c r="F1348">
        <v>-14.68</v>
      </c>
      <c r="G1348">
        <v>21.09</v>
      </c>
      <c r="I1348">
        <v>25.43</v>
      </c>
      <c r="J1348">
        <v>32.58</v>
      </c>
      <c r="K1348">
        <v>20.93</v>
      </c>
      <c r="L1348">
        <v>52.2</v>
      </c>
      <c r="M1348">
        <v>111.86</v>
      </c>
    </row>
    <row r="1349" spans="1:14">
      <c r="A1349" s="2" t="s">
        <v>1377</v>
      </c>
      <c r="B1349" t="s">
        <v>5170</v>
      </c>
      <c r="C1349">
        <v>-82.49</v>
      </c>
      <c r="D1349">
        <v>207.97</v>
      </c>
      <c r="E1349">
        <v>66.709999999999994</v>
      </c>
      <c r="F1349">
        <v>12.5</v>
      </c>
      <c r="G1349">
        <v>11.81</v>
      </c>
      <c r="H1349">
        <v>-37.58</v>
      </c>
      <c r="I1349">
        <v>559.89</v>
      </c>
      <c r="J1349">
        <v>25303.54</v>
      </c>
      <c r="K1349">
        <v>42439.11</v>
      </c>
      <c r="L1349">
        <v>47544.25</v>
      </c>
      <c r="M1349">
        <v>-92.02</v>
      </c>
      <c r="N1349">
        <v>-85.22</v>
      </c>
    </row>
    <row r="1350" spans="1:14">
      <c r="A1350" s="2" t="s">
        <v>1378</v>
      </c>
      <c r="B1350" t="s">
        <v>5171</v>
      </c>
      <c r="C1350">
        <v>5.65</v>
      </c>
      <c r="D1350">
        <v>8.4499999999999993</v>
      </c>
      <c r="E1350">
        <v>-0.52</v>
      </c>
      <c r="F1350">
        <v>8.99</v>
      </c>
      <c r="G1350">
        <v>5.8</v>
      </c>
      <c r="H1350">
        <v>-0.21</v>
      </c>
      <c r="I1350">
        <v>2.46</v>
      </c>
      <c r="J1350">
        <v>0.53</v>
      </c>
      <c r="K1350">
        <v>8.76</v>
      </c>
      <c r="L1350">
        <v>10.97</v>
      </c>
      <c r="M1350">
        <v>30.16</v>
      </c>
      <c r="N1350">
        <v>42.19</v>
      </c>
    </row>
    <row r="1351" spans="1:14">
      <c r="A1351" s="2" t="s">
        <v>1379</v>
      </c>
      <c r="B1351" t="s">
        <v>5172</v>
      </c>
      <c r="C1351">
        <v>1.24</v>
      </c>
      <c r="D1351">
        <v>47.57</v>
      </c>
      <c r="E1351">
        <v>-40.630000000000003</v>
      </c>
      <c r="F1351">
        <v>13.43</v>
      </c>
      <c r="G1351">
        <v>25.85</v>
      </c>
      <c r="H1351">
        <v>-2.11</v>
      </c>
      <c r="I1351">
        <v>37.35</v>
      </c>
      <c r="J1351">
        <v>58.67</v>
      </c>
      <c r="K1351">
        <v>10.89</v>
      </c>
      <c r="L1351">
        <v>-11.54</v>
      </c>
      <c r="M1351">
        <v>23.88</v>
      </c>
      <c r="N1351">
        <v>39.19</v>
      </c>
    </row>
    <row r="1352" spans="1:14">
      <c r="A1352" s="2" t="s">
        <v>1380</v>
      </c>
      <c r="B1352" t="s">
        <v>5173</v>
      </c>
      <c r="C1352">
        <v>-36.520000000000003</v>
      </c>
      <c r="D1352">
        <v>45.27</v>
      </c>
      <c r="E1352">
        <v>-10.19</v>
      </c>
      <c r="F1352">
        <v>-17.21</v>
      </c>
      <c r="G1352">
        <v>50.62</v>
      </c>
      <c r="H1352">
        <v>-9.85</v>
      </c>
      <c r="I1352">
        <v>-5.55</v>
      </c>
      <c r="J1352">
        <v>62.14</v>
      </c>
      <c r="K1352">
        <v>75.5</v>
      </c>
      <c r="L1352">
        <v>-17.45</v>
      </c>
      <c r="M1352">
        <v>42.42</v>
      </c>
      <c r="N1352">
        <v>80.81</v>
      </c>
    </row>
    <row r="1353" spans="1:14">
      <c r="A1353" s="2" t="s">
        <v>1381</v>
      </c>
      <c r="B1353" t="s">
        <v>5174</v>
      </c>
      <c r="C1353">
        <v>13.33</v>
      </c>
      <c r="D1353">
        <v>-3.01</v>
      </c>
      <c r="E1353">
        <v>-33.729999999999997</v>
      </c>
      <c r="F1353">
        <v>8.01</v>
      </c>
      <c r="G1353">
        <v>31.15</v>
      </c>
      <c r="H1353">
        <v>-28.92</v>
      </c>
      <c r="I1353">
        <v>-47.29</v>
      </c>
      <c r="J1353">
        <v>-38.880000000000003</v>
      </c>
      <c r="K1353">
        <v>26.67</v>
      </c>
      <c r="L1353">
        <v>-45.81</v>
      </c>
      <c r="M1353">
        <v>-5.77</v>
      </c>
      <c r="N1353">
        <v>5.84</v>
      </c>
    </row>
    <row r="1354" spans="1:14">
      <c r="A1354" s="2" t="s">
        <v>1382</v>
      </c>
      <c r="B1354" t="s">
        <v>5175</v>
      </c>
      <c r="C1354">
        <v>3.28</v>
      </c>
      <c r="D1354">
        <v>2.4900000000000002</v>
      </c>
      <c r="E1354">
        <v>-9.89</v>
      </c>
      <c r="F1354">
        <v>13.18</v>
      </c>
      <c r="G1354">
        <v>0.46</v>
      </c>
      <c r="H1354">
        <v>17.690000000000001</v>
      </c>
      <c r="I1354">
        <v>14.1</v>
      </c>
      <c r="J1354">
        <v>12.66</v>
      </c>
      <c r="K1354">
        <v>11.79</v>
      </c>
      <c r="L1354">
        <v>17.510000000000002</v>
      </c>
      <c r="M1354">
        <v>17.97</v>
      </c>
      <c r="N1354">
        <v>55.74</v>
      </c>
    </row>
    <row r="1355" spans="1:14">
      <c r="A1355" s="2" t="s">
        <v>1383</v>
      </c>
      <c r="B1355" t="s">
        <v>5176</v>
      </c>
      <c r="C1355">
        <v>20.29</v>
      </c>
      <c r="D1355">
        <v>-15.59</v>
      </c>
      <c r="E1355">
        <v>-13.94</v>
      </c>
      <c r="F1355">
        <v>119.62</v>
      </c>
      <c r="G1355">
        <v>-7.76</v>
      </c>
      <c r="H1355">
        <v>32.549999999999997</v>
      </c>
      <c r="I1355">
        <v>-3.07</v>
      </c>
      <c r="J1355">
        <v>41.19</v>
      </c>
      <c r="K1355">
        <v>-22.45</v>
      </c>
      <c r="L1355">
        <v>25.76</v>
      </c>
      <c r="M1355">
        <v>-29.15</v>
      </c>
      <c r="N1355">
        <v>24.45</v>
      </c>
    </row>
    <row r="1356" spans="1:14">
      <c r="A1356" s="2" t="s">
        <v>1384</v>
      </c>
      <c r="B1356" t="s">
        <v>5177</v>
      </c>
      <c r="C1356">
        <v>15.42</v>
      </c>
      <c r="D1356">
        <v>-5.73</v>
      </c>
      <c r="E1356">
        <v>4.45</v>
      </c>
      <c r="F1356">
        <v>14287.21</v>
      </c>
      <c r="G1356">
        <v>7240.18</v>
      </c>
      <c r="I1356">
        <v>-99.94</v>
      </c>
      <c r="J1356">
        <v>-99.9</v>
      </c>
      <c r="K1356">
        <v>-99.31</v>
      </c>
      <c r="L1356">
        <v>-84.72</v>
      </c>
      <c r="M1356">
        <v>1.73</v>
      </c>
    </row>
    <row r="1357" spans="1:14">
      <c r="A1357" s="2" t="s">
        <v>1385</v>
      </c>
      <c r="B1357" t="s">
        <v>5178</v>
      </c>
      <c r="C1357">
        <v>-5.19</v>
      </c>
      <c r="D1357">
        <v>1.49</v>
      </c>
      <c r="E1357">
        <v>26.47</v>
      </c>
      <c r="F1357">
        <v>1.57</v>
      </c>
      <c r="G1357">
        <v>1.73</v>
      </c>
      <c r="H1357">
        <v>12.88</v>
      </c>
      <c r="I1357">
        <v>-44.26</v>
      </c>
      <c r="J1357">
        <v>-38.83</v>
      </c>
      <c r="K1357">
        <v>-22.19</v>
      </c>
      <c r="L1357">
        <v>1.62</v>
      </c>
      <c r="M1357">
        <v>11.91</v>
      </c>
      <c r="N1357">
        <v>22.77</v>
      </c>
    </row>
    <row r="1358" spans="1:14">
      <c r="A1358" s="2" t="s">
        <v>1386</v>
      </c>
      <c r="B1358" t="s">
        <v>5179</v>
      </c>
      <c r="C1358">
        <v>-28.23</v>
      </c>
      <c r="D1358">
        <v>8.35</v>
      </c>
      <c r="E1358">
        <v>-16.489999999999998</v>
      </c>
      <c r="F1358">
        <v>-6.95</v>
      </c>
      <c r="G1358">
        <v>21.43</v>
      </c>
      <c r="I1358">
        <v>-25.03</v>
      </c>
      <c r="J1358">
        <v>-4.18</v>
      </c>
      <c r="K1358">
        <v>-26.96</v>
      </c>
      <c r="L1358">
        <v>-42.24</v>
      </c>
      <c r="M1358">
        <v>-39.39</v>
      </c>
    </row>
    <row r="1359" spans="1:14">
      <c r="A1359" s="2" t="s">
        <v>1387</v>
      </c>
      <c r="B1359" t="s">
        <v>5180</v>
      </c>
      <c r="C1359">
        <v>22.75</v>
      </c>
      <c r="D1359">
        <v>-17.239999999999998</v>
      </c>
      <c r="E1359">
        <v>-60.94</v>
      </c>
      <c r="F1359">
        <v>33.33</v>
      </c>
      <c r="G1359">
        <v>-77</v>
      </c>
      <c r="I1359">
        <v>22.11</v>
      </c>
      <c r="J1359">
        <v>174.29</v>
      </c>
      <c r="K1359">
        <v>-31.82</v>
      </c>
      <c r="L1359">
        <v>-48.98</v>
      </c>
      <c r="M1359">
        <v>-88.08</v>
      </c>
    </row>
    <row r="1360" spans="1:14">
      <c r="A1360" s="2" t="s">
        <v>1388</v>
      </c>
      <c r="B1360" t="s">
        <v>5181</v>
      </c>
      <c r="C1360">
        <v>11.19</v>
      </c>
      <c r="D1360">
        <v>-6.78</v>
      </c>
      <c r="E1360">
        <v>3.03</v>
      </c>
      <c r="F1360">
        <v>11.19</v>
      </c>
      <c r="G1360">
        <v>8.4</v>
      </c>
      <c r="H1360">
        <v>-12.06</v>
      </c>
      <c r="I1360">
        <v>33.75</v>
      </c>
      <c r="J1360">
        <v>12.74</v>
      </c>
      <c r="K1360">
        <v>19.350000000000001</v>
      </c>
      <c r="L1360">
        <v>31.38</v>
      </c>
      <c r="M1360">
        <v>32.630000000000003</v>
      </c>
      <c r="N1360">
        <v>33.06</v>
      </c>
    </row>
    <row r="1361" spans="1:14">
      <c r="A1361" s="2" t="s">
        <v>1389</v>
      </c>
      <c r="B1361" t="s">
        <v>5182</v>
      </c>
      <c r="C1361">
        <v>5.71</v>
      </c>
      <c r="D1361">
        <v>2.3199999999999998</v>
      </c>
      <c r="E1361">
        <v>-4.5</v>
      </c>
      <c r="F1361">
        <v>10.029999999999999</v>
      </c>
      <c r="G1361">
        <v>-19.66</v>
      </c>
      <c r="H1361">
        <v>32.6</v>
      </c>
      <c r="I1361">
        <v>-15.91</v>
      </c>
      <c r="J1361">
        <v>-27.9</v>
      </c>
      <c r="K1361">
        <v>-15.47</v>
      </c>
      <c r="L1361">
        <v>12.21</v>
      </c>
      <c r="M1361">
        <v>-24.49</v>
      </c>
      <c r="N1361">
        <v>10.01</v>
      </c>
    </row>
    <row r="1362" spans="1:14">
      <c r="A1362" s="2" t="s">
        <v>1390</v>
      </c>
      <c r="B1362" t="s">
        <v>5183</v>
      </c>
      <c r="C1362">
        <v>4.5599999999999996</v>
      </c>
      <c r="D1362">
        <v>584.47</v>
      </c>
      <c r="E1362">
        <v>-62.69</v>
      </c>
      <c r="F1362">
        <v>135.91</v>
      </c>
      <c r="G1362">
        <v>31.77</v>
      </c>
      <c r="H1362">
        <v>-89.55</v>
      </c>
      <c r="I1362">
        <v>-74.77</v>
      </c>
      <c r="J1362">
        <v>50.77</v>
      </c>
      <c r="K1362">
        <v>-8.02</v>
      </c>
      <c r="L1362">
        <v>275.56</v>
      </c>
      <c r="M1362">
        <v>25.43</v>
      </c>
      <c r="N1362">
        <v>-47.67</v>
      </c>
    </row>
    <row r="1363" spans="1:14">
      <c r="A1363" s="2" t="s">
        <v>1391</v>
      </c>
      <c r="B1363" t="s">
        <v>5184</v>
      </c>
      <c r="C1363">
        <v>-4.84</v>
      </c>
      <c r="D1363">
        <v>14.35</v>
      </c>
      <c r="E1363">
        <v>-19.14</v>
      </c>
      <c r="F1363">
        <v>9.75</v>
      </c>
      <c r="G1363">
        <v>11.95</v>
      </c>
      <c r="H1363">
        <v>3.25</v>
      </c>
      <c r="I1363">
        <v>-6.65</v>
      </c>
      <c r="J1363">
        <v>-0.5</v>
      </c>
      <c r="K1363">
        <v>-22.13</v>
      </c>
      <c r="L1363">
        <v>-6.2</v>
      </c>
      <c r="M1363">
        <v>-33.020000000000003</v>
      </c>
      <c r="N1363">
        <v>-0.7</v>
      </c>
    </row>
    <row r="1364" spans="1:14">
      <c r="A1364" s="2" t="s">
        <v>1392</v>
      </c>
      <c r="B1364" t="s">
        <v>5185</v>
      </c>
      <c r="C1364">
        <v>-42.65</v>
      </c>
      <c r="D1364">
        <v>-10.33</v>
      </c>
      <c r="E1364">
        <v>29.49</v>
      </c>
      <c r="F1364">
        <v>-23.61</v>
      </c>
      <c r="G1364">
        <v>7.13</v>
      </c>
      <c r="H1364">
        <v>49.43</v>
      </c>
      <c r="I1364">
        <v>18.350000000000001</v>
      </c>
      <c r="J1364">
        <v>23.32</v>
      </c>
      <c r="K1364">
        <v>49.58</v>
      </c>
      <c r="L1364">
        <v>-0.6</v>
      </c>
      <c r="M1364">
        <v>16.579999999999998</v>
      </c>
      <c r="N1364">
        <v>97.72</v>
      </c>
    </row>
    <row r="1365" spans="1:14">
      <c r="A1365" s="2" t="s">
        <v>1393</v>
      </c>
      <c r="B1365" t="s">
        <v>5186</v>
      </c>
      <c r="C1365">
        <v>20.49</v>
      </c>
      <c r="D1365">
        <v>-55.56</v>
      </c>
      <c r="E1365">
        <v>219.14</v>
      </c>
      <c r="F1365">
        <v>-9.4700000000000006</v>
      </c>
      <c r="G1365">
        <v>6.3</v>
      </c>
      <c r="H1365">
        <v>-0.42</v>
      </c>
      <c r="I1365">
        <v>-21.22</v>
      </c>
      <c r="J1365">
        <v>-41.48</v>
      </c>
      <c r="K1365">
        <v>128.30000000000001</v>
      </c>
      <c r="L1365">
        <v>110.1</v>
      </c>
      <c r="M1365">
        <v>59.13</v>
      </c>
      <c r="N1365">
        <v>-6.97</v>
      </c>
    </row>
    <row r="1366" spans="1:14">
      <c r="A1366" s="2" t="s">
        <v>1394</v>
      </c>
      <c r="B1366" t="s">
        <v>5187</v>
      </c>
      <c r="C1366">
        <v>11</v>
      </c>
      <c r="D1366">
        <v>-9.39</v>
      </c>
      <c r="E1366">
        <v>-8.85</v>
      </c>
      <c r="F1366">
        <v>-5.55</v>
      </c>
      <c r="G1366">
        <v>27.43</v>
      </c>
      <c r="H1366">
        <v>-5.94</v>
      </c>
      <c r="I1366">
        <v>33.36</v>
      </c>
      <c r="J1366">
        <v>4.7</v>
      </c>
      <c r="K1366">
        <v>20.07</v>
      </c>
      <c r="L1366">
        <v>-2.78</v>
      </c>
      <c r="M1366">
        <v>18.350000000000001</v>
      </c>
      <c r="N1366">
        <v>66.819999999999993</v>
      </c>
    </row>
    <row r="1367" spans="1:14">
      <c r="A1367" s="2" t="s">
        <v>1395</v>
      </c>
      <c r="B1367" t="s">
        <v>5188</v>
      </c>
      <c r="C1367">
        <v>-3.2</v>
      </c>
      <c r="D1367">
        <v>-0.79</v>
      </c>
      <c r="E1367">
        <v>3.81</v>
      </c>
      <c r="F1367">
        <v>-2.42</v>
      </c>
      <c r="G1367">
        <v>20.440000000000001</v>
      </c>
      <c r="H1367">
        <v>-19.190000000000001</v>
      </c>
      <c r="I1367">
        <v>6.58</v>
      </c>
      <c r="J1367">
        <v>0.94</v>
      </c>
      <c r="K1367">
        <v>11.07</v>
      </c>
      <c r="L1367">
        <v>6.93</v>
      </c>
      <c r="M1367">
        <v>22.76</v>
      </c>
      <c r="N1367">
        <v>13.21</v>
      </c>
    </row>
    <row r="1368" spans="1:14">
      <c r="A1368" s="2" t="s">
        <v>1396</v>
      </c>
      <c r="B1368" t="s">
        <v>5189</v>
      </c>
      <c r="C1368">
        <v>21.55</v>
      </c>
      <c r="D1368">
        <v>41.83</v>
      </c>
      <c r="E1368">
        <v>-42.87</v>
      </c>
      <c r="F1368">
        <v>37.880000000000003</v>
      </c>
      <c r="G1368">
        <v>34.770000000000003</v>
      </c>
      <c r="H1368">
        <v>-45.47</v>
      </c>
      <c r="I1368">
        <v>20.98</v>
      </c>
      <c r="J1368">
        <v>-5.44</v>
      </c>
      <c r="K1368">
        <v>-9.64</v>
      </c>
      <c r="L1368">
        <v>23.86</v>
      </c>
      <c r="M1368">
        <v>3.78</v>
      </c>
      <c r="N1368">
        <v>-7.25</v>
      </c>
    </row>
    <row r="1369" spans="1:14">
      <c r="A1369" s="2" t="s">
        <v>1397</v>
      </c>
      <c r="B1369" t="s">
        <v>5190</v>
      </c>
      <c r="C1369">
        <v>-13.25</v>
      </c>
      <c r="D1369">
        <v>8.89</v>
      </c>
      <c r="E1369">
        <v>5.78</v>
      </c>
      <c r="F1369">
        <v>-7.9</v>
      </c>
      <c r="G1369">
        <v>-0.76</v>
      </c>
      <c r="H1369">
        <v>-3.5</v>
      </c>
      <c r="I1369">
        <v>-23.88</v>
      </c>
      <c r="J1369">
        <v>-15.43</v>
      </c>
      <c r="K1369">
        <v>-3.17</v>
      </c>
      <c r="L1369">
        <v>-14.02</v>
      </c>
      <c r="M1369">
        <v>-14.71</v>
      </c>
      <c r="N1369">
        <v>-10.88</v>
      </c>
    </row>
    <row r="1370" spans="1:14">
      <c r="A1370" s="2" t="s">
        <v>1398</v>
      </c>
      <c r="B1370" t="s">
        <v>5191</v>
      </c>
      <c r="C1370">
        <v>56.91</v>
      </c>
      <c r="D1370">
        <v>-0.18</v>
      </c>
      <c r="E1370">
        <v>-43.52</v>
      </c>
      <c r="F1370">
        <v>106.19</v>
      </c>
      <c r="G1370">
        <v>-11.32</v>
      </c>
      <c r="I1370">
        <v>-11.98</v>
      </c>
      <c r="J1370">
        <v>-12.59</v>
      </c>
      <c r="K1370">
        <v>-49.66</v>
      </c>
      <c r="L1370">
        <v>16.510000000000002</v>
      </c>
      <c r="M1370">
        <v>24.6</v>
      </c>
    </row>
    <row r="1371" spans="1:14">
      <c r="A1371" s="2" t="s">
        <v>1399</v>
      </c>
      <c r="B1371" t="s">
        <v>5192</v>
      </c>
      <c r="C1371">
        <v>-7.03</v>
      </c>
      <c r="D1371">
        <v>31.52</v>
      </c>
      <c r="E1371">
        <v>-9.85</v>
      </c>
      <c r="F1371">
        <v>-7.0000000000000007E-2</v>
      </c>
      <c r="G1371">
        <v>-1.97</v>
      </c>
      <c r="H1371">
        <v>6.73</v>
      </c>
      <c r="I1371">
        <v>7.21</v>
      </c>
      <c r="J1371">
        <v>57.43</v>
      </c>
      <c r="K1371">
        <v>55.39</v>
      </c>
      <c r="L1371">
        <v>30.71</v>
      </c>
      <c r="M1371">
        <v>49.21</v>
      </c>
      <c r="N1371">
        <v>58.19</v>
      </c>
    </row>
    <row r="1372" spans="1:14">
      <c r="A1372" s="2" t="s">
        <v>1400</v>
      </c>
      <c r="B1372" t="s">
        <v>5193</v>
      </c>
      <c r="C1372">
        <v>-3.81</v>
      </c>
      <c r="D1372">
        <v>0</v>
      </c>
      <c r="E1372">
        <v>13.92</v>
      </c>
      <c r="F1372">
        <v>-8.81</v>
      </c>
      <c r="G1372">
        <v>12.31</v>
      </c>
      <c r="H1372">
        <v>-13.39</v>
      </c>
      <c r="I1372">
        <v>-12.81</v>
      </c>
      <c r="J1372">
        <v>-29.08</v>
      </c>
      <c r="K1372">
        <v>-19.48</v>
      </c>
      <c r="L1372">
        <v>-27.32</v>
      </c>
      <c r="M1372">
        <v>-35.11</v>
      </c>
      <c r="N1372">
        <v>-43.34</v>
      </c>
    </row>
    <row r="1373" spans="1:14">
      <c r="A1373" s="2" t="s">
        <v>1401</v>
      </c>
      <c r="B1373" t="s">
        <v>5194</v>
      </c>
      <c r="C1373">
        <v>2.21</v>
      </c>
      <c r="D1373">
        <v>59.61</v>
      </c>
      <c r="E1373">
        <v>1.7</v>
      </c>
      <c r="F1373">
        <v>-9.16</v>
      </c>
      <c r="G1373">
        <v>2.29</v>
      </c>
      <c r="H1373">
        <v>-7.14</v>
      </c>
      <c r="I1373">
        <v>1.1599999999999999</v>
      </c>
      <c r="J1373">
        <v>34.58</v>
      </c>
      <c r="K1373">
        <v>4.49</v>
      </c>
      <c r="L1373">
        <v>10.56</v>
      </c>
      <c r="M1373">
        <v>14.41</v>
      </c>
      <c r="N1373">
        <v>35.01</v>
      </c>
    </row>
    <row r="1374" spans="1:14">
      <c r="A1374" s="2" t="s">
        <v>1402</v>
      </c>
      <c r="B1374" t="s">
        <v>5195</v>
      </c>
      <c r="C1374">
        <v>7.56</v>
      </c>
      <c r="D1374">
        <v>-2.56</v>
      </c>
      <c r="E1374">
        <v>4.04</v>
      </c>
      <c r="F1374">
        <v>2.4300000000000002</v>
      </c>
      <c r="G1374">
        <v>2.19</v>
      </c>
      <c r="H1374">
        <v>-0.74</v>
      </c>
      <c r="I1374">
        <v>8.68</v>
      </c>
      <c r="J1374">
        <v>17.420000000000002</v>
      </c>
      <c r="K1374">
        <v>20.22</v>
      </c>
      <c r="L1374">
        <v>25.07</v>
      </c>
      <c r="M1374">
        <v>30.52</v>
      </c>
      <c r="N1374">
        <v>43.04</v>
      </c>
    </row>
    <row r="1375" spans="1:14">
      <c r="A1375" s="2" t="s">
        <v>1403</v>
      </c>
      <c r="B1375" t="s">
        <v>5196</v>
      </c>
      <c r="C1375">
        <v>-1.25</v>
      </c>
      <c r="D1375">
        <v>1.99</v>
      </c>
      <c r="E1375">
        <v>19.54</v>
      </c>
      <c r="F1375">
        <v>2.94</v>
      </c>
      <c r="G1375">
        <v>6.98</v>
      </c>
      <c r="H1375">
        <v>-27.2</v>
      </c>
      <c r="I1375">
        <v>22.82</v>
      </c>
      <c r="J1375">
        <v>18.88</v>
      </c>
      <c r="K1375">
        <v>49.88</v>
      </c>
      <c r="L1375">
        <v>56.14</v>
      </c>
      <c r="M1375">
        <v>-39.479999999999997</v>
      </c>
      <c r="N1375">
        <v>20.010000000000002</v>
      </c>
    </row>
    <row r="1376" spans="1:14">
      <c r="A1376" s="2" t="s">
        <v>1404</v>
      </c>
      <c r="B1376" t="s">
        <v>5197</v>
      </c>
      <c r="C1376">
        <v>-9.64</v>
      </c>
      <c r="D1376">
        <v>37.54</v>
      </c>
      <c r="E1376">
        <v>-29.65</v>
      </c>
      <c r="F1376">
        <v>-1.02</v>
      </c>
      <c r="G1376">
        <v>0.69</v>
      </c>
      <c r="H1376">
        <v>34.31</v>
      </c>
      <c r="I1376">
        <v>-10.35</v>
      </c>
      <c r="J1376">
        <v>12.86</v>
      </c>
      <c r="K1376">
        <v>-9.0399999999999991</v>
      </c>
      <c r="L1376">
        <v>-11.08</v>
      </c>
      <c r="M1376">
        <v>-22.75</v>
      </c>
      <c r="N1376">
        <v>6.47</v>
      </c>
    </row>
    <row r="1377" spans="1:14">
      <c r="A1377" s="2" t="s">
        <v>1405</v>
      </c>
      <c r="B1377" t="s">
        <v>5198</v>
      </c>
      <c r="C1377">
        <v>-11.63</v>
      </c>
      <c r="D1377">
        <v>4.66</v>
      </c>
      <c r="E1377">
        <v>48.05</v>
      </c>
      <c r="F1377">
        <v>2.61</v>
      </c>
      <c r="G1377">
        <v>-7.4</v>
      </c>
      <c r="H1377">
        <v>-20.29</v>
      </c>
      <c r="I1377">
        <v>-1.68</v>
      </c>
      <c r="J1377">
        <v>-20.72</v>
      </c>
      <c r="K1377">
        <v>0.8</v>
      </c>
      <c r="L1377">
        <v>10.18</v>
      </c>
      <c r="M1377">
        <v>3.33</v>
      </c>
      <c r="N1377">
        <v>33.56</v>
      </c>
    </row>
    <row r="1378" spans="1:14">
      <c r="A1378" s="2" t="s">
        <v>1406</v>
      </c>
      <c r="B1378" t="s">
        <v>5199</v>
      </c>
      <c r="C1378">
        <v>-14.67</v>
      </c>
      <c r="D1378">
        <v>12.43</v>
      </c>
      <c r="E1378">
        <v>-8.1999999999999993</v>
      </c>
      <c r="F1378">
        <v>-24.88</v>
      </c>
      <c r="G1378">
        <v>-1.72</v>
      </c>
      <c r="H1378">
        <v>-4.67</v>
      </c>
      <c r="I1378">
        <v>-24.6</v>
      </c>
      <c r="J1378">
        <v>-16.75</v>
      </c>
      <c r="K1378">
        <v>-31.23</v>
      </c>
      <c r="L1378">
        <v>-26.93</v>
      </c>
      <c r="M1378">
        <v>-39.19</v>
      </c>
      <c r="N1378">
        <v>-26.12</v>
      </c>
    </row>
    <row r="1379" spans="1:14">
      <c r="A1379" s="2" t="s">
        <v>1407</v>
      </c>
      <c r="B1379" t="s">
        <v>5200</v>
      </c>
      <c r="C1379">
        <v>3.21</v>
      </c>
      <c r="D1379">
        <v>14.09</v>
      </c>
      <c r="E1379">
        <v>-0.45</v>
      </c>
      <c r="F1379">
        <v>-8.35</v>
      </c>
      <c r="G1379">
        <v>-4.78</v>
      </c>
      <c r="H1379">
        <v>-0.45</v>
      </c>
      <c r="I1379">
        <v>4.4800000000000004</v>
      </c>
      <c r="J1379">
        <v>10.11</v>
      </c>
      <c r="K1379">
        <v>29.18</v>
      </c>
      <c r="L1379">
        <v>-16.57</v>
      </c>
      <c r="M1379">
        <v>-12.14</v>
      </c>
      <c r="N1379">
        <v>1.76</v>
      </c>
    </row>
    <row r="1380" spans="1:14">
      <c r="A1380" s="2" t="s">
        <v>1408</v>
      </c>
      <c r="B1380" t="s">
        <v>5201</v>
      </c>
      <c r="C1380">
        <v>11.52</v>
      </c>
      <c r="D1380">
        <v>31.87</v>
      </c>
      <c r="E1380">
        <v>-5.43</v>
      </c>
      <c r="F1380">
        <v>-28.78</v>
      </c>
      <c r="G1380">
        <v>49.9</v>
      </c>
      <c r="I1380">
        <v>1.67</v>
      </c>
      <c r="J1380">
        <v>6.09</v>
      </c>
      <c r="K1380">
        <v>15.55</v>
      </c>
      <c r="L1380">
        <v>-12.77</v>
      </c>
      <c r="M1380">
        <v>-12.9</v>
      </c>
    </row>
    <row r="1381" spans="1:14">
      <c r="A1381" s="2" t="s">
        <v>1409</v>
      </c>
      <c r="B1381" t="s">
        <v>5202</v>
      </c>
      <c r="C1381">
        <v>-10.01</v>
      </c>
      <c r="D1381">
        <v>2.35</v>
      </c>
      <c r="E1381">
        <v>17.059999999999999</v>
      </c>
      <c r="F1381">
        <v>-6.94</v>
      </c>
      <c r="G1381">
        <v>4.13</v>
      </c>
      <c r="I1381">
        <v>-9</v>
      </c>
      <c r="J1381">
        <v>-6.64</v>
      </c>
      <c r="K1381">
        <v>1.52</v>
      </c>
      <c r="L1381">
        <v>-0.99</v>
      </c>
      <c r="M1381">
        <v>-11.83</v>
      </c>
    </row>
    <row r="1382" spans="1:14">
      <c r="A1382" s="2" t="s">
        <v>1410</v>
      </c>
      <c r="B1382" t="s">
        <v>5203</v>
      </c>
      <c r="C1382">
        <v>1.45</v>
      </c>
      <c r="D1382">
        <v>3.67</v>
      </c>
      <c r="E1382">
        <v>0.26</v>
      </c>
      <c r="F1382">
        <v>3.71</v>
      </c>
      <c r="G1382">
        <v>0.37</v>
      </c>
      <c r="I1382">
        <v>-29.76</v>
      </c>
      <c r="J1382">
        <v>-29.8</v>
      </c>
      <c r="K1382">
        <v>-15.14</v>
      </c>
      <c r="L1382">
        <v>-16.34</v>
      </c>
      <c r="M1382">
        <v>-20.27</v>
      </c>
    </row>
    <row r="1383" spans="1:14">
      <c r="A1383" s="2" t="s">
        <v>1411</v>
      </c>
      <c r="B1383" t="s">
        <v>5204</v>
      </c>
      <c r="C1383">
        <v>1.1499999999999999</v>
      </c>
      <c r="D1383">
        <v>2.81</v>
      </c>
      <c r="E1383">
        <v>4.24</v>
      </c>
      <c r="F1383">
        <v>1.02</v>
      </c>
      <c r="G1383">
        <v>3.52</v>
      </c>
      <c r="H1383">
        <v>1.29</v>
      </c>
      <c r="I1383">
        <v>6.5</v>
      </c>
      <c r="J1383">
        <v>4.5</v>
      </c>
      <c r="K1383">
        <v>2.64</v>
      </c>
      <c r="L1383">
        <v>7.04</v>
      </c>
      <c r="M1383">
        <v>11.87</v>
      </c>
      <c r="N1383">
        <v>13.48</v>
      </c>
    </row>
    <row r="1384" spans="1:14">
      <c r="A1384" s="2" t="s">
        <v>1412</v>
      </c>
      <c r="B1384" t="s">
        <v>5205</v>
      </c>
      <c r="C1384">
        <v>-10.6</v>
      </c>
      <c r="D1384">
        <v>-12.44</v>
      </c>
      <c r="E1384">
        <v>1.06</v>
      </c>
      <c r="F1384">
        <v>34.51</v>
      </c>
      <c r="G1384">
        <v>-16.170000000000002</v>
      </c>
      <c r="H1384">
        <v>75.83</v>
      </c>
      <c r="I1384">
        <v>-1.19</v>
      </c>
      <c r="J1384">
        <v>-10.46</v>
      </c>
      <c r="K1384">
        <v>25.56</v>
      </c>
      <c r="L1384">
        <v>21.7</v>
      </c>
      <c r="M1384">
        <v>-7.47</v>
      </c>
      <c r="N1384">
        <v>96.29</v>
      </c>
    </row>
    <row r="1385" spans="1:14">
      <c r="A1385" s="2" t="s">
        <v>1413</v>
      </c>
      <c r="B1385" t="s">
        <v>5206</v>
      </c>
      <c r="C1385">
        <v>-13.47</v>
      </c>
      <c r="D1385">
        <v>-11.71</v>
      </c>
      <c r="E1385">
        <v>4.0599999999999996</v>
      </c>
      <c r="F1385">
        <v>40.880000000000003</v>
      </c>
      <c r="G1385">
        <v>-7.88</v>
      </c>
      <c r="H1385">
        <v>-4.8899999999999997</v>
      </c>
      <c r="I1385">
        <v>9.25</v>
      </c>
      <c r="J1385">
        <v>8.16</v>
      </c>
      <c r="K1385">
        <v>14.4</v>
      </c>
      <c r="L1385">
        <v>50.38</v>
      </c>
      <c r="M1385">
        <v>18.3</v>
      </c>
      <c r="N1385">
        <v>26.36</v>
      </c>
    </row>
    <row r="1386" spans="1:14">
      <c r="A1386" s="2" t="s">
        <v>1414</v>
      </c>
      <c r="B1386" t="s">
        <v>5207</v>
      </c>
      <c r="C1386">
        <v>15.96</v>
      </c>
      <c r="D1386">
        <v>-21.82</v>
      </c>
      <c r="E1386">
        <v>27.34</v>
      </c>
      <c r="F1386">
        <v>-5.85</v>
      </c>
      <c r="G1386">
        <v>8.09</v>
      </c>
      <c r="H1386">
        <v>-22.63</v>
      </c>
      <c r="I1386">
        <v>17.29</v>
      </c>
      <c r="J1386">
        <v>-18.8</v>
      </c>
      <c r="K1386">
        <v>2.0499999999999998</v>
      </c>
      <c r="L1386">
        <v>-2.89</v>
      </c>
      <c r="M1386">
        <v>1.75</v>
      </c>
      <c r="N1386">
        <v>9.2899999999999991</v>
      </c>
    </row>
    <row r="1387" spans="1:14">
      <c r="A1387" s="2" t="s">
        <v>1415</v>
      </c>
      <c r="B1387" t="s">
        <v>5208</v>
      </c>
      <c r="C1387">
        <v>0.23</v>
      </c>
      <c r="D1387">
        <v>197.41</v>
      </c>
      <c r="E1387">
        <v>-39.18</v>
      </c>
      <c r="F1387">
        <v>1857.52</v>
      </c>
      <c r="G1387">
        <v>-96.9</v>
      </c>
      <c r="I1387">
        <v>-63.71</v>
      </c>
      <c r="J1387">
        <v>782.8</v>
      </c>
      <c r="K1387">
        <v>-44.06</v>
      </c>
      <c r="L1387">
        <v>207.11</v>
      </c>
      <c r="M1387">
        <v>-47.2</v>
      </c>
    </row>
    <row r="1388" spans="1:14">
      <c r="A1388" s="2" t="s">
        <v>1416</v>
      </c>
      <c r="B1388" t="s">
        <v>5209</v>
      </c>
      <c r="C1388">
        <v>18.09</v>
      </c>
      <c r="D1388">
        <v>-18.100000000000001</v>
      </c>
      <c r="E1388">
        <v>24.22</v>
      </c>
      <c r="F1388">
        <v>11.01</v>
      </c>
      <c r="G1388">
        <v>72.569999999999993</v>
      </c>
      <c r="H1388">
        <v>18.97</v>
      </c>
      <c r="I1388">
        <v>284.39999999999998</v>
      </c>
      <c r="J1388">
        <v>121.1</v>
      </c>
      <c r="K1388">
        <v>146.68</v>
      </c>
      <c r="L1388">
        <v>93.49</v>
      </c>
      <c r="M1388">
        <v>337.31</v>
      </c>
      <c r="N1388">
        <v>435.72</v>
      </c>
    </row>
    <row r="1389" spans="1:14">
      <c r="A1389" s="2" t="s">
        <v>1417</v>
      </c>
      <c r="B1389" t="s">
        <v>5210</v>
      </c>
      <c r="C1389">
        <v>5.74</v>
      </c>
      <c r="D1389">
        <v>7.53</v>
      </c>
      <c r="E1389">
        <v>-17.05</v>
      </c>
      <c r="F1389">
        <v>8.3000000000000007</v>
      </c>
      <c r="G1389">
        <v>3.97</v>
      </c>
      <c r="H1389">
        <v>-12.55</v>
      </c>
      <c r="I1389">
        <v>1.26</v>
      </c>
      <c r="J1389">
        <v>22.95</v>
      </c>
      <c r="K1389">
        <v>-6.2</v>
      </c>
      <c r="L1389">
        <v>0.11</v>
      </c>
      <c r="M1389">
        <v>13.79</v>
      </c>
      <c r="N1389">
        <v>10.55</v>
      </c>
    </row>
    <row r="1390" spans="1:14">
      <c r="A1390" s="2" t="s">
        <v>1418</v>
      </c>
      <c r="B1390" t="s">
        <v>5211</v>
      </c>
      <c r="C1390">
        <v>0.19</v>
      </c>
      <c r="D1390">
        <v>9.4600000000000009</v>
      </c>
      <c r="E1390">
        <v>-14.41</v>
      </c>
      <c r="F1390">
        <v>0.75</v>
      </c>
      <c r="G1390">
        <v>1.03</v>
      </c>
      <c r="H1390">
        <v>18.55</v>
      </c>
      <c r="I1390">
        <v>-6.57</v>
      </c>
      <c r="J1390">
        <v>9.1999999999999993</v>
      </c>
      <c r="K1390">
        <v>0.71</v>
      </c>
      <c r="L1390">
        <v>-1.89</v>
      </c>
      <c r="M1390">
        <v>-3.34</v>
      </c>
      <c r="N1390">
        <v>13.52</v>
      </c>
    </row>
    <row r="1391" spans="1:14">
      <c r="A1391" s="2" t="s">
        <v>1419</v>
      </c>
      <c r="B1391" t="s">
        <v>5212</v>
      </c>
      <c r="C1391">
        <v>-10.52</v>
      </c>
      <c r="D1391">
        <v>-13.06</v>
      </c>
      <c r="E1391">
        <v>9.59</v>
      </c>
      <c r="F1391">
        <v>-10.55</v>
      </c>
      <c r="G1391">
        <v>9.84</v>
      </c>
      <c r="H1391">
        <v>29.72</v>
      </c>
      <c r="I1391">
        <v>9.64</v>
      </c>
      <c r="J1391">
        <v>-15.4</v>
      </c>
      <c r="K1391">
        <v>5.82</v>
      </c>
      <c r="L1391">
        <v>-7.48</v>
      </c>
      <c r="M1391">
        <v>-1.28</v>
      </c>
      <c r="N1391">
        <v>23.57</v>
      </c>
    </row>
    <row r="1392" spans="1:14">
      <c r="A1392" s="2" t="s">
        <v>1420</v>
      </c>
      <c r="B1392" t="s">
        <v>5213</v>
      </c>
      <c r="C1392">
        <v>3.3</v>
      </c>
      <c r="D1392">
        <v>2.0299999999999998</v>
      </c>
      <c r="E1392">
        <v>-0.12</v>
      </c>
      <c r="F1392">
        <v>-2.67</v>
      </c>
      <c r="G1392">
        <v>-4.8499999999999996</v>
      </c>
      <c r="H1392">
        <v>5.78</v>
      </c>
      <c r="I1392">
        <v>-8.67</v>
      </c>
      <c r="J1392">
        <v>-0.56000000000000005</v>
      </c>
      <c r="K1392">
        <v>-2.29</v>
      </c>
      <c r="L1392">
        <v>-8.7899999999999991</v>
      </c>
      <c r="M1392">
        <v>-5.42</v>
      </c>
      <c r="N1392">
        <v>5.21</v>
      </c>
    </row>
    <row r="1393" spans="1:14">
      <c r="A1393" s="2" t="s">
        <v>1421</v>
      </c>
      <c r="B1393" t="s">
        <v>5214</v>
      </c>
      <c r="C1393">
        <v>-10.39</v>
      </c>
      <c r="D1393">
        <v>10.67</v>
      </c>
      <c r="E1393">
        <v>-6.36</v>
      </c>
      <c r="F1393">
        <v>-4.09</v>
      </c>
      <c r="G1393">
        <v>-15.58</v>
      </c>
      <c r="H1393">
        <v>9.57</v>
      </c>
      <c r="I1393">
        <v>38.58</v>
      </c>
      <c r="J1393">
        <v>32</v>
      </c>
      <c r="K1393">
        <v>21.33</v>
      </c>
      <c r="L1393">
        <v>7.89</v>
      </c>
      <c r="M1393">
        <v>-9.2100000000000009</v>
      </c>
      <c r="N1393">
        <v>-16.96</v>
      </c>
    </row>
    <row r="1394" spans="1:14">
      <c r="A1394" s="2" t="s">
        <v>1422</v>
      </c>
      <c r="B1394" t="s">
        <v>5215</v>
      </c>
      <c r="C1394">
        <v>-4.6100000000000003</v>
      </c>
      <c r="D1394">
        <v>12.1</v>
      </c>
      <c r="E1394">
        <v>0.08</v>
      </c>
      <c r="F1394">
        <v>5.98</v>
      </c>
      <c r="G1394">
        <v>7.45</v>
      </c>
      <c r="H1394">
        <v>8.7100000000000009</v>
      </c>
      <c r="I1394">
        <v>15.03</v>
      </c>
      <c r="J1394">
        <v>25.64</v>
      </c>
      <c r="K1394">
        <v>40.57</v>
      </c>
      <c r="L1394">
        <v>33.78</v>
      </c>
      <c r="M1394">
        <v>60.99</v>
      </c>
      <c r="N1394">
        <v>74.819999999999993</v>
      </c>
    </row>
    <row r="1395" spans="1:14">
      <c r="A1395" s="2" t="s">
        <v>1423</v>
      </c>
      <c r="B1395" t="s">
        <v>5216</v>
      </c>
      <c r="C1395">
        <v>-7.37</v>
      </c>
      <c r="D1395">
        <v>13.36</v>
      </c>
      <c r="E1395">
        <v>0.54</v>
      </c>
      <c r="F1395">
        <v>4.4000000000000004</v>
      </c>
      <c r="G1395">
        <v>-12.99</v>
      </c>
      <c r="H1395">
        <v>30.03</v>
      </c>
      <c r="I1395">
        <v>-4.79</v>
      </c>
      <c r="J1395">
        <v>3.83</v>
      </c>
      <c r="K1395">
        <v>11.72</v>
      </c>
      <c r="L1395">
        <v>23.31</v>
      </c>
      <c r="M1395">
        <v>9.5500000000000007</v>
      </c>
      <c r="N1395">
        <v>40.35</v>
      </c>
    </row>
    <row r="1396" spans="1:14">
      <c r="A1396" s="2" t="s">
        <v>1424</v>
      </c>
      <c r="B1396" t="s">
        <v>5217</v>
      </c>
      <c r="C1396">
        <v>23.57</v>
      </c>
      <c r="D1396">
        <v>5.12</v>
      </c>
      <c r="E1396">
        <v>-7.72</v>
      </c>
      <c r="F1396">
        <v>-2.75</v>
      </c>
      <c r="G1396">
        <v>9.2899999999999991</v>
      </c>
      <c r="H1396">
        <v>-7.02</v>
      </c>
      <c r="I1396">
        <v>4.55</v>
      </c>
      <c r="J1396">
        <v>8.73</v>
      </c>
      <c r="K1396">
        <v>0</v>
      </c>
      <c r="L1396">
        <v>13.79</v>
      </c>
      <c r="M1396">
        <v>-13.76</v>
      </c>
      <c r="N1396">
        <v>-24.72</v>
      </c>
    </row>
    <row r="1397" spans="1:14">
      <c r="A1397" s="2" t="s">
        <v>1425</v>
      </c>
      <c r="B1397" t="s">
        <v>5218</v>
      </c>
      <c r="C1397">
        <v>11.17</v>
      </c>
      <c r="D1397">
        <v>7.08</v>
      </c>
      <c r="E1397">
        <v>6.62</v>
      </c>
      <c r="F1397">
        <v>-5.84</v>
      </c>
      <c r="G1397">
        <v>11.29</v>
      </c>
      <c r="H1397">
        <v>-9.64</v>
      </c>
      <c r="I1397">
        <v>-0.16</v>
      </c>
      <c r="J1397">
        <v>-2.75</v>
      </c>
      <c r="K1397">
        <v>3.64</v>
      </c>
      <c r="L1397">
        <v>-2.08</v>
      </c>
      <c r="M1397">
        <v>6.17</v>
      </c>
      <c r="N1397">
        <v>12.79</v>
      </c>
    </row>
    <row r="1398" spans="1:14">
      <c r="A1398" s="2" t="s">
        <v>1426</v>
      </c>
      <c r="B1398" t="s">
        <v>5219</v>
      </c>
      <c r="C1398">
        <v>0.32</v>
      </c>
      <c r="D1398">
        <v>6.65</v>
      </c>
      <c r="E1398">
        <v>-11.07</v>
      </c>
      <c r="F1398">
        <v>1.02</v>
      </c>
      <c r="G1398">
        <v>3.2</v>
      </c>
      <c r="H1398">
        <v>10.31</v>
      </c>
      <c r="I1398">
        <v>12.76</v>
      </c>
      <c r="J1398">
        <v>24.9</v>
      </c>
      <c r="K1398">
        <v>5.93</v>
      </c>
      <c r="L1398">
        <v>0.27</v>
      </c>
      <c r="M1398">
        <v>0.17</v>
      </c>
      <c r="N1398">
        <v>11.4</v>
      </c>
    </row>
    <row r="1399" spans="1:14">
      <c r="A1399" s="2" t="s">
        <v>1427</v>
      </c>
      <c r="B1399" t="s">
        <v>5220</v>
      </c>
      <c r="C1399">
        <v>6.33</v>
      </c>
      <c r="D1399">
        <v>15.56</v>
      </c>
      <c r="E1399">
        <v>14.22</v>
      </c>
      <c r="F1399">
        <v>4.8600000000000003</v>
      </c>
      <c r="G1399">
        <v>-6.5</v>
      </c>
      <c r="H1399">
        <v>-13.7</v>
      </c>
      <c r="I1399">
        <v>4.45</v>
      </c>
      <c r="J1399">
        <v>10.85</v>
      </c>
      <c r="K1399">
        <v>12.42</v>
      </c>
      <c r="L1399">
        <v>9.17</v>
      </c>
      <c r="M1399">
        <v>3.63</v>
      </c>
      <c r="N1399">
        <v>2.57</v>
      </c>
    </row>
    <row r="1400" spans="1:14">
      <c r="A1400" s="2" t="s">
        <v>1428</v>
      </c>
      <c r="B1400" t="s">
        <v>5221</v>
      </c>
      <c r="C1400">
        <v>-11.3</v>
      </c>
      <c r="D1400">
        <v>-17.41</v>
      </c>
      <c r="E1400">
        <v>3.18</v>
      </c>
      <c r="F1400">
        <v>0.08</v>
      </c>
      <c r="G1400">
        <v>-3.59</v>
      </c>
      <c r="H1400">
        <v>19.3</v>
      </c>
      <c r="I1400">
        <v>-10.87</v>
      </c>
      <c r="J1400">
        <v>-10.88</v>
      </c>
      <c r="K1400">
        <v>6.25</v>
      </c>
      <c r="L1400">
        <v>-2.97</v>
      </c>
      <c r="M1400">
        <v>-10.89</v>
      </c>
      <c r="N1400">
        <v>-8.02</v>
      </c>
    </row>
    <row r="1401" spans="1:14">
      <c r="A1401" s="2" t="s">
        <v>1429</v>
      </c>
      <c r="B1401" t="s">
        <v>5222</v>
      </c>
      <c r="C1401">
        <v>16.91</v>
      </c>
      <c r="D1401">
        <v>15.8</v>
      </c>
      <c r="E1401">
        <v>-15.84</v>
      </c>
      <c r="F1401">
        <v>22.66</v>
      </c>
      <c r="G1401">
        <v>5.74</v>
      </c>
      <c r="I1401">
        <v>-3.36</v>
      </c>
      <c r="J1401">
        <v>-2.95</v>
      </c>
      <c r="K1401">
        <v>10.52</v>
      </c>
      <c r="L1401">
        <v>21.06</v>
      </c>
      <c r="M1401">
        <v>5.91</v>
      </c>
    </row>
    <row r="1402" spans="1:14">
      <c r="A1402" s="2" t="s">
        <v>1430</v>
      </c>
      <c r="B1402" t="s">
        <v>5223</v>
      </c>
      <c r="C1402">
        <v>-52.85</v>
      </c>
      <c r="D1402">
        <v>107.07</v>
      </c>
      <c r="E1402">
        <v>-49.64</v>
      </c>
      <c r="F1402">
        <v>1.07</v>
      </c>
      <c r="G1402">
        <v>25.99</v>
      </c>
      <c r="H1402">
        <v>-8.8800000000000008</v>
      </c>
      <c r="I1402">
        <v>4.05</v>
      </c>
      <c r="J1402">
        <v>85.03</v>
      </c>
      <c r="K1402">
        <v>-24.03</v>
      </c>
      <c r="L1402">
        <v>-31.71</v>
      </c>
      <c r="M1402">
        <v>-18.68</v>
      </c>
      <c r="N1402">
        <v>-11.34</v>
      </c>
    </row>
    <row r="1403" spans="1:14">
      <c r="A1403" s="2" t="s">
        <v>1431</v>
      </c>
      <c r="B1403" t="s">
        <v>5224</v>
      </c>
      <c r="C1403">
        <v>3.33</v>
      </c>
      <c r="D1403">
        <v>3.95</v>
      </c>
      <c r="E1403">
        <v>-18.43</v>
      </c>
      <c r="F1403">
        <v>3.88</v>
      </c>
      <c r="G1403">
        <v>7.93</v>
      </c>
      <c r="H1403">
        <v>8.17</v>
      </c>
      <c r="I1403">
        <v>3.53</v>
      </c>
      <c r="J1403">
        <v>-8.0500000000000007</v>
      </c>
      <c r="K1403">
        <v>-8.48</v>
      </c>
      <c r="L1403">
        <v>-9.61</v>
      </c>
      <c r="M1403">
        <v>7.56</v>
      </c>
      <c r="N1403">
        <v>5.97</v>
      </c>
    </row>
    <row r="1404" spans="1:14">
      <c r="A1404" s="2" t="s">
        <v>1432</v>
      </c>
      <c r="B1404" t="s">
        <v>5225</v>
      </c>
      <c r="C1404">
        <v>-2.74</v>
      </c>
      <c r="D1404">
        <v>13.1</v>
      </c>
      <c r="E1404">
        <v>-3.26</v>
      </c>
      <c r="F1404">
        <v>-12.45</v>
      </c>
      <c r="G1404">
        <v>11.18</v>
      </c>
      <c r="H1404">
        <v>9.81</v>
      </c>
      <c r="I1404">
        <v>-2.4900000000000002</v>
      </c>
      <c r="J1404">
        <v>17.07</v>
      </c>
      <c r="K1404">
        <v>3.51</v>
      </c>
      <c r="L1404">
        <v>-10.73</v>
      </c>
      <c r="M1404">
        <v>-2.72</v>
      </c>
      <c r="N1404">
        <v>10.95</v>
      </c>
    </row>
    <row r="1405" spans="1:14">
      <c r="A1405" s="2" t="s">
        <v>1433</v>
      </c>
      <c r="B1405" t="s">
        <v>5226</v>
      </c>
      <c r="C1405">
        <v>4.55</v>
      </c>
      <c r="D1405">
        <v>10.94</v>
      </c>
      <c r="E1405">
        <v>4.68</v>
      </c>
      <c r="F1405">
        <v>-9.7899999999999991</v>
      </c>
      <c r="G1405">
        <v>-1.36</v>
      </c>
      <c r="H1405">
        <v>-2.95</v>
      </c>
      <c r="I1405">
        <v>16.73</v>
      </c>
      <c r="J1405">
        <v>17.72</v>
      </c>
      <c r="K1405">
        <v>44.45</v>
      </c>
      <c r="L1405">
        <v>12.5</v>
      </c>
      <c r="M1405">
        <v>6.83</v>
      </c>
      <c r="N1405">
        <v>3.75</v>
      </c>
    </row>
    <row r="1406" spans="1:14">
      <c r="A1406" s="2" t="s">
        <v>1434</v>
      </c>
      <c r="B1406" t="s">
        <v>5227</v>
      </c>
      <c r="C1406">
        <v>15.44</v>
      </c>
      <c r="D1406">
        <v>-2.82</v>
      </c>
      <c r="E1406">
        <v>-3.02</v>
      </c>
      <c r="F1406">
        <v>-3.19</v>
      </c>
      <c r="G1406">
        <v>20.260000000000002</v>
      </c>
      <c r="H1406">
        <v>9.4700000000000006</v>
      </c>
      <c r="I1406">
        <v>40.97</v>
      </c>
      <c r="J1406">
        <v>35.340000000000003</v>
      </c>
      <c r="K1406">
        <v>34.74</v>
      </c>
      <c r="L1406">
        <v>10.73</v>
      </c>
      <c r="M1406">
        <v>51.74</v>
      </c>
      <c r="N1406">
        <v>77.540000000000006</v>
      </c>
    </row>
    <row r="1407" spans="1:14">
      <c r="A1407" s="2" t="s">
        <v>1435</v>
      </c>
      <c r="B1407" t="s">
        <v>5228</v>
      </c>
      <c r="C1407">
        <v>-9.77</v>
      </c>
      <c r="D1407">
        <v>39.51</v>
      </c>
      <c r="E1407">
        <v>-29.48</v>
      </c>
      <c r="F1407">
        <v>-5.61</v>
      </c>
      <c r="G1407">
        <v>18.239999999999998</v>
      </c>
      <c r="H1407">
        <v>1.7</v>
      </c>
      <c r="I1407">
        <v>-1.37</v>
      </c>
      <c r="J1407">
        <v>30.49</v>
      </c>
      <c r="K1407">
        <v>6.02</v>
      </c>
      <c r="L1407">
        <v>9.5299999999999994</v>
      </c>
      <c r="M1407">
        <v>0.79</v>
      </c>
      <c r="N1407">
        <v>10.65</v>
      </c>
    </row>
    <row r="1408" spans="1:14">
      <c r="A1408" s="2" t="s">
        <v>1436</v>
      </c>
      <c r="B1408" t="s">
        <v>5229</v>
      </c>
      <c r="C1408">
        <v>-21.72</v>
      </c>
      <c r="D1408">
        <v>-4.55</v>
      </c>
      <c r="E1408">
        <v>6.36</v>
      </c>
      <c r="F1408">
        <v>1.1599999999999999</v>
      </c>
      <c r="G1408">
        <v>3.15</v>
      </c>
      <c r="H1408">
        <v>-9.91</v>
      </c>
      <c r="I1408">
        <v>-12.41</v>
      </c>
      <c r="J1408">
        <v>-18.93</v>
      </c>
      <c r="K1408">
        <v>-13.07</v>
      </c>
      <c r="L1408">
        <v>-14.71</v>
      </c>
      <c r="M1408">
        <v>-16.14</v>
      </c>
      <c r="N1408">
        <v>-11.44</v>
      </c>
    </row>
    <row r="1409" spans="1:14">
      <c r="A1409" s="2" t="s">
        <v>1437</v>
      </c>
      <c r="B1409" t="s">
        <v>5230</v>
      </c>
      <c r="C1409">
        <v>125</v>
      </c>
      <c r="D1409">
        <v>-59.26</v>
      </c>
      <c r="E1409">
        <v>-9.09</v>
      </c>
      <c r="F1409">
        <v>-40</v>
      </c>
      <c r="G1409">
        <v>-40</v>
      </c>
      <c r="H1409">
        <v>61.11</v>
      </c>
      <c r="I1409">
        <v>-97.99</v>
      </c>
      <c r="J1409">
        <v>-99.21</v>
      </c>
      <c r="K1409">
        <v>-99.47</v>
      </c>
      <c r="L1409">
        <v>-99.65</v>
      </c>
      <c r="M1409">
        <v>-88</v>
      </c>
      <c r="N1409">
        <v>-39.58</v>
      </c>
    </row>
    <row r="1410" spans="1:14">
      <c r="A1410" s="2" t="s">
        <v>1438</v>
      </c>
      <c r="B1410" t="s">
        <v>5231</v>
      </c>
      <c r="C1410">
        <v>14.75</v>
      </c>
      <c r="D1410">
        <v>-4.95</v>
      </c>
      <c r="E1410">
        <v>-18.43</v>
      </c>
      <c r="F1410">
        <v>13.23</v>
      </c>
      <c r="G1410">
        <v>-0.72</v>
      </c>
      <c r="H1410">
        <v>5.67</v>
      </c>
      <c r="I1410">
        <v>-27.38</v>
      </c>
      <c r="J1410">
        <v>-11.26</v>
      </c>
      <c r="K1410">
        <v>-8.4700000000000006</v>
      </c>
      <c r="L1410">
        <v>-12.67</v>
      </c>
      <c r="M1410">
        <v>-0.19</v>
      </c>
      <c r="N1410">
        <v>-10.08</v>
      </c>
    </row>
    <row r="1411" spans="1:14">
      <c r="A1411" s="2" t="s">
        <v>1439</v>
      </c>
      <c r="B1411" t="s">
        <v>5232</v>
      </c>
      <c r="C1411">
        <v>-0.8</v>
      </c>
      <c r="D1411">
        <v>-3.09</v>
      </c>
      <c r="E1411">
        <v>-5.98</v>
      </c>
      <c r="F1411">
        <v>0.47</v>
      </c>
      <c r="G1411">
        <v>2.2200000000000002</v>
      </c>
      <c r="H1411">
        <v>22.62</v>
      </c>
      <c r="I1411">
        <v>-17.21</v>
      </c>
      <c r="J1411">
        <v>-18.73</v>
      </c>
      <c r="K1411">
        <v>-25.52</v>
      </c>
      <c r="L1411">
        <v>-7.29</v>
      </c>
      <c r="M1411">
        <v>0.02</v>
      </c>
      <c r="N1411">
        <v>19.690000000000001</v>
      </c>
    </row>
    <row r="1412" spans="1:14">
      <c r="A1412" s="2" t="s">
        <v>1440</v>
      </c>
      <c r="B1412" t="s">
        <v>5233</v>
      </c>
      <c r="C1412">
        <v>5.64</v>
      </c>
      <c r="D1412">
        <v>-0.63</v>
      </c>
      <c r="E1412">
        <v>-18.559999999999999</v>
      </c>
      <c r="F1412">
        <v>3.53</v>
      </c>
      <c r="G1412">
        <v>7.99</v>
      </c>
      <c r="H1412">
        <v>0.02</v>
      </c>
      <c r="I1412">
        <v>-12.99</v>
      </c>
      <c r="J1412">
        <v>-15.64</v>
      </c>
      <c r="K1412">
        <v>-25.6</v>
      </c>
      <c r="L1412">
        <v>-21.01</v>
      </c>
      <c r="M1412">
        <v>-14.9</v>
      </c>
      <c r="N1412">
        <v>3.2</v>
      </c>
    </row>
    <row r="1413" spans="1:14">
      <c r="A1413" s="2" t="s">
        <v>1441</v>
      </c>
      <c r="B1413" t="s">
        <v>5234</v>
      </c>
      <c r="C1413">
        <v>2.35</v>
      </c>
      <c r="D1413">
        <v>12.85</v>
      </c>
      <c r="E1413">
        <v>-4.68</v>
      </c>
      <c r="F1413">
        <v>13.56</v>
      </c>
      <c r="G1413">
        <v>11.61</v>
      </c>
      <c r="H1413">
        <v>-21.94</v>
      </c>
      <c r="I1413">
        <v>-17.170000000000002</v>
      </c>
      <c r="J1413">
        <v>-5.19</v>
      </c>
      <c r="K1413">
        <v>-5.3</v>
      </c>
      <c r="L1413">
        <v>0.01</v>
      </c>
      <c r="M1413">
        <v>4.54</v>
      </c>
      <c r="N1413">
        <v>2.11</v>
      </c>
    </row>
    <row r="1414" spans="1:14">
      <c r="A1414" s="2" t="s">
        <v>1442</v>
      </c>
      <c r="B1414" t="s">
        <v>5235</v>
      </c>
      <c r="C1414">
        <v>6.58</v>
      </c>
      <c r="D1414">
        <v>5.14</v>
      </c>
      <c r="E1414">
        <v>-4.59</v>
      </c>
      <c r="F1414">
        <v>10.1</v>
      </c>
      <c r="G1414">
        <v>18.03</v>
      </c>
      <c r="I1414">
        <v>-2.6</v>
      </c>
      <c r="J1414">
        <v>1.94</v>
      </c>
      <c r="K1414">
        <v>7.34</v>
      </c>
      <c r="L1414">
        <v>7.12</v>
      </c>
      <c r="M1414">
        <v>3.16</v>
      </c>
    </row>
    <row r="1415" spans="1:14">
      <c r="A1415" s="2" t="s">
        <v>1443</v>
      </c>
      <c r="B1415" t="s">
        <v>5236</v>
      </c>
      <c r="C1415">
        <v>0.66</v>
      </c>
      <c r="D1415">
        <v>69.69</v>
      </c>
      <c r="E1415">
        <v>-43.72</v>
      </c>
      <c r="F1415">
        <v>24.15</v>
      </c>
      <c r="G1415">
        <v>97.15</v>
      </c>
      <c r="H1415">
        <v>-47.95</v>
      </c>
      <c r="I1415">
        <v>-26.27</v>
      </c>
      <c r="J1415">
        <v>2.69</v>
      </c>
      <c r="K1415">
        <v>-19.600000000000001</v>
      </c>
      <c r="L1415">
        <v>-2.25</v>
      </c>
      <c r="M1415">
        <v>13.08</v>
      </c>
      <c r="N1415">
        <v>-6.94</v>
      </c>
    </row>
    <row r="1416" spans="1:14">
      <c r="A1416" s="2" t="s">
        <v>1444</v>
      </c>
      <c r="B1416" t="s">
        <v>5237</v>
      </c>
      <c r="C1416">
        <v>-3.72</v>
      </c>
      <c r="D1416">
        <v>14.3</v>
      </c>
      <c r="E1416">
        <v>-10.210000000000001</v>
      </c>
      <c r="F1416">
        <v>4.3499999999999996</v>
      </c>
      <c r="G1416">
        <v>15.63</v>
      </c>
      <c r="H1416">
        <v>-9.5399999999999991</v>
      </c>
      <c r="I1416">
        <v>3.33</v>
      </c>
      <c r="J1416">
        <v>9.3800000000000008</v>
      </c>
      <c r="K1416">
        <v>-8.02</v>
      </c>
      <c r="L1416">
        <v>4.38</v>
      </c>
      <c r="M1416">
        <v>23.84</v>
      </c>
      <c r="N1416">
        <v>25.29</v>
      </c>
    </row>
    <row r="1417" spans="1:14">
      <c r="A1417" s="2" t="s">
        <v>1445</v>
      </c>
      <c r="B1417" t="s">
        <v>5238</v>
      </c>
      <c r="C1417">
        <v>4.84</v>
      </c>
      <c r="D1417">
        <v>23.14</v>
      </c>
      <c r="E1417">
        <v>-27.49</v>
      </c>
      <c r="F1417">
        <v>4.68</v>
      </c>
      <c r="G1417">
        <v>38.25</v>
      </c>
      <c r="H1417">
        <v>-3.51</v>
      </c>
      <c r="I1417">
        <v>-13.8</v>
      </c>
      <c r="J1417">
        <v>26.23</v>
      </c>
      <c r="K1417">
        <v>-0.93</v>
      </c>
      <c r="L1417">
        <v>0</v>
      </c>
      <c r="M1417">
        <v>16.87</v>
      </c>
      <c r="N1417">
        <v>26.45</v>
      </c>
    </row>
    <row r="1418" spans="1:14">
      <c r="A1418" s="2" t="s">
        <v>1446</v>
      </c>
      <c r="B1418" t="s">
        <v>5239</v>
      </c>
      <c r="C1418">
        <v>21.59</v>
      </c>
      <c r="D1418">
        <v>-14.89</v>
      </c>
      <c r="E1418">
        <v>30.07</v>
      </c>
      <c r="F1418">
        <v>32.119999999999997</v>
      </c>
      <c r="G1418">
        <v>1.8</v>
      </c>
      <c r="I1418">
        <v>-46.43</v>
      </c>
      <c r="J1418">
        <v>-59.29</v>
      </c>
      <c r="K1418">
        <v>-37.39</v>
      </c>
      <c r="L1418">
        <v>-27.5</v>
      </c>
      <c r="M1418">
        <v>-24.04</v>
      </c>
    </row>
    <row r="1419" spans="1:14">
      <c r="A1419" s="2" t="s">
        <v>1447</v>
      </c>
      <c r="B1419" t="s">
        <v>5240</v>
      </c>
      <c r="C1419">
        <v>-80.19</v>
      </c>
      <c r="D1419">
        <v>-51.28</v>
      </c>
      <c r="E1419">
        <v>572.16999999999996</v>
      </c>
      <c r="F1419">
        <v>-74.040000000000006</v>
      </c>
      <c r="G1419">
        <v>-40.340000000000003</v>
      </c>
      <c r="H1419">
        <v>965.18</v>
      </c>
      <c r="I1419">
        <v>-1.69</v>
      </c>
      <c r="J1419">
        <v>97.25</v>
      </c>
      <c r="K1419">
        <v>1.73</v>
      </c>
      <c r="L1419">
        <v>68.66</v>
      </c>
      <c r="M1419">
        <v>-51.03</v>
      </c>
      <c r="N1419">
        <v>3.48</v>
      </c>
    </row>
    <row r="1420" spans="1:14">
      <c r="A1420" s="2" t="s">
        <v>1448</v>
      </c>
      <c r="B1420" t="s">
        <v>5241</v>
      </c>
      <c r="C1420">
        <v>50.33</v>
      </c>
      <c r="D1420">
        <v>84.97</v>
      </c>
      <c r="E1420">
        <v>-12.65</v>
      </c>
      <c r="F1420">
        <v>12.94</v>
      </c>
      <c r="G1420">
        <v>32.450000000000003</v>
      </c>
      <c r="H1420">
        <v>-47.07</v>
      </c>
      <c r="I1420">
        <v>-23.05</v>
      </c>
      <c r="J1420">
        <v>29.22</v>
      </c>
      <c r="K1420">
        <v>24.45</v>
      </c>
      <c r="L1420">
        <v>-4.33</v>
      </c>
      <c r="M1420">
        <v>0.85</v>
      </c>
      <c r="N1420">
        <v>47.51</v>
      </c>
    </row>
    <row r="1421" spans="1:14">
      <c r="A1421" s="2" t="s">
        <v>1449</v>
      </c>
      <c r="B1421" t="s">
        <v>5242</v>
      </c>
      <c r="C1421">
        <v>-19.73</v>
      </c>
      <c r="D1421">
        <v>2.48</v>
      </c>
      <c r="E1421">
        <v>16.18</v>
      </c>
      <c r="F1421">
        <v>-9.8699999999999992</v>
      </c>
      <c r="G1421">
        <v>5.9</v>
      </c>
      <c r="H1421">
        <v>10.23</v>
      </c>
      <c r="I1421">
        <v>101.51</v>
      </c>
      <c r="J1421">
        <v>63.91</v>
      </c>
      <c r="K1421">
        <v>68.45</v>
      </c>
      <c r="L1421">
        <v>41.87</v>
      </c>
      <c r="M1421">
        <v>26.63</v>
      </c>
      <c r="N1421">
        <v>100.66</v>
      </c>
    </row>
    <row r="1422" spans="1:14">
      <c r="A1422" s="2" t="s">
        <v>1450</v>
      </c>
      <c r="B1422" t="s">
        <v>5243</v>
      </c>
      <c r="C1422">
        <v>-17.329999999999998</v>
      </c>
      <c r="D1422">
        <v>158.13999999999999</v>
      </c>
      <c r="E1422">
        <v>-28.46</v>
      </c>
      <c r="F1422">
        <v>65.48</v>
      </c>
      <c r="G1422">
        <v>-8.4499999999999993</v>
      </c>
      <c r="I1422">
        <v>-68.19</v>
      </c>
      <c r="J1422">
        <v>8.67</v>
      </c>
      <c r="K1422">
        <v>-48.87</v>
      </c>
      <c r="L1422">
        <v>54.35</v>
      </c>
      <c r="M1422">
        <v>0.02</v>
      </c>
    </row>
    <row r="1423" spans="1:14">
      <c r="A1423" s="2" t="s">
        <v>1451</v>
      </c>
      <c r="B1423" t="s">
        <v>5244</v>
      </c>
      <c r="C1423">
        <v>-3.94</v>
      </c>
      <c r="D1423">
        <v>8.98</v>
      </c>
      <c r="E1423">
        <v>-17.350000000000001</v>
      </c>
      <c r="F1423">
        <v>-3.15</v>
      </c>
      <c r="G1423">
        <v>30.59</v>
      </c>
      <c r="H1423">
        <v>6.69</v>
      </c>
      <c r="I1423">
        <v>-0.18</v>
      </c>
      <c r="J1423">
        <v>21.54</v>
      </c>
      <c r="K1423">
        <v>6.75</v>
      </c>
      <c r="L1423">
        <v>-8.57</v>
      </c>
      <c r="M1423">
        <v>29.52</v>
      </c>
      <c r="N1423">
        <v>23.81</v>
      </c>
    </row>
    <row r="1424" spans="1:14">
      <c r="A1424" s="2" t="s">
        <v>1452</v>
      </c>
      <c r="B1424" t="s">
        <v>5245</v>
      </c>
      <c r="C1424">
        <v>0.28999999999999998</v>
      </c>
      <c r="D1424">
        <v>4.17</v>
      </c>
      <c r="E1424">
        <v>-2.8</v>
      </c>
      <c r="F1424">
        <v>5.28</v>
      </c>
      <c r="G1424">
        <v>7.06</v>
      </c>
      <c r="H1424">
        <v>8.92</v>
      </c>
      <c r="I1424">
        <v>15.6</v>
      </c>
      <c r="J1424">
        <v>12.18</v>
      </c>
      <c r="K1424">
        <v>17.63</v>
      </c>
      <c r="L1424">
        <v>28.87</v>
      </c>
      <c r="M1424">
        <v>34.01</v>
      </c>
      <c r="N1424">
        <v>0.43</v>
      </c>
    </row>
    <row r="1425" spans="1:14">
      <c r="A1425" s="2" t="s">
        <v>1453</v>
      </c>
      <c r="B1425" t="s">
        <v>5246</v>
      </c>
      <c r="C1425">
        <v>-12.62</v>
      </c>
      <c r="D1425">
        <v>0.45</v>
      </c>
      <c r="E1425">
        <v>-1.06</v>
      </c>
      <c r="F1425">
        <v>8.48</v>
      </c>
      <c r="G1425">
        <v>1.93</v>
      </c>
      <c r="H1425">
        <v>-2.74</v>
      </c>
      <c r="I1425">
        <v>28.11</v>
      </c>
      <c r="J1425">
        <v>12.14</v>
      </c>
      <c r="K1425">
        <v>26.39</v>
      </c>
      <c r="L1425">
        <v>29.22</v>
      </c>
      <c r="M1425">
        <v>36.33</v>
      </c>
      <c r="N1425">
        <v>11.15</v>
      </c>
    </row>
    <row r="1426" spans="1:14">
      <c r="A1426" s="2" t="s">
        <v>1454</v>
      </c>
      <c r="B1426" t="s">
        <v>5247</v>
      </c>
      <c r="C1426">
        <v>-32.43</v>
      </c>
      <c r="D1426">
        <v>-33.15</v>
      </c>
      <c r="E1426">
        <v>-46.2</v>
      </c>
      <c r="F1426">
        <v>103.97</v>
      </c>
      <c r="G1426">
        <v>-44.88</v>
      </c>
      <c r="H1426">
        <v>32.81</v>
      </c>
      <c r="I1426">
        <v>-80.59</v>
      </c>
      <c r="J1426">
        <v>-87.82</v>
      </c>
      <c r="K1426">
        <v>-82.44</v>
      </c>
      <c r="L1426">
        <v>-71.989999999999995</v>
      </c>
      <c r="M1426">
        <v>-34.67</v>
      </c>
      <c r="N1426">
        <v>-73.05</v>
      </c>
    </row>
    <row r="1427" spans="1:14">
      <c r="A1427" s="2" t="s">
        <v>1455</v>
      </c>
      <c r="B1427" t="s">
        <v>5248</v>
      </c>
      <c r="C1427">
        <v>-21.63</v>
      </c>
      <c r="D1427">
        <v>61.9</v>
      </c>
      <c r="E1427">
        <v>-3.7</v>
      </c>
      <c r="F1427">
        <v>-19.54</v>
      </c>
      <c r="G1427">
        <v>46.4</v>
      </c>
      <c r="I1427">
        <v>21.04</v>
      </c>
      <c r="J1427">
        <v>85.99</v>
      </c>
      <c r="K1427">
        <v>71.23</v>
      </c>
      <c r="L1427">
        <v>45.98</v>
      </c>
      <c r="M1427">
        <v>-12.74</v>
      </c>
    </row>
    <row r="1428" spans="1:14">
      <c r="A1428" s="2" t="s">
        <v>1456</v>
      </c>
      <c r="B1428" t="s">
        <v>5249</v>
      </c>
      <c r="C1428">
        <v>25.83</v>
      </c>
      <c r="D1428">
        <v>115.56</v>
      </c>
      <c r="E1428">
        <v>-45.35</v>
      </c>
      <c r="F1428">
        <v>46.8</v>
      </c>
      <c r="G1428">
        <v>-18.53</v>
      </c>
      <c r="H1428">
        <v>35.69</v>
      </c>
      <c r="I1428">
        <v>-78.86</v>
      </c>
      <c r="J1428">
        <v>-54.45</v>
      </c>
      <c r="K1428">
        <v>-59.36</v>
      </c>
      <c r="L1428">
        <v>-45.23</v>
      </c>
      <c r="M1428">
        <v>-46.6</v>
      </c>
      <c r="N1428">
        <v>-36.61</v>
      </c>
    </row>
    <row r="1429" spans="1:14">
      <c r="A1429" s="2" t="s">
        <v>1457</v>
      </c>
      <c r="B1429" t="s">
        <v>5250</v>
      </c>
      <c r="C1429">
        <v>-2.14</v>
      </c>
      <c r="D1429">
        <v>3.44</v>
      </c>
      <c r="E1429">
        <v>6.55</v>
      </c>
      <c r="F1429">
        <v>10.63</v>
      </c>
      <c r="G1429">
        <v>23.84</v>
      </c>
      <c r="H1429">
        <v>-17.829999999999998</v>
      </c>
      <c r="I1429">
        <v>41.35</v>
      </c>
      <c r="J1429">
        <v>41.34</v>
      </c>
      <c r="K1429">
        <v>53.58</v>
      </c>
      <c r="L1429">
        <v>53.02</v>
      </c>
      <c r="M1429">
        <v>69.930000000000007</v>
      </c>
      <c r="N1429">
        <v>49.82</v>
      </c>
    </row>
    <row r="1430" spans="1:14">
      <c r="A1430" s="2" t="s">
        <v>1458</v>
      </c>
      <c r="B1430" t="s">
        <v>5251</v>
      </c>
      <c r="C1430">
        <v>1.94</v>
      </c>
      <c r="D1430">
        <v>5.73</v>
      </c>
      <c r="E1430">
        <v>0.71</v>
      </c>
      <c r="F1430">
        <v>0.9</v>
      </c>
      <c r="G1430">
        <v>9.82</v>
      </c>
      <c r="H1430">
        <v>-6.32</v>
      </c>
      <c r="I1430">
        <v>24.84</v>
      </c>
      <c r="J1430">
        <v>24.07</v>
      </c>
      <c r="K1430">
        <v>22.85</v>
      </c>
      <c r="L1430">
        <v>17.28</v>
      </c>
      <c r="M1430">
        <v>27.98</v>
      </c>
      <c r="N1430">
        <v>44.28</v>
      </c>
    </row>
    <row r="1431" spans="1:14">
      <c r="A1431" s="2" t="s">
        <v>1459</v>
      </c>
      <c r="B1431" t="s">
        <v>5252</v>
      </c>
      <c r="C1431">
        <v>-36.159999999999997</v>
      </c>
      <c r="D1431">
        <v>10.91</v>
      </c>
      <c r="E1431">
        <v>41.14</v>
      </c>
      <c r="F1431">
        <v>-6.4</v>
      </c>
      <c r="G1431">
        <v>-1</v>
      </c>
      <c r="H1431">
        <v>-8.0399999999999991</v>
      </c>
      <c r="I1431">
        <v>1.99</v>
      </c>
      <c r="J1431">
        <v>8.98</v>
      </c>
      <c r="K1431">
        <v>31.76</v>
      </c>
      <c r="L1431">
        <v>56.14</v>
      </c>
      <c r="M1431">
        <v>-5.93</v>
      </c>
      <c r="N1431">
        <v>13.61</v>
      </c>
    </row>
    <row r="1432" spans="1:14">
      <c r="A1432" s="2" t="s">
        <v>1460</v>
      </c>
      <c r="B1432" t="s">
        <v>5253</v>
      </c>
      <c r="C1432">
        <v>11</v>
      </c>
      <c r="D1432">
        <v>-21.66</v>
      </c>
      <c r="E1432">
        <v>5.59</v>
      </c>
      <c r="F1432">
        <v>8.48</v>
      </c>
      <c r="G1432">
        <v>11.99</v>
      </c>
      <c r="H1432">
        <v>10.119999999999999</v>
      </c>
      <c r="I1432">
        <v>-4.8499999999999996</v>
      </c>
      <c r="J1432">
        <v>-28.52</v>
      </c>
      <c r="K1432">
        <v>-22.4</v>
      </c>
      <c r="L1432">
        <v>-19.829999999999998</v>
      </c>
      <c r="M1432">
        <v>-15.02</v>
      </c>
      <c r="N1432">
        <v>28.06</v>
      </c>
    </row>
    <row r="1433" spans="1:14">
      <c r="A1433" s="2" t="s">
        <v>1461</v>
      </c>
      <c r="B1433" t="s">
        <v>5254</v>
      </c>
      <c r="C1433">
        <v>-33.71</v>
      </c>
      <c r="D1433">
        <v>1198.0899999999999</v>
      </c>
      <c r="E1433">
        <v>-74.56</v>
      </c>
      <c r="F1433">
        <v>-65.66</v>
      </c>
      <c r="G1433">
        <v>413.88</v>
      </c>
      <c r="H1433">
        <v>169.92</v>
      </c>
      <c r="I1433">
        <v>-91.24</v>
      </c>
      <c r="J1433">
        <v>22496.3</v>
      </c>
      <c r="K1433">
        <v>4.4400000000000004</v>
      </c>
      <c r="L1433">
        <v>-84.07</v>
      </c>
      <c r="M1433">
        <v>-56.65</v>
      </c>
      <c r="N1433">
        <v>394.18</v>
      </c>
    </row>
    <row r="1434" spans="1:14">
      <c r="A1434" s="2" t="s">
        <v>1462</v>
      </c>
      <c r="B1434" t="s">
        <v>5255</v>
      </c>
      <c r="C1434">
        <v>-1.41</v>
      </c>
      <c r="D1434">
        <v>3.89</v>
      </c>
      <c r="E1434">
        <v>-36.43</v>
      </c>
      <c r="F1434">
        <v>69.180000000000007</v>
      </c>
      <c r="G1434">
        <v>37.83</v>
      </c>
      <c r="I1434">
        <v>9.66</v>
      </c>
      <c r="J1434">
        <v>9.06</v>
      </c>
      <c r="K1434">
        <v>-31.52</v>
      </c>
      <c r="L1434">
        <v>-8.31</v>
      </c>
      <c r="M1434">
        <v>38.979999999999997</v>
      </c>
    </row>
    <row r="1435" spans="1:14">
      <c r="A1435" s="2" t="s">
        <v>1463</v>
      </c>
      <c r="B1435" t="s">
        <v>5256</v>
      </c>
      <c r="C1435">
        <v>-5.75</v>
      </c>
      <c r="D1435">
        <v>5.63</v>
      </c>
      <c r="E1435">
        <v>1.64</v>
      </c>
      <c r="F1435">
        <v>-0.2</v>
      </c>
      <c r="G1435">
        <v>9.1</v>
      </c>
      <c r="H1435">
        <v>-14.11</v>
      </c>
      <c r="I1435">
        <v>-2.1</v>
      </c>
      <c r="J1435">
        <v>2.4500000000000002</v>
      </c>
      <c r="K1435">
        <v>1.95</v>
      </c>
      <c r="L1435">
        <v>-1.1499999999999999</v>
      </c>
      <c r="M1435">
        <v>2.5299999999999998</v>
      </c>
      <c r="N1435">
        <v>-5.75</v>
      </c>
    </row>
    <row r="1436" spans="1:14">
      <c r="A1436" s="2" t="s">
        <v>1464</v>
      </c>
      <c r="B1436" t="s">
        <v>5257</v>
      </c>
      <c r="C1436">
        <v>-29.55</v>
      </c>
      <c r="D1436">
        <v>-29.69</v>
      </c>
      <c r="E1436">
        <v>201.82</v>
      </c>
      <c r="F1436">
        <v>62.8</v>
      </c>
      <c r="G1436">
        <v>-0.74</v>
      </c>
      <c r="H1436">
        <v>-41.91</v>
      </c>
      <c r="I1436">
        <v>-3.82</v>
      </c>
      <c r="J1436">
        <v>-39.130000000000003</v>
      </c>
      <c r="K1436">
        <v>95.72</v>
      </c>
      <c r="L1436">
        <v>885.89</v>
      </c>
      <c r="M1436">
        <v>260.74</v>
      </c>
      <c r="N1436">
        <v>121.47</v>
      </c>
    </row>
    <row r="1437" spans="1:14">
      <c r="A1437" s="2" t="s">
        <v>1465</v>
      </c>
      <c r="B1437" t="s">
        <v>5258</v>
      </c>
      <c r="C1437">
        <v>5.69</v>
      </c>
      <c r="D1437">
        <v>-4.33</v>
      </c>
      <c r="E1437">
        <v>8.3800000000000008</v>
      </c>
      <c r="F1437">
        <v>-3.53</v>
      </c>
      <c r="G1437">
        <v>-0.54</v>
      </c>
      <c r="I1437">
        <v>8.07</v>
      </c>
      <c r="J1437">
        <v>6.33</v>
      </c>
      <c r="K1437">
        <v>8.6999999999999993</v>
      </c>
      <c r="L1437">
        <v>7.08</v>
      </c>
      <c r="M1437">
        <v>4.8099999999999996</v>
      </c>
    </row>
    <row r="1438" spans="1:14">
      <c r="A1438" s="2" t="s">
        <v>1466</v>
      </c>
      <c r="B1438" t="s">
        <v>5259</v>
      </c>
      <c r="C1438">
        <v>-1.77</v>
      </c>
      <c r="D1438">
        <v>-12.32</v>
      </c>
      <c r="E1438">
        <v>-4.6500000000000004</v>
      </c>
      <c r="F1438">
        <v>-2.04</v>
      </c>
      <c r="G1438">
        <v>-34.409999999999997</v>
      </c>
      <c r="I1438">
        <v>-15.13</v>
      </c>
      <c r="J1438">
        <v>-25.92</v>
      </c>
      <c r="K1438">
        <v>-31.93</v>
      </c>
      <c r="L1438">
        <v>-22.79</v>
      </c>
      <c r="M1438">
        <v>-47.13</v>
      </c>
    </row>
    <row r="1439" spans="1:14">
      <c r="A1439" s="2" t="s">
        <v>1467</v>
      </c>
      <c r="B1439" t="s">
        <v>5260</v>
      </c>
      <c r="C1439">
        <v>-23.68</v>
      </c>
      <c r="D1439">
        <v>25.41</v>
      </c>
      <c r="E1439">
        <v>-0.25</v>
      </c>
      <c r="F1439">
        <v>-12.55</v>
      </c>
      <c r="G1439">
        <v>10.38</v>
      </c>
      <c r="H1439">
        <v>-31.08</v>
      </c>
      <c r="I1439">
        <v>-26.63</v>
      </c>
      <c r="J1439">
        <v>-14.98</v>
      </c>
      <c r="K1439">
        <v>-17.850000000000001</v>
      </c>
      <c r="L1439">
        <v>-10.81</v>
      </c>
      <c r="M1439">
        <v>-16.559999999999999</v>
      </c>
      <c r="N1439">
        <v>-30.22</v>
      </c>
    </row>
    <row r="1440" spans="1:14">
      <c r="A1440" s="2" t="s">
        <v>1468</v>
      </c>
      <c r="B1440" t="s">
        <v>5261</v>
      </c>
      <c r="C1440">
        <v>15.9</v>
      </c>
      <c r="D1440">
        <v>0.01</v>
      </c>
      <c r="E1440">
        <v>-4.18</v>
      </c>
      <c r="F1440">
        <v>-6.46</v>
      </c>
      <c r="G1440">
        <v>6.31</v>
      </c>
      <c r="H1440">
        <v>12.06</v>
      </c>
      <c r="I1440">
        <v>9.32</v>
      </c>
      <c r="J1440">
        <v>-13.49</v>
      </c>
      <c r="K1440">
        <v>-1.52</v>
      </c>
      <c r="L1440">
        <v>-8.2200000000000006</v>
      </c>
      <c r="M1440">
        <v>-11.83</v>
      </c>
      <c r="N1440">
        <v>25.23</v>
      </c>
    </row>
    <row r="1441" spans="1:14">
      <c r="A1441" s="2" t="s">
        <v>1469</v>
      </c>
      <c r="B1441" t="s">
        <v>5262</v>
      </c>
      <c r="C1441">
        <v>3.06</v>
      </c>
      <c r="D1441">
        <v>24.16</v>
      </c>
      <c r="E1441">
        <v>-18.170000000000002</v>
      </c>
      <c r="F1441">
        <v>-25.48</v>
      </c>
      <c r="G1441">
        <v>-35.840000000000003</v>
      </c>
      <c r="H1441">
        <v>-4.96</v>
      </c>
      <c r="I1441">
        <v>-12.76</v>
      </c>
      <c r="J1441">
        <v>17.149999999999999</v>
      </c>
      <c r="K1441">
        <v>46.43</v>
      </c>
      <c r="L1441">
        <v>12.92</v>
      </c>
      <c r="M1441">
        <v>-16.11</v>
      </c>
      <c r="N1441">
        <v>8.6300000000000008</v>
      </c>
    </row>
    <row r="1442" spans="1:14">
      <c r="A1442" s="2" t="s">
        <v>1470</v>
      </c>
      <c r="B1442" t="s">
        <v>5263</v>
      </c>
      <c r="C1442">
        <v>-19.13</v>
      </c>
      <c r="D1442">
        <v>-3.14</v>
      </c>
      <c r="E1442">
        <v>-20.52</v>
      </c>
      <c r="F1442">
        <v>43.15</v>
      </c>
      <c r="G1442">
        <v>-17.64</v>
      </c>
      <c r="H1442">
        <v>24.66</v>
      </c>
      <c r="I1442">
        <v>-21.84</v>
      </c>
      <c r="J1442">
        <v>-27.45</v>
      </c>
      <c r="K1442">
        <v>-49.09</v>
      </c>
      <c r="L1442">
        <v>-15.9</v>
      </c>
      <c r="M1442">
        <v>-37.53</v>
      </c>
      <c r="N1442">
        <v>-25.95</v>
      </c>
    </row>
    <row r="1443" spans="1:14">
      <c r="A1443" s="2" t="s">
        <v>1471</v>
      </c>
      <c r="B1443" t="s">
        <v>5264</v>
      </c>
      <c r="C1443">
        <v>-0.56999999999999995</v>
      </c>
      <c r="D1443">
        <v>15.24</v>
      </c>
      <c r="E1443">
        <v>15.37</v>
      </c>
      <c r="F1443">
        <v>1.54</v>
      </c>
      <c r="G1443">
        <v>5.72</v>
      </c>
      <c r="H1443">
        <v>-6.62</v>
      </c>
      <c r="I1443">
        <v>-9.19</v>
      </c>
      <c r="J1443">
        <v>-1.92</v>
      </c>
      <c r="K1443">
        <v>23.74</v>
      </c>
      <c r="L1443">
        <v>22.68</v>
      </c>
      <c r="M1443">
        <v>21.35</v>
      </c>
      <c r="N1443">
        <v>10.55</v>
      </c>
    </row>
    <row r="1444" spans="1:14">
      <c r="A1444" s="2" t="s">
        <v>1472</v>
      </c>
      <c r="B1444" t="s">
        <v>5265</v>
      </c>
      <c r="C1444">
        <v>50.41</v>
      </c>
      <c r="D1444">
        <v>101.71</v>
      </c>
      <c r="E1444">
        <v>-68.7</v>
      </c>
      <c r="F1444">
        <v>208.01</v>
      </c>
      <c r="G1444">
        <v>147.96</v>
      </c>
      <c r="H1444">
        <v>-82.46</v>
      </c>
      <c r="I1444">
        <v>14.96</v>
      </c>
      <c r="J1444">
        <v>8.35</v>
      </c>
      <c r="K1444">
        <v>-38.090000000000003</v>
      </c>
      <c r="L1444">
        <v>65.989999999999995</v>
      </c>
      <c r="M1444">
        <v>47.66</v>
      </c>
      <c r="N1444">
        <v>17.309999999999999</v>
      </c>
    </row>
    <row r="1445" spans="1:14">
      <c r="A1445" s="2" t="s">
        <v>1473</v>
      </c>
      <c r="B1445" t="s">
        <v>5266</v>
      </c>
      <c r="C1445">
        <v>6.37</v>
      </c>
      <c r="D1445">
        <v>33.33</v>
      </c>
      <c r="E1445">
        <v>-27.42</v>
      </c>
      <c r="F1445">
        <v>9.9700000000000006</v>
      </c>
      <c r="G1445">
        <v>16.86</v>
      </c>
      <c r="I1445">
        <v>-17.39</v>
      </c>
      <c r="J1445">
        <v>14.6</v>
      </c>
      <c r="K1445">
        <v>-25.28</v>
      </c>
      <c r="L1445">
        <v>-7.94</v>
      </c>
      <c r="M1445">
        <v>0.27</v>
      </c>
    </row>
    <row r="1446" spans="1:14">
      <c r="A1446" s="2" t="s">
        <v>1474</v>
      </c>
      <c r="B1446" t="s">
        <v>5267</v>
      </c>
      <c r="C1446">
        <v>-0.59</v>
      </c>
      <c r="D1446">
        <v>-1.38</v>
      </c>
      <c r="E1446">
        <v>12.71</v>
      </c>
      <c r="F1446">
        <v>-13.92</v>
      </c>
      <c r="G1446">
        <v>3.46</v>
      </c>
      <c r="H1446">
        <v>5.55</v>
      </c>
      <c r="I1446">
        <v>11.08</v>
      </c>
      <c r="J1446">
        <v>7.74</v>
      </c>
      <c r="K1446">
        <v>17.61</v>
      </c>
      <c r="L1446">
        <v>4.4400000000000004</v>
      </c>
      <c r="M1446">
        <v>0.78</v>
      </c>
      <c r="N1446">
        <v>31.38</v>
      </c>
    </row>
    <row r="1447" spans="1:14">
      <c r="A1447" s="2" t="s">
        <v>1475</v>
      </c>
      <c r="B1447" t="s">
        <v>5268</v>
      </c>
      <c r="C1447">
        <v>0</v>
      </c>
      <c r="D1447">
        <v>97.59</v>
      </c>
      <c r="E1447">
        <v>-51.22</v>
      </c>
      <c r="F1447">
        <v>0</v>
      </c>
      <c r="G1447">
        <v>0</v>
      </c>
      <c r="H1447">
        <v>0</v>
      </c>
      <c r="I1447">
        <v>0</v>
      </c>
      <c r="J1447">
        <v>95.24</v>
      </c>
      <c r="K1447">
        <v>-3.61</v>
      </c>
      <c r="L1447">
        <v>-3.61</v>
      </c>
      <c r="M1447">
        <v>-4.76</v>
      </c>
      <c r="N1447">
        <v>-3.61</v>
      </c>
    </row>
    <row r="1448" spans="1:14">
      <c r="A1448" s="2" t="s">
        <v>1476</v>
      </c>
      <c r="B1448" t="s">
        <v>5269</v>
      </c>
      <c r="C1448">
        <v>9.74</v>
      </c>
      <c r="D1448">
        <v>4.12</v>
      </c>
      <c r="E1448">
        <v>10.58</v>
      </c>
      <c r="F1448">
        <v>-1.88</v>
      </c>
      <c r="G1448">
        <v>6.19</v>
      </c>
      <c r="H1448">
        <v>14.83</v>
      </c>
      <c r="I1448">
        <v>-14.15</v>
      </c>
      <c r="J1448">
        <v>3.86</v>
      </c>
      <c r="K1448">
        <v>14.83</v>
      </c>
      <c r="L1448">
        <v>6.93</v>
      </c>
      <c r="M1448">
        <v>10.79</v>
      </c>
      <c r="N1448">
        <v>53.72</v>
      </c>
    </row>
    <row r="1449" spans="1:14">
      <c r="A1449" s="2" t="s">
        <v>1477</v>
      </c>
      <c r="B1449" t="s">
        <v>5270</v>
      </c>
      <c r="C1449">
        <v>1.49</v>
      </c>
      <c r="D1449">
        <v>3.94</v>
      </c>
      <c r="E1449">
        <v>0.44</v>
      </c>
      <c r="F1449">
        <v>14.9</v>
      </c>
      <c r="G1449">
        <v>52.9</v>
      </c>
      <c r="H1449">
        <v>-23.87</v>
      </c>
      <c r="I1449">
        <v>-4.67</v>
      </c>
      <c r="J1449">
        <v>-4.58</v>
      </c>
      <c r="K1449">
        <v>-3.41</v>
      </c>
      <c r="L1449">
        <v>12.32</v>
      </c>
      <c r="M1449">
        <v>34.21</v>
      </c>
      <c r="N1449">
        <v>35.11</v>
      </c>
    </row>
    <row r="1450" spans="1:14">
      <c r="A1450" s="2" t="s">
        <v>1478</v>
      </c>
      <c r="B1450" t="s">
        <v>5271</v>
      </c>
      <c r="C1450">
        <v>1.93</v>
      </c>
      <c r="D1450">
        <v>-4.45</v>
      </c>
      <c r="E1450">
        <v>0.11</v>
      </c>
      <c r="F1450">
        <v>-2.4300000000000002</v>
      </c>
      <c r="G1450">
        <v>-6.07</v>
      </c>
      <c r="H1450">
        <v>18.32</v>
      </c>
      <c r="I1450">
        <v>17.850000000000001</v>
      </c>
      <c r="J1450">
        <v>2.67</v>
      </c>
      <c r="K1450">
        <v>11.48</v>
      </c>
      <c r="L1450">
        <v>22.97</v>
      </c>
      <c r="M1450">
        <v>3.23</v>
      </c>
      <c r="N1450">
        <v>38.340000000000003</v>
      </c>
    </row>
    <row r="1451" spans="1:14">
      <c r="A1451" s="2" t="s">
        <v>1479</v>
      </c>
      <c r="B1451" t="s">
        <v>5272</v>
      </c>
      <c r="C1451">
        <v>16.93</v>
      </c>
      <c r="D1451">
        <v>28.46</v>
      </c>
      <c r="E1451">
        <v>-2.1</v>
      </c>
      <c r="F1451">
        <v>12.71</v>
      </c>
      <c r="G1451">
        <v>-13.03</v>
      </c>
      <c r="H1451">
        <v>-16.47</v>
      </c>
      <c r="I1451">
        <v>-53.58</v>
      </c>
      <c r="J1451">
        <v>58.4</v>
      </c>
      <c r="K1451">
        <v>29.81</v>
      </c>
      <c r="L1451">
        <v>69.099999999999994</v>
      </c>
      <c r="M1451">
        <v>49.56</v>
      </c>
      <c r="N1451">
        <v>12.28</v>
      </c>
    </row>
    <row r="1452" spans="1:14">
      <c r="A1452" s="2" t="s">
        <v>1480</v>
      </c>
      <c r="B1452" t="s">
        <v>5273</v>
      </c>
      <c r="C1452">
        <v>0.28000000000000003</v>
      </c>
      <c r="D1452">
        <v>12.46</v>
      </c>
      <c r="E1452">
        <v>-0.19</v>
      </c>
      <c r="F1452">
        <v>-0.77</v>
      </c>
      <c r="G1452">
        <v>-3.68</v>
      </c>
      <c r="H1452">
        <v>6.93</v>
      </c>
      <c r="I1452">
        <v>-7.69</v>
      </c>
      <c r="J1452">
        <v>-6.79</v>
      </c>
      <c r="K1452">
        <v>-9.52</v>
      </c>
      <c r="L1452">
        <v>-4.87</v>
      </c>
      <c r="M1452">
        <v>-14.32</v>
      </c>
      <c r="N1452">
        <v>7.47</v>
      </c>
    </row>
    <row r="1453" spans="1:14">
      <c r="A1453" s="2" t="s">
        <v>1481</v>
      </c>
      <c r="B1453" t="s">
        <v>5274</v>
      </c>
      <c r="C1453">
        <v>-3.6</v>
      </c>
      <c r="D1453">
        <v>-3.68</v>
      </c>
      <c r="E1453">
        <v>-16.059999999999999</v>
      </c>
      <c r="F1453">
        <v>6.22</v>
      </c>
      <c r="G1453">
        <v>13.1</v>
      </c>
      <c r="H1453">
        <v>0.45</v>
      </c>
      <c r="I1453">
        <v>-8.6</v>
      </c>
      <c r="J1453">
        <v>-1.56</v>
      </c>
      <c r="K1453">
        <v>-3.05</v>
      </c>
      <c r="L1453">
        <v>-8.66</v>
      </c>
      <c r="M1453">
        <v>1.56</v>
      </c>
      <c r="N1453">
        <v>-10.69</v>
      </c>
    </row>
    <row r="1454" spans="1:14">
      <c r="A1454" s="2" t="s">
        <v>1482</v>
      </c>
      <c r="B1454" t="s">
        <v>5275</v>
      </c>
      <c r="C1454">
        <v>0.9</v>
      </c>
      <c r="D1454">
        <v>2.02</v>
      </c>
      <c r="E1454">
        <v>-6.38</v>
      </c>
      <c r="F1454">
        <v>-10.27</v>
      </c>
      <c r="G1454">
        <v>33.31</v>
      </c>
      <c r="H1454">
        <v>24.61</v>
      </c>
      <c r="I1454">
        <v>-9.1199999999999992</v>
      </c>
      <c r="J1454">
        <v>-10.24</v>
      </c>
      <c r="K1454">
        <v>-8</v>
      </c>
      <c r="L1454">
        <v>-22.62</v>
      </c>
      <c r="M1454">
        <v>9.1300000000000008</v>
      </c>
      <c r="N1454">
        <v>35.06</v>
      </c>
    </row>
    <row r="1455" spans="1:14">
      <c r="A1455" s="2" t="s">
        <v>1483</v>
      </c>
      <c r="B1455" t="s">
        <v>5276</v>
      </c>
      <c r="C1455">
        <v>2.57</v>
      </c>
      <c r="D1455">
        <v>0.08</v>
      </c>
      <c r="E1455">
        <v>-6.73</v>
      </c>
      <c r="F1455">
        <v>-44.14</v>
      </c>
      <c r="G1455">
        <v>28.47</v>
      </c>
      <c r="H1455">
        <v>138.54</v>
      </c>
      <c r="I1455">
        <v>-50.3</v>
      </c>
      <c r="J1455">
        <v>-8.94</v>
      </c>
      <c r="K1455">
        <v>4.7</v>
      </c>
      <c r="L1455">
        <v>-57.51</v>
      </c>
      <c r="M1455">
        <v>59.27</v>
      </c>
      <c r="N1455">
        <v>17.739999999999998</v>
      </c>
    </row>
    <row r="1456" spans="1:14">
      <c r="A1456" s="2" t="s">
        <v>1484</v>
      </c>
      <c r="B1456" t="s">
        <v>5277</v>
      </c>
      <c r="C1456">
        <v>-12.79</v>
      </c>
      <c r="D1456">
        <v>16.72</v>
      </c>
      <c r="E1456">
        <v>-1.6</v>
      </c>
      <c r="F1456">
        <v>-18.760000000000002</v>
      </c>
      <c r="G1456">
        <v>2.4700000000000002</v>
      </c>
      <c r="I1456">
        <v>-6.54</v>
      </c>
      <c r="J1456">
        <v>-0.46</v>
      </c>
      <c r="K1456">
        <v>13.92</v>
      </c>
      <c r="L1456">
        <v>-21.12</v>
      </c>
      <c r="M1456">
        <v>3.54</v>
      </c>
    </row>
    <row r="1457" spans="1:14">
      <c r="A1457" s="2" t="s">
        <v>1485</v>
      </c>
      <c r="B1457" t="s">
        <v>5278</v>
      </c>
      <c r="C1457">
        <v>0.9</v>
      </c>
      <c r="D1457">
        <v>1.07</v>
      </c>
      <c r="E1457">
        <v>-2.8</v>
      </c>
      <c r="F1457">
        <v>-1.95</v>
      </c>
      <c r="G1457">
        <v>-1.96</v>
      </c>
      <c r="H1457">
        <v>16.21</v>
      </c>
      <c r="I1457">
        <v>36.99</v>
      </c>
      <c r="J1457">
        <v>31.8</v>
      </c>
      <c r="K1457">
        <v>5.35</v>
      </c>
      <c r="L1457">
        <v>-11.95</v>
      </c>
      <c r="M1457">
        <v>-13.29</v>
      </c>
      <c r="N1457">
        <v>19.28</v>
      </c>
    </row>
    <row r="1458" spans="1:14">
      <c r="A1458" s="2" t="s">
        <v>1486</v>
      </c>
      <c r="B1458" t="s">
        <v>5279</v>
      </c>
      <c r="C1458">
        <v>22.36</v>
      </c>
      <c r="D1458">
        <v>3</v>
      </c>
      <c r="E1458">
        <v>-39.700000000000003</v>
      </c>
      <c r="F1458">
        <v>-22.7</v>
      </c>
      <c r="G1458">
        <v>9.08</v>
      </c>
      <c r="H1458">
        <v>-14.86</v>
      </c>
      <c r="I1458">
        <v>34.65</v>
      </c>
      <c r="J1458">
        <v>68.150000000000006</v>
      </c>
      <c r="K1458">
        <v>3.09</v>
      </c>
      <c r="L1458">
        <v>-40.17</v>
      </c>
      <c r="M1458">
        <v>-54.93</v>
      </c>
      <c r="N1458">
        <v>-60.89</v>
      </c>
    </row>
    <row r="1459" spans="1:14">
      <c r="A1459" s="2" t="s">
        <v>1487</v>
      </c>
      <c r="B1459" t="s">
        <v>5280</v>
      </c>
      <c r="C1459">
        <v>-18.29</v>
      </c>
      <c r="D1459">
        <v>30.19</v>
      </c>
      <c r="E1459">
        <v>2.15</v>
      </c>
      <c r="F1459">
        <v>-8.11</v>
      </c>
      <c r="G1459">
        <v>48.42</v>
      </c>
      <c r="H1459">
        <v>-4.53</v>
      </c>
      <c r="I1459">
        <v>-18.14</v>
      </c>
      <c r="J1459">
        <v>-6.36</v>
      </c>
      <c r="K1459">
        <v>4.99</v>
      </c>
      <c r="L1459">
        <v>43.54</v>
      </c>
      <c r="M1459">
        <v>103.79</v>
      </c>
      <c r="N1459">
        <v>32.619999999999997</v>
      </c>
    </row>
    <row r="1460" spans="1:14">
      <c r="A1460" s="2" t="s">
        <v>1488</v>
      </c>
      <c r="B1460" t="s">
        <v>5281</v>
      </c>
      <c r="C1460">
        <v>5.1100000000000003</v>
      </c>
      <c r="D1460">
        <v>-2.42</v>
      </c>
      <c r="E1460">
        <v>17.43</v>
      </c>
      <c r="F1460">
        <v>11.61</v>
      </c>
      <c r="G1460">
        <v>24.95</v>
      </c>
      <c r="H1460">
        <v>-14.84</v>
      </c>
      <c r="I1460">
        <v>12.09</v>
      </c>
      <c r="J1460">
        <v>-26.15</v>
      </c>
      <c r="K1460">
        <v>31.16</v>
      </c>
      <c r="L1460">
        <v>30.55</v>
      </c>
      <c r="M1460">
        <v>43.42</v>
      </c>
      <c r="N1460">
        <v>49.74</v>
      </c>
    </row>
    <row r="1461" spans="1:14">
      <c r="A1461" s="2" t="s">
        <v>1489</v>
      </c>
      <c r="B1461" t="s">
        <v>5282</v>
      </c>
      <c r="C1461">
        <v>-5.31</v>
      </c>
      <c r="D1461">
        <v>-1.83</v>
      </c>
      <c r="E1461">
        <v>87.45</v>
      </c>
      <c r="F1461">
        <v>-3.13</v>
      </c>
      <c r="G1461">
        <v>-12.87</v>
      </c>
      <c r="H1461">
        <v>-38.520000000000003</v>
      </c>
      <c r="I1461">
        <v>-59.54</v>
      </c>
      <c r="J1461">
        <v>-26.3</v>
      </c>
      <c r="K1461">
        <v>-9.7100000000000009</v>
      </c>
      <c r="L1461">
        <v>71.59</v>
      </c>
      <c r="M1461">
        <v>-2.06</v>
      </c>
      <c r="N1461">
        <v>-42.17</v>
      </c>
    </row>
    <row r="1462" spans="1:14">
      <c r="A1462" s="2" t="s">
        <v>1490</v>
      </c>
      <c r="B1462" t="s">
        <v>5283</v>
      </c>
      <c r="C1462">
        <v>68.349999999999994</v>
      </c>
      <c r="D1462">
        <v>-46.25</v>
      </c>
      <c r="E1462">
        <v>-9.32</v>
      </c>
      <c r="F1462">
        <v>55.46</v>
      </c>
      <c r="G1462">
        <v>-23.28</v>
      </c>
      <c r="H1462">
        <v>2.76</v>
      </c>
      <c r="I1462">
        <v>16.649999999999999</v>
      </c>
      <c r="J1462">
        <v>2.2200000000000002</v>
      </c>
      <c r="K1462">
        <v>-42.61</v>
      </c>
      <c r="L1462">
        <v>-18.52</v>
      </c>
      <c r="M1462">
        <v>16.91</v>
      </c>
      <c r="N1462">
        <v>-26.28</v>
      </c>
    </row>
    <row r="1463" spans="1:14">
      <c r="A1463" s="2" t="s">
        <v>1491</v>
      </c>
      <c r="B1463" t="s">
        <v>5284</v>
      </c>
      <c r="C1463">
        <v>0.31</v>
      </c>
      <c r="D1463">
        <v>-1.88</v>
      </c>
      <c r="E1463">
        <v>-4.8</v>
      </c>
      <c r="F1463">
        <v>0.91</v>
      </c>
      <c r="G1463">
        <v>4.25</v>
      </c>
      <c r="H1463">
        <v>0.69</v>
      </c>
      <c r="I1463">
        <v>18.059999999999999</v>
      </c>
      <c r="J1463">
        <v>15.81</v>
      </c>
      <c r="K1463">
        <v>8.51</v>
      </c>
      <c r="L1463">
        <v>9.2200000000000006</v>
      </c>
      <c r="M1463">
        <v>7.99</v>
      </c>
      <c r="N1463">
        <v>19.850000000000001</v>
      </c>
    </row>
    <row r="1464" spans="1:14">
      <c r="A1464" s="2" t="s">
        <v>1492</v>
      </c>
      <c r="B1464" t="s">
        <v>5285</v>
      </c>
      <c r="C1464">
        <v>-4.82</v>
      </c>
      <c r="D1464">
        <v>-1.53</v>
      </c>
      <c r="E1464">
        <v>-17.38</v>
      </c>
      <c r="F1464">
        <v>2.58</v>
      </c>
      <c r="G1464">
        <v>-3.51</v>
      </c>
      <c r="H1464">
        <v>22.96</v>
      </c>
      <c r="I1464">
        <v>-1.81</v>
      </c>
      <c r="J1464">
        <v>-1.49</v>
      </c>
      <c r="K1464">
        <v>-7.26</v>
      </c>
      <c r="L1464">
        <v>-5.76</v>
      </c>
      <c r="M1464">
        <v>-4.3899999999999997</v>
      </c>
      <c r="N1464">
        <v>5.28</v>
      </c>
    </row>
    <row r="1465" spans="1:14">
      <c r="A1465" s="2" t="s">
        <v>1493</v>
      </c>
      <c r="B1465" t="s">
        <v>5286</v>
      </c>
      <c r="C1465">
        <v>12.77</v>
      </c>
      <c r="D1465">
        <v>16.53</v>
      </c>
      <c r="E1465">
        <v>14.63</v>
      </c>
      <c r="F1465">
        <v>-8.08</v>
      </c>
      <c r="G1465">
        <v>21.72</v>
      </c>
      <c r="H1465">
        <v>-24.28</v>
      </c>
      <c r="I1465">
        <v>-16.48</v>
      </c>
      <c r="J1465">
        <v>9.68</v>
      </c>
      <c r="K1465">
        <v>22.35</v>
      </c>
      <c r="L1465">
        <v>14.92</v>
      </c>
      <c r="M1465">
        <v>20.52</v>
      </c>
      <c r="N1465">
        <v>8.4600000000000009</v>
      </c>
    </row>
    <row r="1466" spans="1:14">
      <c r="A1466" s="2" t="s">
        <v>1494</v>
      </c>
      <c r="B1466" t="s">
        <v>5287</v>
      </c>
      <c r="C1466">
        <v>7.71</v>
      </c>
      <c r="D1466">
        <v>1.71</v>
      </c>
      <c r="E1466">
        <v>-1.3</v>
      </c>
      <c r="F1466">
        <v>-12.47</v>
      </c>
      <c r="G1466">
        <v>7.19</v>
      </c>
      <c r="H1466">
        <v>11.5</v>
      </c>
      <c r="I1466">
        <v>17.100000000000001</v>
      </c>
      <c r="J1466">
        <v>16.149999999999999</v>
      </c>
      <c r="K1466">
        <v>15.56</v>
      </c>
      <c r="L1466">
        <v>0.7</v>
      </c>
      <c r="M1466">
        <v>15.09</v>
      </c>
      <c r="N1466">
        <v>25.62</v>
      </c>
    </row>
    <row r="1467" spans="1:14">
      <c r="A1467" s="2" t="s">
        <v>1495</v>
      </c>
      <c r="B1467" t="s">
        <v>5288</v>
      </c>
      <c r="C1467">
        <v>-8.94</v>
      </c>
      <c r="D1467">
        <v>52.1</v>
      </c>
      <c r="E1467">
        <v>-18.8</v>
      </c>
      <c r="F1467">
        <v>6.78</v>
      </c>
      <c r="G1467">
        <v>49.96</v>
      </c>
      <c r="H1467">
        <v>-24.54</v>
      </c>
      <c r="I1467">
        <v>-19.64</v>
      </c>
      <c r="J1467">
        <v>49.87</v>
      </c>
      <c r="K1467">
        <v>14.03</v>
      </c>
      <c r="L1467">
        <v>70.56</v>
      </c>
      <c r="M1467">
        <v>76.75</v>
      </c>
      <c r="N1467">
        <v>93.77</v>
      </c>
    </row>
    <row r="1468" spans="1:14">
      <c r="A1468" s="2" t="s">
        <v>1496</v>
      </c>
      <c r="B1468" t="s">
        <v>5289</v>
      </c>
      <c r="C1468">
        <v>-25.42</v>
      </c>
      <c r="D1468">
        <v>13.31</v>
      </c>
      <c r="E1468">
        <v>-19.38</v>
      </c>
      <c r="F1468">
        <v>57.66</v>
      </c>
      <c r="G1468">
        <v>-1.2</v>
      </c>
      <c r="H1468">
        <v>-19.91</v>
      </c>
      <c r="I1468">
        <v>-39.04</v>
      </c>
      <c r="J1468">
        <v>-17.809999999999999</v>
      </c>
      <c r="K1468">
        <v>-28.71</v>
      </c>
      <c r="L1468">
        <v>-6.76</v>
      </c>
      <c r="M1468">
        <v>-11.07</v>
      </c>
      <c r="N1468">
        <v>-19.239999999999998</v>
      </c>
    </row>
    <row r="1469" spans="1:14">
      <c r="A1469" s="2" t="s">
        <v>1497</v>
      </c>
      <c r="B1469" t="s">
        <v>5290</v>
      </c>
      <c r="C1469">
        <v>56.01</v>
      </c>
      <c r="D1469">
        <v>39.83</v>
      </c>
      <c r="E1469">
        <v>-29.94</v>
      </c>
      <c r="F1469">
        <v>-27.21</v>
      </c>
      <c r="G1469">
        <v>83.68</v>
      </c>
      <c r="H1469">
        <v>-48.79</v>
      </c>
      <c r="I1469">
        <v>93.77</v>
      </c>
      <c r="J1469">
        <v>-7.98</v>
      </c>
      <c r="K1469">
        <v>-1.85</v>
      </c>
      <c r="L1469">
        <v>-28.11</v>
      </c>
      <c r="M1469">
        <v>29.01</v>
      </c>
      <c r="N1469">
        <v>7.81</v>
      </c>
    </row>
    <row r="1470" spans="1:14">
      <c r="A1470" s="2" t="s">
        <v>1498</v>
      </c>
      <c r="B1470" t="s">
        <v>5291</v>
      </c>
      <c r="C1470">
        <v>18.059999999999999</v>
      </c>
      <c r="D1470">
        <v>77.14</v>
      </c>
      <c r="E1470">
        <v>-20.62</v>
      </c>
      <c r="F1470">
        <v>8.31</v>
      </c>
      <c r="G1470">
        <v>67.77</v>
      </c>
      <c r="H1470">
        <v>43.34</v>
      </c>
      <c r="I1470">
        <v>84.44</v>
      </c>
      <c r="J1470">
        <v>94.68</v>
      </c>
      <c r="K1470">
        <v>17</v>
      </c>
      <c r="L1470">
        <v>32.409999999999997</v>
      </c>
      <c r="M1470">
        <v>13.7</v>
      </c>
      <c r="N1470">
        <v>0.56000000000000005</v>
      </c>
    </row>
    <row r="1471" spans="1:14">
      <c r="A1471" s="2" t="s">
        <v>1499</v>
      </c>
      <c r="B1471" t="s">
        <v>5292</v>
      </c>
      <c r="C1471">
        <v>-97.62</v>
      </c>
      <c r="D1471">
        <v>2367.63</v>
      </c>
      <c r="E1471">
        <v>-95.95</v>
      </c>
      <c r="F1471">
        <v>0</v>
      </c>
      <c r="G1471">
        <v>7971.68</v>
      </c>
      <c r="H1471">
        <v>-71.709999999999994</v>
      </c>
      <c r="I1471">
        <v>332.5</v>
      </c>
      <c r="J1471">
        <v>1056.9100000000001</v>
      </c>
      <c r="K1471">
        <v>332.5</v>
      </c>
      <c r="L1471">
        <v>-95.85</v>
      </c>
      <c r="M1471">
        <v>-19.3</v>
      </c>
      <c r="N1471">
        <v>9777.5</v>
      </c>
    </row>
    <row r="1472" spans="1:14">
      <c r="A1472" s="2" t="s">
        <v>1500</v>
      </c>
      <c r="B1472" t="s">
        <v>5293</v>
      </c>
      <c r="C1472">
        <v>12.09</v>
      </c>
      <c r="D1472">
        <v>13.36</v>
      </c>
      <c r="E1472">
        <v>-12.92</v>
      </c>
      <c r="F1472">
        <v>-3.96</v>
      </c>
      <c r="G1472">
        <v>1.83</v>
      </c>
      <c r="H1472">
        <v>-13.54</v>
      </c>
      <c r="I1472">
        <v>-33.130000000000003</v>
      </c>
      <c r="J1472">
        <v>-37.68</v>
      </c>
      <c r="K1472">
        <v>-29.7</v>
      </c>
      <c r="L1472">
        <v>-15.39</v>
      </c>
      <c r="M1472">
        <v>-20.02</v>
      </c>
      <c r="N1472">
        <v>-37.68</v>
      </c>
    </row>
    <row r="1473" spans="1:14">
      <c r="A1473" s="2" t="s">
        <v>1501</v>
      </c>
      <c r="B1473" t="s">
        <v>5294</v>
      </c>
      <c r="C1473">
        <v>39.78</v>
      </c>
      <c r="D1473">
        <v>259.64</v>
      </c>
      <c r="E1473">
        <v>-44.8</v>
      </c>
      <c r="F1473">
        <v>139.07</v>
      </c>
      <c r="G1473">
        <v>-82.03</v>
      </c>
      <c r="H1473">
        <v>-12.32</v>
      </c>
      <c r="I1473">
        <v>1611.09</v>
      </c>
      <c r="J1473">
        <v>3916.09</v>
      </c>
      <c r="K1473">
        <v>4650.6099999999997</v>
      </c>
      <c r="L1473">
        <v>8351.6200000000008</v>
      </c>
      <c r="M1473">
        <v>3933.67</v>
      </c>
      <c r="N1473">
        <v>428.89</v>
      </c>
    </row>
    <row r="1474" spans="1:14">
      <c r="A1474" s="2" t="s">
        <v>1502</v>
      </c>
      <c r="B1474" t="s">
        <v>5295</v>
      </c>
      <c r="C1474">
        <v>5.01</v>
      </c>
      <c r="D1474">
        <v>14.7</v>
      </c>
      <c r="E1474">
        <v>5.63</v>
      </c>
      <c r="F1474">
        <v>4.33</v>
      </c>
      <c r="G1474">
        <v>-1.02</v>
      </c>
      <c r="H1474">
        <v>1.77</v>
      </c>
      <c r="I1474">
        <v>7.96</v>
      </c>
      <c r="J1474">
        <v>26.95</v>
      </c>
      <c r="K1474">
        <v>32.18</v>
      </c>
      <c r="L1474">
        <v>41.93</v>
      </c>
      <c r="M1474">
        <v>36.869999999999997</v>
      </c>
      <c r="N1474">
        <v>13.21</v>
      </c>
    </row>
    <row r="1475" spans="1:14">
      <c r="A1475" s="2" t="s">
        <v>1503</v>
      </c>
      <c r="B1475" t="s">
        <v>5296</v>
      </c>
      <c r="C1475">
        <v>-8.35</v>
      </c>
      <c r="D1475">
        <v>2.06</v>
      </c>
      <c r="E1475">
        <v>3.22</v>
      </c>
      <c r="F1475">
        <v>6.19</v>
      </c>
      <c r="G1475">
        <v>14.49</v>
      </c>
      <c r="H1475">
        <v>-13.25</v>
      </c>
      <c r="I1475">
        <v>-20.8</v>
      </c>
      <c r="J1475">
        <v>-19.55</v>
      </c>
      <c r="K1475">
        <v>-13.32</v>
      </c>
      <c r="L1475">
        <v>-6.93</v>
      </c>
      <c r="M1475">
        <v>14.24</v>
      </c>
      <c r="N1475">
        <v>-2.95</v>
      </c>
    </row>
    <row r="1476" spans="1:14">
      <c r="A1476" s="2" t="s">
        <v>1504</v>
      </c>
      <c r="B1476" t="s">
        <v>5297</v>
      </c>
      <c r="C1476">
        <v>-18.22</v>
      </c>
      <c r="D1476">
        <v>127.83</v>
      </c>
      <c r="E1476">
        <v>-33.020000000000003</v>
      </c>
      <c r="F1476">
        <v>-50.07</v>
      </c>
      <c r="G1476">
        <v>21.61</v>
      </c>
      <c r="I1476">
        <v>-17.61</v>
      </c>
      <c r="J1476">
        <v>-14.9</v>
      </c>
      <c r="K1476">
        <v>23.89</v>
      </c>
      <c r="L1476">
        <v>-1.78</v>
      </c>
      <c r="M1476">
        <v>14.54</v>
      </c>
    </row>
    <row r="1477" spans="1:14">
      <c r="A1477" s="2" t="s">
        <v>1505</v>
      </c>
      <c r="B1477" t="s">
        <v>5298</v>
      </c>
      <c r="C1477">
        <v>0.03</v>
      </c>
      <c r="D1477">
        <v>4.3499999999999996</v>
      </c>
      <c r="E1477">
        <v>-5.16</v>
      </c>
      <c r="F1477">
        <v>2.67</v>
      </c>
      <c r="G1477">
        <v>2.66</v>
      </c>
      <c r="H1477">
        <v>0.19</v>
      </c>
      <c r="I1477">
        <v>7.59</v>
      </c>
      <c r="J1477">
        <v>14.33</v>
      </c>
      <c r="K1477">
        <v>7.91</v>
      </c>
      <c r="L1477">
        <v>10.53</v>
      </c>
      <c r="M1477">
        <v>13.17</v>
      </c>
      <c r="N1477">
        <v>13.8</v>
      </c>
    </row>
    <row r="1478" spans="1:14">
      <c r="A1478" s="2" t="s">
        <v>1506</v>
      </c>
      <c r="B1478" t="s">
        <v>5299</v>
      </c>
      <c r="C1478">
        <v>-53.53</v>
      </c>
      <c r="D1478">
        <v>787.08</v>
      </c>
      <c r="E1478">
        <v>-98.55</v>
      </c>
      <c r="F1478">
        <v>1359.69</v>
      </c>
      <c r="G1478">
        <v>11.48</v>
      </c>
      <c r="H1478">
        <v>492.95</v>
      </c>
      <c r="I1478">
        <v>-60.65</v>
      </c>
      <c r="J1478">
        <v>310.14</v>
      </c>
      <c r="K1478">
        <v>-98.81</v>
      </c>
      <c r="L1478">
        <v>-81.33</v>
      </c>
      <c r="M1478">
        <v>-40.72</v>
      </c>
      <c r="N1478">
        <v>1275.3</v>
      </c>
    </row>
    <row r="1479" spans="1:14">
      <c r="A1479" s="2" t="s">
        <v>1507</v>
      </c>
      <c r="B1479" t="s">
        <v>5300</v>
      </c>
      <c r="C1479">
        <v>-9</v>
      </c>
      <c r="D1479">
        <v>-5.12</v>
      </c>
      <c r="E1479">
        <v>0.92</v>
      </c>
      <c r="F1479">
        <v>-0.76</v>
      </c>
      <c r="G1479">
        <v>-5.61</v>
      </c>
      <c r="H1479">
        <v>9.4</v>
      </c>
      <c r="I1479">
        <v>-35.590000000000003</v>
      </c>
      <c r="J1479">
        <v>-29.59</v>
      </c>
      <c r="K1479">
        <v>-13.03</v>
      </c>
      <c r="L1479">
        <v>-21.98</v>
      </c>
      <c r="M1479">
        <v>-38.99</v>
      </c>
      <c r="N1479">
        <v>-31.93</v>
      </c>
    </row>
    <row r="1480" spans="1:14">
      <c r="A1480" s="2" t="s">
        <v>1508</v>
      </c>
      <c r="B1480" t="s">
        <v>5301</v>
      </c>
      <c r="C1480">
        <v>-9.92</v>
      </c>
      <c r="D1480">
        <v>-20.010000000000002</v>
      </c>
      <c r="E1480">
        <v>7.49</v>
      </c>
      <c r="F1480">
        <v>6.09</v>
      </c>
      <c r="G1480">
        <v>0.91</v>
      </c>
      <c r="H1480">
        <v>13.06</v>
      </c>
      <c r="I1480">
        <v>0.81</v>
      </c>
      <c r="J1480">
        <v>-12.59</v>
      </c>
      <c r="K1480">
        <v>-1.65</v>
      </c>
      <c r="L1480">
        <v>2.66</v>
      </c>
      <c r="M1480">
        <v>-0.93</v>
      </c>
      <c r="N1480">
        <v>2.8</v>
      </c>
    </row>
    <row r="1481" spans="1:14">
      <c r="A1481" s="2" t="s">
        <v>1509</v>
      </c>
      <c r="B1481" t="s">
        <v>5302</v>
      </c>
      <c r="C1481">
        <v>-18.61</v>
      </c>
      <c r="D1481">
        <v>-4.47</v>
      </c>
      <c r="E1481">
        <v>-13.74</v>
      </c>
      <c r="F1481">
        <v>20.5</v>
      </c>
      <c r="G1481">
        <v>1.7</v>
      </c>
      <c r="H1481">
        <v>-20.45</v>
      </c>
      <c r="I1481">
        <v>-23.68</v>
      </c>
      <c r="J1481">
        <v>-25.14</v>
      </c>
      <c r="K1481">
        <v>-23.07</v>
      </c>
      <c r="L1481">
        <v>-3.43</v>
      </c>
      <c r="M1481">
        <v>-16.91</v>
      </c>
      <c r="N1481">
        <v>-33.44</v>
      </c>
    </row>
    <row r="1482" spans="1:14">
      <c r="A1482" s="2" t="s">
        <v>1510</v>
      </c>
      <c r="B1482" t="s">
        <v>5303</v>
      </c>
      <c r="C1482">
        <v>-85.61</v>
      </c>
      <c r="D1482">
        <v>425.03</v>
      </c>
      <c r="E1482">
        <v>50.26</v>
      </c>
      <c r="F1482">
        <v>27.4</v>
      </c>
      <c r="G1482">
        <v>36.549999999999997</v>
      </c>
      <c r="H1482">
        <v>35.92</v>
      </c>
      <c r="I1482">
        <v>-88.7</v>
      </c>
      <c r="J1482">
        <v>73.17</v>
      </c>
      <c r="K1482">
        <v>288.08999999999997</v>
      </c>
      <c r="L1482">
        <v>84.48</v>
      </c>
      <c r="M1482">
        <v>70.11</v>
      </c>
      <c r="N1482">
        <v>342.27</v>
      </c>
    </row>
    <row r="1483" spans="1:14">
      <c r="A1483" s="2" t="s">
        <v>1511</v>
      </c>
      <c r="B1483" t="s">
        <v>5304</v>
      </c>
      <c r="C1483">
        <v>1.61</v>
      </c>
      <c r="D1483">
        <v>4.67</v>
      </c>
      <c r="E1483">
        <v>-5.29</v>
      </c>
      <c r="F1483">
        <v>0.54</v>
      </c>
      <c r="G1483">
        <v>0.97</v>
      </c>
      <c r="H1483">
        <v>1.5</v>
      </c>
      <c r="I1483">
        <v>-2.21</v>
      </c>
      <c r="J1483">
        <v>-1.96</v>
      </c>
      <c r="K1483">
        <v>-25.64</v>
      </c>
      <c r="L1483">
        <v>-3.71</v>
      </c>
      <c r="M1483">
        <v>2.52</v>
      </c>
      <c r="N1483">
        <v>-0.23</v>
      </c>
    </row>
    <row r="1484" spans="1:14">
      <c r="A1484" s="2" t="s">
        <v>1512</v>
      </c>
      <c r="B1484" t="s">
        <v>5305</v>
      </c>
      <c r="C1484">
        <v>16.97</v>
      </c>
      <c r="D1484">
        <v>14.82</v>
      </c>
      <c r="E1484">
        <v>-27.55</v>
      </c>
      <c r="F1484">
        <v>22.74</v>
      </c>
      <c r="G1484">
        <v>37.700000000000003</v>
      </c>
      <c r="H1484">
        <v>-4.38</v>
      </c>
      <c r="I1484">
        <v>1.9</v>
      </c>
      <c r="J1484">
        <v>16.98</v>
      </c>
      <c r="K1484">
        <v>-8.6999999999999993</v>
      </c>
      <c r="L1484">
        <v>12.3</v>
      </c>
      <c r="M1484">
        <v>20.84</v>
      </c>
      <c r="N1484">
        <v>8.11</v>
      </c>
    </row>
    <row r="1485" spans="1:14">
      <c r="A1485" s="2" t="s">
        <v>1513</v>
      </c>
      <c r="B1485" t="s">
        <v>5306</v>
      </c>
      <c r="C1485">
        <v>-15.01</v>
      </c>
      <c r="D1485">
        <v>31.77</v>
      </c>
      <c r="E1485">
        <v>-26.39</v>
      </c>
      <c r="F1485">
        <v>4.6900000000000004</v>
      </c>
      <c r="G1485">
        <v>33.61</v>
      </c>
      <c r="H1485">
        <v>-39.119999999999997</v>
      </c>
      <c r="I1485">
        <v>-6.35</v>
      </c>
      <c r="J1485">
        <v>34.57</v>
      </c>
      <c r="K1485">
        <v>-16.64</v>
      </c>
      <c r="L1485">
        <v>-7.63</v>
      </c>
      <c r="M1485">
        <v>-24.06</v>
      </c>
      <c r="N1485">
        <v>-5.0199999999999996</v>
      </c>
    </row>
    <row r="1486" spans="1:14">
      <c r="A1486" s="2" t="s">
        <v>1514</v>
      </c>
      <c r="B1486" t="s">
        <v>5307</v>
      </c>
      <c r="C1486">
        <v>57.79</v>
      </c>
      <c r="D1486">
        <v>-18.07</v>
      </c>
      <c r="E1486">
        <v>16.899999999999999</v>
      </c>
      <c r="F1486">
        <v>0.1</v>
      </c>
      <c r="G1486">
        <v>7.49</v>
      </c>
      <c r="H1486">
        <v>4.12</v>
      </c>
      <c r="I1486">
        <v>21.03</v>
      </c>
      <c r="J1486">
        <v>1.47</v>
      </c>
      <c r="K1486">
        <v>20.53</v>
      </c>
      <c r="L1486">
        <v>21.07</v>
      </c>
      <c r="M1486">
        <v>15.42</v>
      </c>
      <c r="N1486">
        <v>35.64</v>
      </c>
    </row>
    <row r="1487" spans="1:14">
      <c r="A1487" s="2" t="s">
        <v>1515</v>
      </c>
      <c r="B1487" t="s">
        <v>5308</v>
      </c>
      <c r="C1487">
        <v>-24.03</v>
      </c>
      <c r="D1487">
        <v>15.57</v>
      </c>
      <c r="E1487">
        <v>-15.26</v>
      </c>
      <c r="F1487">
        <v>36.520000000000003</v>
      </c>
      <c r="G1487">
        <v>-12.18</v>
      </c>
      <c r="H1487">
        <v>5.75</v>
      </c>
      <c r="I1487">
        <v>-26.54</v>
      </c>
      <c r="J1487">
        <v>0.79</v>
      </c>
      <c r="K1487">
        <v>-18.28</v>
      </c>
      <c r="L1487">
        <v>2.82</v>
      </c>
      <c r="M1487">
        <v>-33.31</v>
      </c>
      <c r="N1487">
        <v>-13.72</v>
      </c>
    </row>
    <row r="1488" spans="1:14">
      <c r="A1488" s="2" t="s">
        <v>1516</v>
      </c>
      <c r="B1488" t="s">
        <v>5309</v>
      </c>
      <c r="C1488">
        <v>-29.36</v>
      </c>
      <c r="D1488">
        <v>0.3</v>
      </c>
      <c r="E1488">
        <v>41.84</v>
      </c>
      <c r="F1488">
        <v>9.68</v>
      </c>
      <c r="G1488">
        <v>13.51</v>
      </c>
      <c r="I1488">
        <v>-16.809999999999999</v>
      </c>
      <c r="J1488">
        <v>-20.7</v>
      </c>
      <c r="K1488">
        <v>4.37</v>
      </c>
      <c r="L1488">
        <v>-4</v>
      </c>
      <c r="M1488">
        <v>26.23</v>
      </c>
    </row>
    <row r="1489" spans="1:14">
      <c r="A1489" s="2" t="s">
        <v>1517</v>
      </c>
      <c r="B1489" t="s">
        <v>5310</v>
      </c>
      <c r="C1489">
        <v>1501.63</v>
      </c>
      <c r="D1489">
        <v>-95.53</v>
      </c>
      <c r="E1489">
        <v>296.74</v>
      </c>
      <c r="F1489">
        <v>-48.5</v>
      </c>
      <c r="G1489">
        <v>8.8800000000000008</v>
      </c>
      <c r="H1489">
        <v>-9.33</v>
      </c>
      <c r="I1489">
        <v>640.76</v>
      </c>
      <c r="J1489">
        <v>-74.900000000000006</v>
      </c>
      <c r="K1489">
        <v>-78.28</v>
      </c>
      <c r="L1489">
        <v>34.29</v>
      </c>
      <c r="M1489">
        <v>-6.54</v>
      </c>
      <c r="N1489">
        <v>14.82</v>
      </c>
    </row>
    <row r="1490" spans="1:14">
      <c r="A1490" s="2" t="s">
        <v>1518</v>
      </c>
      <c r="B1490" t="s">
        <v>5311</v>
      </c>
      <c r="C1490">
        <v>3.3</v>
      </c>
      <c r="D1490">
        <v>-0.37</v>
      </c>
      <c r="E1490">
        <v>4.72</v>
      </c>
      <c r="F1490">
        <v>0.82</v>
      </c>
      <c r="G1490">
        <v>11.1</v>
      </c>
      <c r="H1490">
        <v>-3.39</v>
      </c>
      <c r="I1490">
        <v>-17.5</v>
      </c>
      <c r="J1490">
        <v>-18.47</v>
      </c>
      <c r="K1490">
        <v>-21.72</v>
      </c>
      <c r="L1490">
        <v>-0.08</v>
      </c>
      <c r="M1490">
        <v>28.79</v>
      </c>
      <c r="N1490">
        <v>-5</v>
      </c>
    </row>
    <row r="1491" spans="1:14">
      <c r="A1491" s="2" t="s">
        <v>1519</v>
      </c>
      <c r="B1491" t="s">
        <v>5312</v>
      </c>
      <c r="C1491">
        <v>-31.27</v>
      </c>
      <c r="D1491">
        <v>54.78</v>
      </c>
      <c r="E1491">
        <v>3.35</v>
      </c>
      <c r="F1491">
        <v>-11.27</v>
      </c>
      <c r="G1491">
        <v>18.079999999999998</v>
      </c>
      <c r="H1491">
        <v>-10.7</v>
      </c>
      <c r="I1491">
        <v>-20.92</v>
      </c>
      <c r="J1491">
        <v>101.76</v>
      </c>
      <c r="K1491">
        <v>-8.36</v>
      </c>
      <c r="L1491">
        <v>-30.24</v>
      </c>
      <c r="M1491">
        <v>74.69</v>
      </c>
      <c r="N1491">
        <v>2.14</v>
      </c>
    </row>
    <row r="1492" spans="1:14">
      <c r="A1492" s="2" t="s">
        <v>1520</v>
      </c>
      <c r="B1492" t="s">
        <v>5313</v>
      </c>
      <c r="C1492">
        <v>9.11</v>
      </c>
      <c r="D1492">
        <v>4.6500000000000004</v>
      </c>
      <c r="E1492">
        <v>-14.14</v>
      </c>
      <c r="F1492">
        <v>-1.21</v>
      </c>
      <c r="G1492">
        <v>25.93</v>
      </c>
      <c r="H1492">
        <v>-13.09</v>
      </c>
      <c r="I1492">
        <v>42.54</v>
      </c>
      <c r="J1492">
        <v>36.78</v>
      </c>
      <c r="K1492">
        <v>33.25</v>
      </c>
      <c r="L1492">
        <v>27.71</v>
      </c>
      <c r="M1492">
        <v>30.82</v>
      </c>
      <c r="N1492">
        <v>35.200000000000003</v>
      </c>
    </row>
    <row r="1493" spans="1:14">
      <c r="A1493" s="2" t="s">
        <v>1521</v>
      </c>
      <c r="B1493" t="s">
        <v>5314</v>
      </c>
      <c r="C1493">
        <v>8.98</v>
      </c>
      <c r="D1493">
        <v>-41.93</v>
      </c>
      <c r="E1493">
        <v>103.95</v>
      </c>
      <c r="F1493">
        <v>-68.78</v>
      </c>
      <c r="G1493">
        <v>271.83999999999997</v>
      </c>
      <c r="H1493">
        <v>-60.99</v>
      </c>
      <c r="I1493">
        <v>13.54</v>
      </c>
      <c r="J1493">
        <v>-48.47</v>
      </c>
      <c r="K1493">
        <v>-9.7799999999999994</v>
      </c>
      <c r="L1493">
        <v>-75.31</v>
      </c>
      <c r="M1493">
        <v>73.44</v>
      </c>
      <c r="N1493">
        <v>-42.36</v>
      </c>
    </row>
    <row r="1494" spans="1:14">
      <c r="A1494" s="2" t="s">
        <v>1522</v>
      </c>
      <c r="B1494" t="s">
        <v>5315</v>
      </c>
      <c r="C1494">
        <v>-29.3</v>
      </c>
      <c r="D1494">
        <v>-16.12</v>
      </c>
      <c r="E1494">
        <v>13.69</v>
      </c>
      <c r="F1494">
        <v>-13.94</v>
      </c>
      <c r="G1494">
        <v>31.14</v>
      </c>
      <c r="H1494">
        <v>-21.05</v>
      </c>
      <c r="I1494">
        <v>-78.8</v>
      </c>
      <c r="J1494">
        <v>-81.319999999999993</v>
      </c>
      <c r="K1494">
        <v>-68.62</v>
      </c>
      <c r="L1494">
        <v>-80.260000000000005</v>
      </c>
      <c r="M1494">
        <v>-66.790000000000006</v>
      </c>
      <c r="N1494">
        <v>-65.7</v>
      </c>
    </row>
    <row r="1495" spans="1:14">
      <c r="A1495" s="2" t="s">
        <v>1523</v>
      </c>
      <c r="B1495" t="s">
        <v>5316</v>
      </c>
      <c r="C1495">
        <v>-3.6</v>
      </c>
      <c r="D1495">
        <v>2.0299999999999998</v>
      </c>
      <c r="E1495">
        <v>11.53</v>
      </c>
      <c r="F1495">
        <v>1.56</v>
      </c>
      <c r="G1495">
        <v>3.5</v>
      </c>
      <c r="H1495">
        <v>24.41</v>
      </c>
      <c r="I1495">
        <v>22.27</v>
      </c>
      <c r="J1495">
        <v>37.33</v>
      </c>
      <c r="K1495">
        <v>26.34</v>
      </c>
      <c r="L1495">
        <v>30.57</v>
      </c>
      <c r="M1495">
        <v>46.22</v>
      </c>
      <c r="N1495">
        <v>142.61000000000001</v>
      </c>
    </row>
    <row r="1496" spans="1:14">
      <c r="A1496" s="2" t="s">
        <v>1524</v>
      </c>
      <c r="B1496" t="s">
        <v>5317</v>
      </c>
      <c r="C1496">
        <v>27.97</v>
      </c>
      <c r="D1496">
        <v>-13.98</v>
      </c>
      <c r="E1496">
        <v>-3.09</v>
      </c>
      <c r="F1496">
        <v>9.84</v>
      </c>
      <c r="G1496">
        <v>26.83</v>
      </c>
      <c r="H1496">
        <v>-3.35</v>
      </c>
      <c r="I1496">
        <v>-9.34</v>
      </c>
      <c r="J1496">
        <v>-11.26</v>
      </c>
      <c r="K1496">
        <v>-16</v>
      </c>
      <c r="L1496">
        <v>-10.92</v>
      </c>
      <c r="M1496">
        <v>-2.46</v>
      </c>
      <c r="N1496">
        <v>-11.36</v>
      </c>
    </row>
    <row r="1497" spans="1:14">
      <c r="A1497" s="2" t="s">
        <v>1525</v>
      </c>
      <c r="B1497" t="s">
        <v>5318</v>
      </c>
      <c r="C1497">
        <v>-26.25</v>
      </c>
      <c r="D1497">
        <v>21.33</v>
      </c>
      <c r="E1497">
        <v>18.670000000000002</v>
      </c>
      <c r="F1497">
        <v>17.3</v>
      </c>
      <c r="G1497">
        <v>17.87</v>
      </c>
      <c r="H1497">
        <v>123.44</v>
      </c>
      <c r="I1497">
        <v>8.4499999999999993</v>
      </c>
      <c r="J1497">
        <v>48.6</v>
      </c>
      <c r="K1497">
        <v>8.92</v>
      </c>
      <c r="L1497">
        <v>0.27</v>
      </c>
      <c r="M1497">
        <v>18.79</v>
      </c>
      <c r="N1497">
        <v>634.30999999999995</v>
      </c>
    </row>
    <row r="1498" spans="1:14">
      <c r="A1498" s="2" t="s">
        <v>1526</v>
      </c>
      <c r="B1498" t="s">
        <v>5319</v>
      </c>
      <c r="C1498">
        <v>-2.86</v>
      </c>
      <c r="D1498">
        <v>13.13</v>
      </c>
      <c r="E1498">
        <v>-14.55</v>
      </c>
      <c r="F1498">
        <v>93.91</v>
      </c>
      <c r="G1498">
        <v>16.149999999999999</v>
      </c>
      <c r="H1498">
        <v>-31.06</v>
      </c>
      <c r="I1498">
        <v>-11.07</v>
      </c>
      <c r="J1498">
        <v>4.79</v>
      </c>
      <c r="K1498">
        <v>16.09</v>
      </c>
      <c r="L1498">
        <v>41.59</v>
      </c>
      <c r="M1498">
        <v>14</v>
      </c>
      <c r="N1498">
        <v>117.06</v>
      </c>
    </row>
    <row r="1499" spans="1:14">
      <c r="A1499" s="2" t="s">
        <v>1527</v>
      </c>
      <c r="B1499" t="s">
        <v>5320</v>
      </c>
      <c r="C1499">
        <v>-6.31</v>
      </c>
      <c r="D1499">
        <v>5.74</v>
      </c>
      <c r="E1499">
        <v>-5.91</v>
      </c>
      <c r="F1499">
        <v>13.98</v>
      </c>
      <c r="G1499">
        <v>-2.71</v>
      </c>
      <c r="H1499">
        <v>-9.27</v>
      </c>
      <c r="I1499">
        <v>7.26</v>
      </c>
      <c r="J1499">
        <v>29.18</v>
      </c>
      <c r="K1499">
        <v>4.43</v>
      </c>
      <c r="L1499">
        <v>19.7</v>
      </c>
      <c r="M1499">
        <v>-12.74</v>
      </c>
      <c r="N1499">
        <v>13.37</v>
      </c>
    </row>
    <row r="1500" spans="1:14">
      <c r="A1500" s="2" t="s">
        <v>1528</v>
      </c>
      <c r="B1500" t="s">
        <v>5321</v>
      </c>
      <c r="C1500">
        <v>12.87</v>
      </c>
      <c r="D1500">
        <v>3.07</v>
      </c>
      <c r="E1500">
        <v>-14.01</v>
      </c>
      <c r="F1500">
        <v>-6.62</v>
      </c>
      <c r="G1500">
        <v>-4.67</v>
      </c>
      <c r="H1500">
        <v>21.52</v>
      </c>
      <c r="I1500">
        <v>26.66</v>
      </c>
      <c r="J1500">
        <v>11.15</v>
      </c>
      <c r="K1500">
        <v>45.63</v>
      </c>
      <c r="L1500">
        <v>47.28</v>
      </c>
      <c r="M1500">
        <v>24.5</v>
      </c>
      <c r="N1500">
        <v>8.6999999999999993</v>
      </c>
    </row>
    <row r="1501" spans="1:14">
      <c r="A1501" s="2" t="s">
        <v>1529</v>
      </c>
      <c r="B1501" t="s">
        <v>5322</v>
      </c>
      <c r="C1501">
        <v>-0.6</v>
      </c>
      <c r="D1501">
        <v>-0.49</v>
      </c>
      <c r="E1501">
        <v>-1.43</v>
      </c>
      <c r="F1501">
        <v>-0.43</v>
      </c>
      <c r="G1501">
        <v>2</v>
      </c>
      <c r="H1501">
        <v>3.9</v>
      </c>
      <c r="I1501">
        <v>-20.45</v>
      </c>
      <c r="J1501">
        <v>-8.57</v>
      </c>
      <c r="K1501">
        <v>-9.2200000000000006</v>
      </c>
      <c r="L1501">
        <v>-8.0399999999999991</v>
      </c>
      <c r="M1501">
        <v>-8.9</v>
      </c>
      <c r="N1501">
        <v>-0.99</v>
      </c>
    </row>
    <row r="1502" spans="1:14">
      <c r="A1502" s="2" t="s">
        <v>1530</v>
      </c>
      <c r="B1502" t="s">
        <v>5323</v>
      </c>
      <c r="C1502">
        <v>-19.760000000000002</v>
      </c>
      <c r="D1502">
        <v>65.87</v>
      </c>
      <c r="E1502">
        <v>-18.05</v>
      </c>
      <c r="F1502">
        <v>9.1</v>
      </c>
      <c r="G1502">
        <v>23.19</v>
      </c>
      <c r="H1502">
        <v>40.22</v>
      </c>
      <c r="I1502">
        <v>-60.36</v>
      </c>
      <c r="J1502">
        <v>-38.479999999999997</v>
      </c>
      <c r="K1502">
        <v>-43.48</v>
      </c>
      <c r="L1502">
        <v>-34.69</v>
      </c>
      <c r="M1502">
        <v>-21.25</v>
      </c>
      <c r="N1502">
        <v>-8.8000000000000007</v>
      </c>
    </row>
    <row r="1503" spans="1:14">
      <c r="A1503" s="2" t="s">
        <v>1531</v>
      </c>
      <c r="B1503" t="s">
        <v>5324</v>
      </c>
      <c r="C1503">
        <v>18.829999999999998</v>
      </c>
      <c r="D1503">
        <v>-70.86</v>
      </c>
      <c r="E1503">
        <v>-72.22</v>
      </c>
      <c r="F1503">
        <v>177.41</v>
      </c>
      <c r="G1503">
        <v>-44.55</v>
      </c>
      <c r="H1503">
        <v>79.69</v>
      </c>
      <c r="I1503">
        <v>612.89</v>
      </c>
      <c r="J1503">
        <v>69.3</v>
      </c>
      <c r="K1503">
        <v>-21.44</v>
      </c>
      <c r="L1503">
        <v>84.11</v>
      </c>
      <c r="M1503">
        <v>-31.42</v>
      </c>
      <c r="N1503">
        <v>-8.69</v>
      </c>
    </row>
    <row r="1504" spans="1:14">
      <c r="A1504" s="2" t="s">
        <v>1532</v>
      </c>
      <c r="B1504" t="s">
        <v>5325</v>
      </c>
      <c r="C1504">
        <v>9.67</v>
      </c>
      <c r="D1504">
        <v>6.42</v>
      </c>
      <c r="E1504">
        <v>4.9000000000000004</v>
      </c>
      <c r="F1504">
        <v>-22.03</v>
      </c>
      <c r="G1504">
        <v>11.09</v>
      </c>
      <c r="H1504">
        <v>-15.87</v>
      </c>
      <c r="I1504">
        <v>-26.4</v>
      </c>
      <c r="J1504">
        <v>-14.48</v>
      </c>
      <c r="K1504">
        <v>-3.4</v>
      </c>
      <c r="L1504">
        <v>-17.38</v>
      </c>
      <c r="M1504">
        <v>-3.02</v>
      </c>
      <c r="N1504">
        <v>-21.22</v>
      </c>
    </row>
    <row r="1505" spans="1:14">
      <c r="A1505" s="2" t="s">
        <v>1533</v>
      </c>
      <c r="B1505" t="s">
        <v>5326</v>
      </c>
      <c r="C1505">
        <v>-10.5</v>
      </c>
      <c r="D1505">
        <v>19.670000000000002</v>
      </c>
      <c r="E1505">
        <v>-25.95</v>
      </c>
      <c r="F1505">
        <v>-11.42</v>
      </c>
      <c r="G1505">
        <v>86.99</v>
      </c>
      <c r="H1505">
        <v>44.88</v>
      </c>
      <c r="I1505">
        <v>125.36</v>
      </c>
      <c r="J1505">
        <v>139.58000000000001</v>
      </c>
      <c r="K1505">
        <v>-23.69</v>
      </c>
      <c r="L1505">
        <v>58.81</v>
      </c>
      <c r="M1505">
        <v>134.66</v>
      </c>
      <c r="N1505">
        <v>87.92</v>
      </c>
    </row>
    <row r="1506" spans="1:14">
      <c r="A1506" s="2" t="s">
        <v>1534</v>
      </c>
      <c r="B1506" t="s">
        <v>5327</v>
      </c>
      <c r="C1506">
        <v>43.82</v>
      </c>
      <c r="D1506">
        <v>20.61</v>
      </c>
      <c r="E1506">
        <v>-21.48</v>
      </c>
      <c r="F1506">
        <v>3.79</v>
      </c>
      <c r="G1506">
        <v>20.76</v>
      </c>
      <c r="H1506">
        <v>-32.93</v>
      </c>
      <c r="I1506">
        <v>26.97</v>
      </c>
      <c r="J1506">
        <v>54.5</v>
      </c>
      <c r="K1506">
        <v>30.97</v>
      </c>
      <c r="L1506">
        <v>7.13</v>
      </c>
      <c r="M1506">
        <v>22.49</v>
      </c>
      <c r="N1506">
        <v>0.59</v>
      </c>
    </row>
    <row r="1507" spans="1:14">
      <c r="A1507" s="2" t="s">
        <v>1535</v>
      </c>
      <c r="B1507" t="s">
        <v>5328</v>
      </c>
      <c r="C1507">
        <v>-0.08</v>
      </c>
      <c r="D1507">
        <v>16.62</v>
      </c>
      <c r="E1507">
        <v>-0.81</v>
      </c>
      <c r="F1507">
        <v>1.18</v>
      </c>
      <c r="G1507">
        <v>11.07</v>
      </c>
      <c r="H1507">
        <v>-9.8000000000000007</v>
      </c>
      <c r="I1507">
        <v>-18.59</v>
      </c>
      <c r="J1507">
        <v>-3.19</v>
      </c>
      <c r="K1507">
        <v>-8.18</v>
      </c>
      <c r="L1507">
        <v>-1.06</v>
      </c>
      <c r="M1507">
        <v>-2.29</v>
      </c>
      <c r="N1507">
        <v>-4.4000000000000004</v>
      </c>
    </row>
    <row r="1508" spans="1:14">
      <c r="A1508" s="2" t="s">
        <v>1536</v>
      </c>
      <c r="B1508" t="s">
        <v>5329</v>
      </c>
      <c r="C1508">
        <v>-5.38</v>
      </c>
      <c r="D1508">
        <v>20.14</v>
      </c>
      <c r="E1508">
        <v>5.13</v>
      </c>
      <c r="F1508">
        <v>-15.14</v>
      </c>
      <c r="G1508">
        <v>9.91</v>
      </c>
      <c r="H1508">
        <v>-4.32</v>
      </c>
      <c r="I1508">
        <v>18.239999999999998</v>
      </c>
      <c r="J1508">
        <v>26.91</v>
      </c>
      <c r="K1508">
        <v>58.82</v>
      </c>
      <c r="L1508">
        <v>14.5</v>
      </c>
      <c r="M1508">
        <v>0.25</v>
      </c>
      <c r="N1508">
        <v>11.11</v>
      </c>
    </row>
    <row r="1509" spans="1:14">
      <c r="A1509" s="2" t="s">
        <v>1537</v>
      </c>
      <c r="B1509" t="s">
        <v>5330</v>
      </c>
      <c r="C1509">
        <v>-16.32</v>
      </c>
      <c r="D1509">
        <v>-5.83</v>
      </c>
      <c r="E1509">
        <v>10.93</v>
      </c>
      <c r="F1509">
        <v>11.74</v>
      </c>
      <c r="G1509">
        <v>-4.5599999999999996</v>
      </c>
      <c r="I1509">
        <v>-53.23</v>
      </c>
      <c r="J1509">
        <v>-72.790000000000006</v>
      </c>
      <c r="K1509">
        <v>-43.4</v>
      </c>
      <c r="L1509">
        <v>-37.979999999999997</v>
      </c>
      <c r="M1509">
        <v>-19.03</v>
      </c>
    </row>
    <row r="1510" spans="1:14">
      <c r="A1510" s="2" t="s">
        <v>1538</v>
      </c>
      <c r="B1510" t="s">
        <v>5331</v>
      </c>
      <c r="C1510">
        <v>16.71</v>
      </c>
      <c r="D1510">
        <v>-16.78</v>
      </c>
      <c r="E1510">
        <v>12.29</v>
      </c>
      <c r="F1510">
        <v>3.81</v>
      </c>
      <c r="G1510">
        <v>18.61</v>
      </c>
      <c r="I1510">
        <v>0.24</v>
      </c>
      <c r="J1510">
        <v>1.79</v>
      </c>
      <c r="K1510">
        <v>7.83</v>
      </c>
      <c r="L1510">
        <v>-2.54</v>
      </c>
      <c r="M1510">
        <v>51.64</v>
      </c>
    </row>
    <row r="1511" spans="1:14">
      <c r="A1511" s="2" t="s">
        <v>1539</v>
      </c>
      <c r="B1511" t="s">
        <v>5332</v>
      </c>
      <c r="C1511">
        <v>-25.06</v>
      </c>
      <c r="D1511">
        <v>13.25</v>
      </c>
      <c r="E1511">
        <v>5.64</v>
      </c>
      <c r="F1511">
        <v>26.3</v>
      </c>
      <c r="G1511">
        <v>21.58</v>
      </c>
      <c r="H1511">
        <v>-40.79</v>
      </c>
      <c r="I1511">
        <v>-35.409999999999997</v>
      </c>
      <c r="J1511">
        <v>-38.799999999999997</v>
      </c>
      <c r="K1511">
        <v>-20.309999999999999</v>
      </c>
      <c r="L1511">
        <v>-5.3</v>
      </c>
      <c r="M1511">
        <v>-9.35</v>
      </c>
      <c r="N1511">
        <v>-29.62</v>
      </c>
    </row>
    <row r="1512" spans="1:14">
      <c r="A1512" s="2" t="s">
        <v>1540</v>
      </c>
      <c r="B1512" t="s">
        <v>5333</v>
      </c>
      <c r="C1512">
        <v>-18.14</v>
      </c>
      <c r="D1512">
        <v>93.94</v>
      </c>
      <c r="E1512">
        <v>-39.72</v>
      </c>
      <c r="F1512">
        <v>-5.94</v>
      </c>
      <c r="G1512">
        <v>159.87</v>
      </c>
      <c r="H1512">
        <v>-45.9</v>
      </c>
      <c r="I1512">
        <v>15.37</v>
      </c>
      <c r="J1512">
        <v>122.49</v>
      </c>
      <c r="K1512">
        <v>20.7</v>
      </c>
      <c r="L1512">
        <v>13.3</v>
      </c>
      <c r="M1512">
        <v>-41.5</v>
      </c>
      <c r="N1512">
        <v>155.74</v>
      </c>
    </row>
    <row r="1513" spans="1:14">
      <c r="A1513" s="2" t="s">
        <v>1541</v>
      </c>
      <c r="B1513" t="s">
        <v>5334</v>
      </c>
      <c r="C1513">
        <v>-3.54</v>
      </c>
      <c r="D1513">
        <v>-3.61</v>
      </c>
      <c r="E1513">
        <v>3.67</v>
      </c>
      <c r="F1513">
        <v>-0.8</v>
      </c>
      <c r="G1513">
        <v>9.3000000000000007</v>
      </c>
      <c r="H1513">
        <v>-1.92</v>
      </c>
      <c r="I1513">
        <v>-17.760000000000002</v>
      </c>
      <c r="J1513">
        <v>-11.28</v>
      </c>
      <c r="K1513">
        <v>-13.85</v>
      </c>
      <c r="L1513">
        <v>-4.9000000000000004</v>
      </c>
      <c r="M1513">
        <v>-3.39</v>
      </c>
      <c r="N1513">
        <v>6.32</v>
      </c>
    </row>
    <row r="1514" spans="1:14">
      <c r="A1514" s="2" t="s">
        <v>1542</v>
      </c>
      <c r="B1514" t="s">
        <v>5335</v>
      </c>
      <c r="C1514">
        <v>-13.69</v>
      </c>
      <c r="D1514">
        <v>-4.67</v>
      </c>
      <c r="E1514">
        <v>36.200000000000003</v>
      </c>
      <c r="F1514">
        <v>-22.68</v>
      </c>
      <c r="G1514">
        <v>4.9800000000000004</v>
      </c>
      <c r="I1514">
        <v>-7.18</v>
      </c>
      <c r="J1514">
        <v>-26.67</v>
      </c>
      <c r="K1514">
        <v>15.69</v>
      </c>
      <c r="L1514">
        <v>-3.82</v>
      </c>
      <c r="M1514">
        <v>-29.61</v>
      </c>
    </row>
    <row r="1515" spans="1:14">
      <c r="A1515" s="2" t="s">
        <v>1543</v>
      </c>
      <c r="B1515" t="s">
        <v>5336</v>
      </c>
      <c r="C1515">
        <v>53.65</v>
      </c>
      <c r="D1515">
        <v>17.170000000000002</v>
      </c>
      <c r="E1515">
        <v>-62.89</v>
      </c>
      <c r="F1515">
        <v>38.26</v>
      </c>
      <c r="G1515">
        <v>35.28</v>
      </c>
      <c r="H1515">
        <v>-7.5</v>
      </c>
      <c r="I1515">
        <v>35.71</v>
      </c>
      <c r="J1515">
        <v>82.24</v>
      </c>
      <c r="K1515">
        <v>-31.48</v>
      </c>
      <c r="L1515">
        <v>-12.5</v>
      </c>
      <c r="M1515">
        <v>30.49</v>
      </c>
      <c r="N1515">
        <v>36.159999999999997</v>
      </c>
    </row>
    <row r="1516" spans="1:14">
      <c r="A1516" s="2" t="s">
        <v>1544</v>
      </c>
      <c r="B1516" t="s">
        <v>5337</v>
      </c>
      <c r="C1516">
        <v>379.62</v>
      </c>
      <c r="D1516">
        <v>-73.459999999999994</v>
      </c>
      <c r="E1516">
        <v>-0.64</v>
      </c>
      <c r="F1516">
        <v>-13.44</v>
      </c>
      <c r="G1516">
        <v>80.48</v>
      </c>
      <c r="I1516">
        <v>410.86</v>
      </c>
      <c r="J1516">
        <v>37.74</v>
      </c>
      <c r="K1516">
        <v>34.44</v>
      </c>
      <c r="L1516">
        <v>35.56</v>
      </c>
      <c r="M1516">
        <v>106.48</v>
      </c>
    </row>
    <row r="1517" spans="1:14">
      <c r="A1517" s="2" t="s">
        <v>1545</v>
      </c>
      <c r="B1517" t="s">
        <v>5338</v>
      </c>
      <c r="C1517">
        <v>-35.79</v>
      </c>
      <c r="D1517">
        <v>59.09</v>
      </c>
      <c r="E1517">
        <v>-59.52</v>
      </c>
      <c r="F1517">
        <v>275.58</v>
      </c>
      <c r="G1517">
        <v>41.99</v>
      </c>
      <c r="H1517">
        <v>-53.55</v>
      </c>
      <c r="I1517">
        <v>-25.44</v>
      </c>
      <c r="J1517">
        <v>-1.87</v>
      </c>
      <c r="K1517">
        <v>-22.37</v>
      </c>
      <c r="L1517">
        <v>23.28</v>
      </c>
      <c r="M1517">
        <v>-42.04</v>
      </c>
      <c r="N1517">
        <v>46.35</v>
      </c>
    </row>
    <row r="1518" spans="1:14">
      <c r="A1518" s="2" t="s">
        <v>1546</v>
      </c>
      <c r="B1518" t="s">
        <v>5339</v>
      </c>
      <c r="C1518">
        <v>44.95</v>
      </c>
      <c r="D1518">
        <v>3.98</v>
      </c>
      <c r="E1518">
        <v>0.36</v>
      </c>
      <c r="F1518">
        <v>-7.21</v>
      </c>
      <c r="G1518">
        <v>28.86</v>
      </c>
      <c r="H1518">
        <v>-52.74</v>
      </c>
      <c r="I1518">
        <v>60.09</v>
      </c>
      <c r="J1518">
        <v>-12.91</v>
      </c>
      <c r="K1518">
        <v>143.53</v>
      </c>
      <c r="L1518">
        <v>-19.38</v>
      </c>
      <c r="M1518">
        <v>157.81</v>
      </c>
      <c r="N1518">
        <v>46.04</v>
      </c>
    </row>
    <row r="1519" spans="1:14">
      <c r="A1519" s="2" t="s">
        <v>1547</v>
      </c>
      <c r="B1519" t="s">
        <v>5340</v>
      </c>
      <c r="C1519">
        <v>15.25</v>
      </c>
      <c r="D1519">
        <v>32.31</v>
      </c>
      <c r="E1519">
        <v>14.18</v>
      </c>
      <c r="F1519">
        <v>5.49</v>
      </c>
      <c r="G1519">
        <v>-27.91</v>
      </c>
      <c r="H1519">
        <v>51.36</v>
      </c>
      <c r="I1519">
        <v>-15.63</v>
      </c>
      <c r="J1519">
        <v>12.49</v>
      </c>
      <c r="K1519">
        <v>79.739999999999995</v>
      </c>
      <c r="L1519">
        <v>56.88</v>
      </c>
      <c r="M1519">
        <v>70.02</v>
      </c>
      <c r="N1519">
        <v>62.74</v>
      </c>
    </row>
    <row r="1520" spans="1:14">
      <c r="A1520" s="2" t="s">
        <v>1548</v>
      </c>
      <c r="B1520" t="s">
        <v>5341</v>
      </c>
      <c r="C1520">
        <v>-22.11</v>
      </c>
      <c r="D1520">
        <v>10.15</v>
      </c>
      <c r="E1520">
        <v>23.11</v>
      </c>
      <c r="F1520">
        <v>-31.38</v>
      </c>
      <c r="G1520">
        <v>278.74</v>
      </c>
      <c r="H1520">
        <v>-71.47</v>
      </c>
      <c r="I1520">
        <v>-12</v>
      </c>
      <c r="J1520">
        <v>-64.25</v>
      </c>
      <c r="K1520">
        <v>-42.96</v>
      </c>
      <c r="L1520">
        <v>-26.23</v>
      </c>
      <c r="M1520">
        <v>175.74</v>
      </c>
      <c r="N1520">
        <v>-11.89</v>
      </c>
    </row>
    <row r="1521" spans="1:14">
      <c r="A1521" s="2" t="s">
        <v>1549</v>
      </c>
      <c r="B1521" t="s">
        <v>5342</v>
      </c>
      <c r="C1521">
        <v>109.38</v>
      </c>
      <c r="D1521">
        <v>-32.409999999999997</v>
      </c>
      <c r="E1521">
        <v>-43.62</v>
      </c>
      <c r="F1521">
        <v>39.979999999999997</v>
      </c>
      <c r="G1521">
        <v>49.39</v>
      </c>
      <c r="H1521">
        <v>-26.55</v>
      </c>
      <c r="I1521">
        <v>133.08000000000001</v>
      </c>
      <c r="J1521">
        <v>94.92</v>
      </c>
      <c r="K1521">
        <v>-52.39</v>
      </c>
      <c r="L1521">
        <v>-30.49</v>
      </c>
      <c r="M1521">
        <v>35.659999999999997</v>
      </c>
      <c r="N1521">
        <v>56.66</v>
      </c>
    </row>
    <row r="1522" spans="1:14">
      <c r="A1522" s="2" t="s">
        <v>1550</v>
      </c>
      <c r="B1522" t="s">
        <v>5343</v>
      </c>
      <c r="C1522">
        <v>-8.77</v>
      </c>
      <c r="D1522">
        <v>9.23</v>
      </c>
      <c r="E1522">
        <v>0.57999999999999996</v>
      </c>
      <c r="F1522">
        <v>8.83</v>
      </c>
      <c r="G1522">
        <v>2.76</v>
      </c>
      <c r="H1522">
        <v>-1.75</v>
      </c>
      <c r="I1522">
        <v>-5.43</v>
      </c>
      <c r="J1522">
        <v>-20.329999999999998</v>
      </c>
      <c r="K1522">
        <v>25.18</v>
      </c>
      <c r="L1522">
        <v>8.1</v>
      </c>
      <c r="M1522">
        <v>-6.4</v>
      </c>
      <c r="N1522">
        <v>15.72</v>
      </c>
    </row>
    <row r="1523" spans="1:14">
      <c r="A1523" s="2" t="s">
        <v>1551</v>
      </c>
      <c r="B1523" t="s">
        <v>5344</v>
      </c>
      <c r="C1523">
        <v>2.77</v>
      </c>
      <c r="D1523">
        <v>1.73</v>
      </c>
      <c r="E1523">
        <v>-3</v>
      </c>
      <c r="F1523">
        <v>-0.08</v>
      </c>
      <c r="G1523">
        <v>14.87</v>
      </c>
      <c r="H1523">
        <v>7.62</v>
      </c>
      <c r="I1523">
        <v>-5.7</v>
      </c>
      <c r="J1523">
        <v>-2.81</v>
      </c>
      <c r="K1523">
        <v>-5.43</v>
      </c>
      <c r="L1523">
        <v>-7.5</v>
      </c>
      <c r="M1523">
        <v>0.45</v>
      </c>
      <c r="N1523">
        <v>25.59</v>
      </c>
    </row>
    <row r="1524" spans="1:14">
      <c r="A1524" s="2" t="s">
        <v>1552</v>
      </c>
      <c r="B1524" t="s">
        <v>5345</v>
      </c>
      <c r="C1524">
        <v>-20.52</v>
      </c>
      <c r="D1524">
        <v>22.3</v>
      </c>
      <c r="E1524">
        <v>12.69</v>
      </c>
      <c r="F1524">
        <v>10.9</v>
      </c>
      <c r="G1524">
        <v>59.33</v>
      </c>
      <c r="H1524">
        <v>-55.71</v>
      </c>
      <c r="I1524">
        <v>-19.59</v>
      </c>
      <c r="J1524">
        <v>-12.04</v>
      </c>
      <c r="K1524">
        <v>102.43</v>
      </c>
      <c r="L1524">
        <v>22.09</v>
      </c>
      <c r="M1524">
        <v>89.88</v>
      </c>
      <c r="N1524">
        <v>-2.46</v>
      </c>
    </row>
    <row r="1525" spans="1:14">
      <c r="A1525" s="2" t="s">
        <v>1553</v>
      </c>
      <c r="B1525" t="s">
        <v>5346</v>
      </c>
      <c r="C1525">
        <v>13.29</v>
      </c>
      <c r="D1525">
        <v>-25.03</v>
      </c>
      <c r="E1525">
        <v>44.26</v>
      </c>
      <c r="F1525">
        <v>-5.59</v>
      </c>
      <c r="G1525">
        <v>9.98</v>
      </c>
      <c r="I1525">
        <v>30.61</v>
      </c>
      <c r="J1525">
        <v>-11.51</v>
      </c>
      <c r="K1525">
        <v>24.81</v>
      </c>
      <c r="L1525">
        <v>9.48</v>
      </c>
      <c r="M1525">
        <v>1.52</v>
      </c>
    </row>
    <row r="1526" spans="1:14">
      <c r="A1526" s="2" t="s">
        <v>1554</v>
      </c>
      <c r="B1526" t="s">
        <v>5347</v>
      </c>
      <c r="C1526">
        <v>20.9</v>
      </c>
      <c r="D1526">
        <v>56.17</v>
      </c>
      <c r="E1526">
        <v>-44.09</v>
      </c>
      <c r="F1526">
        <v>-43.49</v>
      </c>
      <c r="G1526">
        <v>59.02</v>
      </c>
      <c r="H1526">
        <v>-54.53</v>
      </c>
      <c r="I1526">
        <v>77.209999999999994</v>
      </c>
      <c r="J1526">
        <v>435.7</v>
      </c>
      <c r="K1526">
        <v>93.04</v>
      </c>
      <c r="L1526">
        <v>18.77</v>
      </c>
      <c r="M1526">
        <v>61.5</v>
      </c>
      <c r="N1526">
        <v>-51.49</v>
      </c>
    </row>
    <row r="1527" spans="1:14">
      <c r="A1527" s="2" t="s">
        <v>1555</v>
      </c>
      <c r="B1527" t="s">
        <v>5348</v>
      </c>
      <c r="C1527">
        <v>-5.84</v>
      </c>
      <c r="D1527">
        <v>11.72</v>
      </c>
      <c r="E1527">
        <v>-3.94</v>
      </c>
      <c r="F1527">
        <v>-1.7</v>
      </c>
      <c r="G1527">
        <v>-10.45</v>
      </c>
      <c r="H1527">
        <v>38.42</v>
      </c>
      <c r="I1527">
        <v>-20.63</v>
      </c>
      <c r="J1527">
        <v>-8.8800000000000008</v>
      </c>
      <c r="K1527">
        <v>-11.16</v>
      </c>
      <c r="L1527">
        <v>-3.77</v>
      </c>
      <c r="M1527">
        <v>-19.13</v>
      </c>
      <c r="N1527">
        <v>24.91</v>
      </c>
    </row>
    <row r="1528" spans="1:14">
      <c r="A1528" s="2" t="s">
        <v>1556</v>
      </c>
      <c r="B1528" t="s">
        <v>5349</v>
      </c>
      <c r="C1528">
        <v>-64.599999999999994</v>
      </c>
      <c r="D1528">
        <v>356.84</v>
      </c>
      <c r="E1528">
        <v>-34.03</v>
      </c>
      <c r="F1528">
        <v>36.369999999999997</v>
      </c>
      <c r="G1528">
        <v>-17.86</v>
      </c>
      <c r="H1528">
        <v>42.05</v>
      </c>
      <c r="I1528">
        <v>-65.47</v>
      </c>
      <c r="J1528">
        <v>54.39</v>
      </c>
      <c r="K1528">
        <v>-10.54</v>
      </c>
      <c r="L1528">
        <v>23.61</v>
      </c>
      <c r="M1528">
        <v>69.06</v>
      </c>
      <c r="N1528">
        <v>207.37</v>
      </c>
    </row>
    <row r="1529" spans="1:14">
      <c r="A1529" s="2" t="s">
        <v>1557</v>
      </c>
      <c r="B1529" t="s">
        <v>5350</v>
      </c>
      <c r="C1529">
        <v>-4.3899999999999997</v>
      </c>
      <c r="D1529">
        <v>2.7</v>
      </c>
      <c r="E1529">
        <v>2.5</v>
      </c>
      <c r="F1529">
        <v>1.34</v>
      </c>
      <c r="G1529">
        <v>10.35</v>
      </c>
      <c r="H1529">
        <v>3.14</v>
      </c>
      <c r="I1529">
        <v>-5.74</v>
      </c>
      <c r="J1529">
        <v>7.75</v>
      </c>
      <c r="K1529">
        <v>13.52</v>
      </c>
      <c r="L1529">
        <v>7.53</v>
      </c>
      <c r="M1529">
        <v>11.44</v>
      </c>
      <c r="N1529">
        <v>82.66</v>
      </c>
    </row>
    <row r="1530" spans="1:14">
      <c r="A1530" s="2" t="s">
        <v>1558</v>
      </c>
      <c r="B1530" t="s">
        <v>5351</v>
      </c>
      <c r="C1530">
        <v>-35.700000000000003</v>
      </c>
      <c r="D1530">
        <v>143.53</v>
      </c>
      <c r="E1530">
        <v>47.54</v>
      </c>
      <c r="F1530">
        <v>-51.27</v>
      </c>
      <c r="G1530">
        <v>101.98</v>
      </c>
      <c r="H1530">
        <v>-65.12</v>
      </c>
      <c r="I1530">
        <v>-69.81</v>
      </c>
      <c r="J1530">
        <v>69.67</v>
      </c>
      <c r="K1530">
        <v>29.14</v>
      </c>
      <c r="L1530">
        <v>-50.18</v>
      </c>
      <c r="M1530">
        <v>86.83</v>
      </c>
      <c r="N1530">
        <v>-9.49</v>
      </c>
    </row>
    <row r="1531" spans="1:14">
      <c r="A1531" s="2" t="s">
        <v>1559</v>
      </c>
      <c r="B1531" t="s">
        <v>5352</v>
      </c>
      <c r="C1531">
        <v>16.8</v>
      </c>
      <c r="D1531">
        <v>83.28</v>
      </c>
      <c r="E1531">
        <v>-25.06</v>
      </c>
      <c r="F1531">
        <v>1.61</v>
      </c>
      <c r="G1531">
        <v>54.12</v>
      </c>
      <c r="H1531">
        <v>-7.73</v>
      </c>
      <c r="I1531">
        <v>-3.83</v>
      </c>
      <c r="J1531">
        <v>69.040000000000006</v>
      </c>
      <c r="K1531">
        <v>12.06</v>
      </c>
      <c r="L1531">
        <v>-20.63</v>
      </c>
      <c r="M1531">
        <v>10.37</v>
      </c>
      <c r="N1531">
        <v>44.12</v>
      </c>
    </row>
    <row r="1532" spans="1:14">
      <c r="A1532" s="2" t="s">
        <v>1560</v>
      </c>
      <c r="B1532" t="s">
        <v>5353</v>
      </c>
      <c r="C1532">
        <v>40.31</v>
      </c>
      <c r="D1532">
        <v>-36.65</v>
      </c>
      <c r="E1532">
        <v>-6.6</v>
      </c>
      <c r="F1532">
        <v>22.89</v>
      </c>
      <c r="G1532">
        <v>4.54</v>
      </c>
      <c r="H1532">
        <v>-18.64</v>
      </c>
      <c r="I1532">
        <v>93.98</v>
      </c>
      <c r="J1532">
        <v>28.95</v>
      </c>
      <c r="K1532">
        <v>11.51</v>
      </c>
      <c r="L1532">
        <v>15.59</v>
      </c>
      <c r="M1532">
        <v>7.31</v>
      </c>
      <c r="N1532">
        <v>28.25</v>
      </c>
    </row>
    <row r="1533" spans="1:14">
      <c r="A1533" s="2" t="s">
        <v>1561</v>
      </c>
      <c r="B1533" t="s">
        <v>5354</v>
      </c>
      <c r="C1533">
        <v>-9.43</v>
      </c>
      <c r="D1533">
        <v>4.46</v>
      </c>
      <c r="E1533">
        <v>-12.82</v>
      </c>
      <c r="F1533">
        <v>17.899999999999999</v>
      </c>
      <c r="G1533">
        <v>36.549999999999997</v>
      </c>
      <c r="H1533">
        <v>-16.93</v>
      </c>
      <c r="I1533">
        <v>-28.89</v>
      </c>
      <c r="J1533">
        <v>2.92</v>
      </c>
      <c r="K1533">
        <v>-29.15</v>
      </c>
      <c r="L1533">
        <v>-6.73</v>
      </c>
      <c r="M1533">
        <v>-15.44</v>
      </c>
      <c r="N1533">
        <v>23.38</v>
      </c>
    </row>
    <row r="1534" spans="1:14">
      <c r="A1534" s="2" t="s">
        <v>1562</v>
      </c>
      <c r="B1534" t="s">
        <v>5355</v>
      </c>
      <c r="C1534">
        <v>-1.36</v>
      </c>
      <c r="D1534">
        <v>7.18</v>
      </c>
      <c r="E1534">
        <v>2.0699999999999998</v>
      </c>
      <c r="F1534">
        <v>8.3800000000000008</v>
      </c>
      <c r="G1534">
        <v>1.64</v>
      </c>
      <c r="I1534">
        <v>-5.95</v>
      </c>
      <c r="J1534">
        <v>13.32</v>
      </c>
      <c r="K1534">
        <v>-1.1299999999999999</v>
      </c>
      <c r="L1534">
        <v>14.47</v>
      </c>
      <c r="M1534">
        <v>24.58</v>
      </c>
    </row>
    <row r="1535" spans="1:14">
      <c r="A1535" s="2" t="s">
        <v>1563</v>
      </c>
      <c r="B1535" t="s">
        <v>5356</v>
      </c>
      <c r="C1535">
        <v>-17.440000000000001</v>
      </c>
      <c r="D1535">
        <v>49.28</v>
      </c>
      <c r="E1535">
        <v>-35.28</v>
      </c>
      <c r="F1535">
        <v>10.28</v>
      </c>
      <c r="G1535">
        <v>59.69</v>
      </c>
      <c r="H1535">
        <v>-42.95</v>
      </c>
      <c r="I1535">
        <v>-31.32</v>
      </c>
      <c r="J1535">
        <v>-4.7300000000000004</v>
      </c>
      <c r="K1535">
        <v>-4.1399999999999997</v>
      </c>
      <c r="L1535">
        <v>14.65</v>
      </c>
      <c r="M1535">
        <v>13.55</v>
      </c>
      <c r="N1535">
        <v>8.86</v>
      </c>
    </row>
    <row r="1536" spans="1:14">
      <c r="A1536" s="2" t="s">
        <v>1564</v>
      </c>
      <c r="B1536" t="s">
        <v>5357</v>
      </c>
      <c r="C1536">
        <v>-17.739999999999998</v>
      </c>
      <c r="D1536">
        <v>29.65</v>
      </c>
      <c r="E1536">
        <v>-22.74</v>
      </c>
      <c r="F1536">
        <v>34.520000000000003</v>
      </c>
      <c r="G1536">
        <v>-11.92</v>
      </c>
      <c r="I1536">
        <v>25.62</v>
      </c>
      <c r="J1536">
        <v>56.99</v>
      </c>
      <c r="K1536">
        <v>34.270000000000003</v>
      </c>
      <c r="L1536">
        <v>64.77</v>
      </c>
      <c r="M1536">
        <v>81.56</v>
      </c>
    </row>
    <row r="1537" spans="1:14">
      <c r="A1537" s="2" t="s">
        <v>1565</v>
      </c>
      <c r="B1537" t="s">
        <v>5358</v>
      </c>
      <c r="C1537">
        <v>7.72</v>
      </c>
      <c r="D1537">
        <v>3.14</v>
      </c>
      <c r="E1537">
        <v>-3.75</v>
      </c>
      <c r="F1537">
        <v>21.49</v>
      </c>
      <c r="G1537">
        <v>22.58</v>
      </c>
      <c r="H1537">
        <v>-19.5</v>
      </c>
      <c r="I1537">
        <v>-2.37</v>
      </c>
      <c r="J1537">
        <v>10.74</v>
      </c>
      <c r="K1537">
        <v>33.53</v>
      </c>
      <c r="L1537">
        <v>86.58</v>
      </c>
      <c r="M1537">
        <v>43.41</v>
      </c>
      <c r="N1537">
        <v>41.28</v>
      </c>
    </row>
    <row r="1538" spans="1:14">
      <c r="A1538" s="2" t="s">
        <v>1566</v>
      </c>
      <c r="B1538" t="s">
        <v>5359</v>
      </c>
      <c r="C1538">
        <v>13.55</v>
      </c>
      <c r="D1538">
        <v>-10.07</v>
      </c>
      <c r="E1538">
        <v>5.73</v>
      </c>
      <c r="F1538">
        <v>6.16</v>
      </c>
      <c r="G1538">
        <v>7.64</v>
      </c>
      <c r="H1538">
        <v>-20.2</v>
      </c>
      <c r="I1538">
        <v>198.14</v>
      </c>
      <c r="J1538">
        <v>150.16</v>
      </c>
      <c r="K1538">
        <v>157.94</v>
      </c>
      <c r="L1538">
        <v>158.6</v>
      </c>
      <c r="M1538">
        <v>143.86000000000001</v>
      </c>
      <c r="N1538">
        <v>121.9</v>
      </c>
    </row>
    <row r="1539" spans="1:14">
      <c r="A1539" s="2" t="s">
        <v>1567</v>
      </c>
      <c r="B1539" t="s">
        <v>5360</v>
      </c>
      <c r="C1539">
        <v>-2.42</v>
      </c>
      <c r="D1539">
        <v>16.89</v>
      </c>
      <c r="E1539">
        <v>16.37</v>
      </c>
      <c r="F1539">
        <v>23.18</v>
      </c>
      <c r="G1539">
        <v>6.55</v>
      </c>
      <c r="H1539">
        <v>-3.86</v>
      </c>
      <c r="I1539">
        <v>-28.49</v>
      </c>
      <c r="J1539">
        <v>-7.57</v>
      </c>
      <c r="K1539">
        <v>-0.01</v>
      </c>
      <c r="L1539">
        <v>1.64</v>
      </c>
      <c r="M1539">
        <v>2.52</v>
      </c>
      <c r="N1539">
        <v>-13.64</v>
      </c>
    </row>
    <row r="1540" spans="1:14">
      <c r="A1540" s="2" t="s">
        <v>1568</v>
      </c>
      <c r="B1540" t="s">
        <v>5361</v>
      </c>
      <c r="C1540">
        <v>7.43</v>
      </c>
      <c r="D1540">
        <v>20.04</v>
      </c>
      <c r="E1540">
        <v>-23.93</v>
      </c>
      <c r="F1540">
        <v>13.43</v>
      </c>
      <c r="G1540">
        <v>34.15</v>
      </c>
      <c r="H1540">
        <v>-27.78</v>
      </c>
      <c r="I1540">
        <v>10.76</v>
      </c>
      <c r="J1540">
        <v>2.83</v>
      </c>
      <c r="K1540">
        <v>-6.5</v>
      </c>
      <c r="L1540">
        <v>-21.09</v>
      </c>
      <c r="M1540">
        <v>5.98</v>
      </c>
      <c r="N1540">
        <v>24.49</v>
      </c>
    </row>
    <row r="1541" spans="1:14">
      <c r="A1541" s="2" t="s">
        <v>1569</v>
      </c>
      <c r="B1541" t="s">
        <v>5362</v>
      </c>
      <c r="C1541">
        <v>-0.9</v>
      </c>
      <c r="D1541">
        <v>-2.06</v>
      </c>
      <c r="E1541">
        <v>6.84</v>
      </c>
      <c r="F1541">
        <v>-0.99</v>
      </c>
      <c r="G1541">
        <v>6.92</v>
      </c>
      <c r="H1541">
        <v>7.06</v>
      </c>
      <c r="I1541">
        <v>8.5500000000000007</v>
      </c>
      <c r="J1541">
        <v>1.07</v>
      </c>
      <c r="K1541">
        <v>5.08</v>
      </c>
      <c r="L1541">
        <v>6.53</v>
      </c>
      <c r="M1541">
        <v>10.31</v>
      </c>
      <c r="N1541">
        <v>29.33</v>
      </c>
    </row>
    <row r="1542" spans="1:14">
      <c r="A1542" s="2" t="s">
        <v>1570</v>
      </c>
      <c r="B1542" t="s">
        <v>5363</v>
      </c>
      <c r="C1542">
        <v>-27.47</v>
      </c>
      <c r="D1542">
        <v>98.93</v>
      </c>
      <c r="E1542">
        <v>-33.24</v>
      </c>
      <c r="F1542">
        <v>-32.21</v>
      </c>
      <c r="G1542">
        <v>29.59</v>
      </c>
      <c r="H1542">
        <v>-61.57</v>
      </c>
      <c r="I1542">
        <v>-65.39</v>
      </c>
      <c r="J1542">
        <v>-18.399999999999999</v>
      </c>
      <c r="K1542">
        <v>-61.66</v>
      </c>
      <c r="L1542">
        <v>-48.84</v>
      </c>
      <c r="M1542">
        <v>-40.81</v>
      </c>
      <c r="N1542">
        <v>-72.84</v>
      </c>
    </row>
    <row r="1543" spans="1:14">
      <c r="A1543" s="2" t="s">
        <v>1571</v>
      </c>
      <c r="B1543" t="s">
        <v>5364</v>
      </c>
      <c r="C1543">
        <v>0.11</v>
      </c>
      <c r="D1543">
        <v>-3.48</v>
      </c>
      <c r="E1543">
        <v>3.85</v>
      </c>
      <c r="F1543">
        <v>-1.85</v>
      </c>
      <c r="G1543">
        <v>-0.43</v>
      </c>
      <c r="H1543">
        <v>13.55</v>
      </c>
      <c r="I1543">
        <v>-5.82</v>
      </c>
      <c r="J1543">
        <v>-9.3000000000000007</v>
      </c>
      <c r="K1543">
        <v>-9.42</v>
      </c>
      <c r="L1543">
        <v>-7.57</v>
      </c>
      <c r="M1543">
        <v>-5.56</v>
      </c>
      <c r="N1543">
        <v>5.05</v>
      </c>
    </row>
    <row r="1544" spans="1:14">
      <c r="A1544" s="2" t="s">
        <v>1572</v>
      </c>
      <c r="B1544" t="s">
        <v>5365</v>
      </c>
      <c r="C1544">
        <v>20.79</v>
      </c>
      <c r="D1544">
        <v>56.28</v>
      </c>
      <c r="E1544">
        <v>-9.98</v>
      </c>
      <c r="F1544">
        <v>-19.899999999999999</v>
      </c>
      <c r="G1544">
        <v>59.85</v>
      </c>
      <c r="H1544">
        <v>-16.72</v>
      </c>
      <c r="I1544">
        <v>-44.86</v>
      </c>
      <c r="J1544">
        <v>-17.27</v>
      </c>
      <c r="K1544">
        <v>33.31</v>
      </c>
      <c r="L1544">
        <v>-37.799999999999997</v>
      </c>
      <c r="M1544">
        <v>18.100000000000001</v>
      </c>
      <c r="N1544">
        <v>32.18</v>
      </c>
    </row>
    <row r="1545" spans="1:14">
      <c r="A1545" s="2" t="s">
        <v>1573</v>
      </c>
      <c r="B1545" t="s">
        <v>5366</v>
      </c>
      <c r="C1545">
        <v>0.26</v>
      </c>
      <c r="D1545">
        <v>-0.31</v>
      </c>
      <c r="E1545">
        <v>5.78</v>
      </c>
      <c r="F1545">
        <v>-0.41</v>
      </c>
      <c r="G1545">
        <v>-2.8</v>
      </c>
      <c r="H1545">
        <v>16.23</v>
      </c>
      <c r="I1545">
        <v>23.67</v>
      </c>
      <c r="J1545">
        <v>19.190000000000001</v>
      </c>
      <c r="K1545">
        <v>20.63</v>
      </c>
      <c r="L1545">
        <v>17.93</v>
      </c>
      <c r="M1545">
        <v>2.7</v>
      </c>
      <c r="N1545">
        <v>46.69</v>
      </c>
    </row>
    <row r="1546" spans="1:14">
      <c r="A1546" s="2" t="s">
        <v>1574</v>
      </c>
      <c r="B1546" t="s">
        <v>5367</v>
      </c>
      <c r="C1546">
        <v>-1.08</v>
      </c>
      <c r="D1546">
        <v>16.16</v>
      </c>
      <c r="E1546">
        <v>-13.07</v>
      </c>
      <c r="F1546">
        <v>-10.95</v>
      </c>
      <c r="G1546">
        <v>39.53</v>
      </c>
      <c r="H1546">
        <v>-14.38</v>
      </c>
      <c r="I1546">
        <v>-24.89</v>
      </c>
      <c r="J1546">
        <v>-13.41</v>
      </c>
      <c r="K1546">
        <v>-25.47</v>
      </c>
      <c r="L1546">
        <v>-22.22</v>
      </c>
      <c r="M1546">
        <v>5.81</v>
      </c>
      <c r="N1546">
        <v>3.63</v>
      </c>
    </row>
    <row r="1547" spans="1:14">
      <c r="A1547" s="2" t="s">
        <v>1575</v>
      </c>
      <c r="B1547" t="s">
        <v>5368</v>
      </c>
      <c r="C1547">
        <v>5.31</v>
      </c>
      <c r="D1547">
        <v>8.0299999999999994</v>
      </c>
      <c r="E1547">
        <v>-0.41</v>
      </c>
      <c r="F1547">
        <v>-8.74</v>
      </c>
      <c r="G1547">
        <v>7.82</v>
      </c>
      <c r="H1547">
        <v>0.76</v>
      </c>
      <c r="I1547">
        <v>-11.61</v>
      </c>
      <c r="J1547">
        <v>-1.27</v>
      </c>
      <c r="K1547">
        <v>-10.050000000000001</v>
      </c>
      <c r="L1547">
        <v>-14.1</v>
      </c>
      <c r="M1547">
        <v>-15.55</v>
      </c>
      <c r="N1547">
        <v>0.46</v>
      </c>
    </row>
    <row r="1548" spans="1:14">
      <c r="A1548" s="2" t="s">
        <v>1576</v>
      </c>
      <c r="B1548" t="s">
        <v>5369</v>
      </c>
      <c r="C1548">
        <v>4.88</v>
      </c>
      <c r="D1548">
        <v>12.92</v>
      </c>
      <c r="E1548">
        <v>-15.45</v>
      </c>
      <c r="F1548">
        <v>19.82</v>
      </c>
      <c r="G1548">
        <v>14.15</v>
      </c>
      <c r="H1548">
        <v>-29.48</v>
      </c>
      <c r="I1548">
        <v>11</v>
      </c>
      <c r="J1548">
        <v>14.51</v>
      </c>
      <c r="K1548">
        <v>17.940000000000001</v>
      </c>
      <c r="L1548">
        <v>11.75</v>
      </c>
      <c r="M1548">
        <v>14.78</v>
      </c>
      <c r="N1548">
        <v>23.79</v>
      </c>
    </row>
    <row r="1549" spans="1:14">
      <c r="A1549" s="2" t="s">
        <v>1577</v>
      </c>
      <c r="B1549" t="s">
        <v>5370</v>
      </c>
      <c r="C1549">
        <v>-1.97</v>
      </c>
      <c r="D1549">
        <v>27.23</v>
      </c>
      <c r="E1549">
        <v>-6.77</v>
      </c>
      <c r="F1549">
        <v>-6.78</v>
      </c>
      <c r="G1549">
        <v>66.959999999999994</v>
      </c>
      <c r="H1549">
        <v>-23.94</v>
      </c>
      <c r="I1549">
        <v>51.85</v>
      </c>
      <c r="J1549">
        <v>37.130000000000003</v>
      </c>
      <c r="K1549">
        <v>43.81</v>
      </c>
      <c r="L1549">
        <v>-6.78</v>
      </c>
      <c r="M1549">
        <v>68.239999999999995</v>
      </c>
      <c r="N1549">
        <v>80.45</v>
      </c>
    </row>
    <row r="1550" spans="1:14">
      <c r="A1550" s="2" t="s">
        <v>1578</v>
      </c>
      <c r="B1550" t="s">
        <v>5371</v>
      </c>
      <c r="C1550">
        <v>154.91999999999999</v>
      </c>
      <c r="D1550">
        <v>32.85</v>
      </c>
      <c r="E1550">
        <v>-21.62</v>
      </c>
      <c r="F1550">
        <v>-35.25</v>
      </c>
      <c r="G1550">
        <v>7.88</v>
      </c>
      <c r="H1550">
        <v>-49.52</v>
      </c>
      <c r="I1550">
        <v>-22.93</v>
      </c>
      <c r="J1550">
        <v>-61.44</v>
      </c>
      <c r="K1550">
        <v>-64.650000000000006</v>
      </c>
      <c r="L1550">
        <v>-84.61</v>
      </c>
      <c r="M1550">
        <v>-86.64</v>
      </c>
      <c r="N1550">
        <v>-84.14</v>
      </c>
    </row>
    <row r="1551" spans="1:14">
      <c r="A1551" s="2" t="s">
        <v>1579</v>
      </c>
      <c r="B1551" t="s">
        <v>5372</v>
      </c>
      <c r="C1551">
        <v>1.05</v>
      </c>
      <c r="D1551">
        <v>3.7</v>
      </c>
      <c r="E1551">
        <v>5.04</v>
      </c>
      <c r="F1551">
        <v>5.82</v>
      </c>
      <c r="G1551">
        <v>18.22</v>
      </c>
      <c r="H1551">
        <v>5.12</v>
      </c>
      <c r="I1551">
        <v>24.5</v>
      </c>
      <c r="J1551">
        <v>28.58</v>
      </c>
      <c r="K1551">
        <v>38.03</v>
      </c>
      <c r="L1551">
        <v>30.05</v>
      </c>
      <c r="M1551">
        <v>30.17</v>
      </c>
      <c r="N1551">
        <v>46.2</v>
      </c>
    </row>
    <row r="1552" spans="1:14">
      <c r="A1552" s="2" t="s">
        <v>1580</v>
      </c>
      <c r="B1552" t="s">
        <v>5373</v>
      </c>
      <c r="C1552">
        <v>-0.92</v>
      </c>
      <c r="D1552">
        <v>0.3</v>
      </c>
      <c r="E1552">
        <v>-12.04</v>
      </c>
      <c r="F1552">
        <v>35.61</v>
      </c>
      <c r="G1552">
        <v>-14.28</v>
      </c>
      <c r="I1552">
        <v>-1.7</v>
      </c>
      <c r="J1552">
        <v>-2.56</v>
      </c>
      <c r="K1552">
        <v>-14.19</v>
      </c>
      <c r="L1552">
        <v>12.9</v>
      </c>
      <c r="M1552">
        <v>-22.13</v>
      </c>
    </row>
    <row r="1553" spans="1:14">
      <c r="A1553" s="2" t="s">
        <v>1581</v>
      </c>
      <c r="B1553" t="s">
        <v>5374</v>
      </c>
      <c r="C1553">
        <v>-33.54</v>
      </c>
      <c r="D1553">
        <v>-2.14</v>
      </c>
      <c r="E1553">
        <v>54.62</v>
      </c>
      <c r="F1553">
        <v>-31.56</v>
      </c>
      <c r="G1553">
        <v>-10.6</v>
      </c>
      <c r="I1553">
        <v>-6.43</v>
      </c>
      <c r="J1553">
        <v>7.98</v>
      </c>
      <c r="K1553">
        <v>79.11</v>
      </c>
      <c r="L1553">
        <v>5.51</v>
      </c>
      <c r="M1553">
        <v>-27.91</v>
      </c>
    </row>
    <row r="1554" spans="1:14">
      <c r="A1554" s="2" t="s">
        <v>1582</v>
      </c>
      <c r="B1554" t="s">
        <v>5375</v>
      </c>
      <c r="C1554">
        <v>6.91</v>
      </c>
      <c r="D1554">
        <v>4.33</v>
      </c>
      <c r="E1554">
        <v>-4.83</v>
      </c>
      <c r="F1554">
        <v>-13.94</v>
      </c>
      <c r="G1554">
        <v>30.27</v>
      </c>
      <c r="H1554">
        <v>-47.57</v>
      </c>
      <c r="I1554">
        <v>72.760000000000005</v>
      </c>
      <c r="J1554">
        <v>91.48</v>
      </c>
      <c r="K1554">
        <v>93.61</v>
      </c>
      <c r="L1554">
        <v>2.5099999999999998</v>
      </c>
      <c r="M1554">
        <v>12.22</v>
      </c>
      <c r="N1554">
        <v>27.12</v>
      </c>
    </row>
    <row r="1555" spans="1:14">
      <c r="A1555" s="2" t="s">
        <v>1583</v>
      </c>
      <c r="B1555" t="s">
        <v>5376</v>
      </c>
      <c r="C1555">
        <v>33.54</v>
      </c>
      <c r="D1555">
        <v>-22.38</v>
      </c>
      <c r="E1555">
        <v>43.98</v>
      </c>
      <c r="F1555">
        <v>79.28</v>
      </c>
      <c r="G1555">
        <v>-49.01</v>
      </c>
      <c r="H1555">
        <v>-12.37</v>
      </c>
      <c r="I1555">
        <v>-5.74</v>
      </c>
      <c r="J1555">
        <v>-21.18</v>
      </c>
      <c r="K1555">
        <v>8.86</v>
      </c>
      <c r="L1555">
        <v>3.92</v>
      </c>
      <c r="M1555">
        <v>28.36</v>
      </c>
      <c r="N1555">
        <v>10.42</v>
      </c>
    </row>
    <row r="1556" spans="1:14">
      <c r="A1556" s="2" t="s">
        <v>1584</v>
      </c>
      <c r="B1556" t="s">
        <v>5377</v>
      </c>
      <c r="C1556">
        <v>0.53</v>
      </c>
      <c r="D1556">
        <v>7.74</v>
      </c>
      <c r="E1556">
        <v>-1.65</v>
      </c>
      <c r="F1556">
        <v>9.06</v>
      </c>
      <c r="G1556">
        <v>6.13</v>
      </c>
      <c r="I1556">
        <v>-46.4</v>
      </c>
      <c r="J1556">
        <v>-55.32</v>
      </c>
      <c r="K1556">
        <v>-65.959999999999994</v>
      </c>
      <c r="L1556">
        <v>-66.37</v>
      </c>
      <c r="M1556">
        <v>-68.16</v>
      </c>
    </row>
    <row r="1557" spans="1:14">
      <c r="A1557" s="2" t="s">
        <v>1585</v>
      </c>
      <c r="B1557" t="s">
        <v>5378</v>
      </c>
      <c r="C1557">
        <v>-15.11</v>
      </c>
      <c r="D1557">
        <v>-0.46</v>
      </c>
      <c r="E1557">
        <v>-8.75</v>
      </c>
      <c r="F1557">
        <v>0.65</v>
      </c>
      <c r="G1557">
        <v>-0.57999999999999996</v>
      </c>
      <c r="H1557">
        <v>-22.75</v>
      </c>
      <c r="I1557">
        <v>16.54</v>
      </c>
      <c r="J1557">
        <v>23.17</v>
      </c>
      <c r="K1557">
        <v>23.79</v>
      </c>
      <c r="L1557">
        <v>26.87</v>
      </c>
      <c r="M1557">
        <v>23.35</v>
      </c>
      <c r="N1557">
        <v>-3.25</v>
      </c>
    </row>
    <row r="1558" spans="1:14">
      <c r="A1558" s="2" t="s">
        <v>1586</v>
      </c>
      <c r="B1558" t="s">
        <v>5379</v>
      </c>
      <c r="C1558">
        <v>10.130000000000001</v>
      </c>
      <c r="D1558">
        <v>0.63</v>
      </c>
      <c r="E1558">
        <v>21.98</v>
      </c>
      <c r="F1558">
        <v>12.51</v>
      </c>
      <c r="G1558">
        <v>2.39</v>
      </c>
      <c r="H1558">
        <v>-54.54</v>
      </c>
      <c r="I1558">
        <v>3.13</v>
      </c>
      <c r="J1558">
        <v>1.2</v>
      </c>
      <c r="K1558">
        <v>12.15</v>
      </c>
      <c r="L1558">
        <v>1.25</v>
      </c>
      <c r="M1558">
        <v>0.7</v>
      </c>
      <c r="N1558">
        <v>2.36</v>
      </c>
    </row>
    <row r="1559" spans="1:14">
      <c r="A1559" s="2" t="s">
        <v>1587</v>
      </c>
      <c r="B1559" t="s">
        <v>5380</v>
      </c>
      <c r="C1559">
        <v>-38.25</v>
      </c>
      <c r="D1559">
        <v>35.369999999999997</v>
      </c>
      <c r="E1559">
        <v>25.23</v>
      </c>
      <c r="F1559">
        <v>5.53</v>
      </c>
      <c r="G1559">
        <v>28</v>
      </c>
      <c r="H1559">
        <v>7.56</v>
      </c>
      <c r="I1559">
        <v>-59.35</v>
      </c>
      <c r="J1559">
        <v>-44.73</v>
      </c>
      <c r="K1559">
        <v>-36.78</v>
      </c>
      <c r="L1559">
        <v>-18.37</v>
      </c>
      <c r="M1559">
        <v>3.5</v>
      </c>
      <c r="N1559">
        <v>26.26</v>
      </c>
    </row>
    <row r="1560" spans="1:14">
      <c r="A1560" s="2" t="s">
        <v>1588</v>
      </c>
      <c r="B1560" t="s">
        <v>5381</v>
      </c>
      <c r="C1560">
        <v>-2.0299999999999998</v>
      </c>
      <c r="D1560">
        <v>29.29</v>
      </c>
      <c r="E1560">
        <v>-20.5</v>
      </c>
      <c r="F1560">
        <v>-4.1900000000000004</v>
      </c>
      <c r="G1560">
        <v>29.53</v>
      </c>
      <c r="H1560">
        <v>51.07</v>
      </c>
      <c r="I1560">
        <v>-11.07</v>
      </c>
      <c r="J1560">
        <v>-4.9800000000000004</v>
      </c>
      <c r="K1560">
        <v>7.18</v>
      </c>
      <c r="L1560">
        <v>-24.86</v>
      </c>
      <c r="M1560">
        <v>-11.02</v>
      </c>
      <c r="N1560">
        <v>230.36</v>
      </c>
    </row>
    <row r="1561" spans="1:14">
      <c r="A1561" s="2" t="s">
        <v>1589</v>
      </c>
      <c r="B1561" t="s">
        <v>5382</v>
      </c>
      <c r="C1561">
        <v>16.989999999999998</v>
      </c>
      <c r="D1561">
        <v>-3.75</v>
      </c>
      <c r="E1561">
        <v>5.5</v>
      </c>
      <c r="F1561">
        <v>-1.7</v>
      </c>
      <c r="G1561">
        <v>-18.5</v>
      </c>
      <c r="H1561">
        <v>12.08</v>
      </c>
      <c r="I1561">
        <v>26.28</v>
      </c>
      <c r="J1561">
        <v>20.05</v>
      </c>
      <c r="K1561">
        <v>28.88</v>
      </c>
      <c r="L1561">
        <v>38.840000000000003</v>
      </c>
      <c r="M1561">
        <v>13.58</v>
      </c>
      <c r="N1561">
        <v>12.54</v>
      </c>
    </row>
    <row r="1562" spans="1:14">
      <c r="A1562" s="2" t="s">
        <v>1590</v>
      </c>
      <c r="B1562" t="s">
        <v>5383</v>
      </c>
      <c r="C1562">
        <v>-17.25</v>
      </c>
      <c r="D1562">
        <v>14.08</v>
      </c>
      <c r="E1562">
        <v>0.56999999999999995</v>
      </c>
      <c r="F1562">
        <v>10.26</v>
      </c>
      <c r="G1562">
        <v>-6.23</v>
      </c>
      <c r="H1562">
        <v>6.62</v>
      </c>
      <c r="I1562">
        <v>-33.06</v>
      </c>
      <c r="J1562">
        <v>-27.91</v>
      </c>
      <c r="K1562">
        <v>-28.99</v>
      </c>
      <c r="L1562">
        <v>-25.67</v>
      </c>
      <c r="M1562">
        <v>-24.55</v>
      </c>
      <c r="N1562">
        <v>-22.71</v>
      </c>
    </row>
    <row r="1563" spans="1:14">
      <c r="A1563" s="2" t="s">
        <v>1591</v>
      </c>
      <c r="B1563" t="s">
        <v>5384</v>
      </c>
      <c r="C1563">
        <v>-2.75</v>
      </c>
      <c r="D1563">
        <v>-1.26</v>
      </c>
      <c r="E1563">
        <v>1.63</v>
      </c>
      <c r="F1563">
        <v>-0.01</v>
      </c>
      <c r="G1563">
        <v>10.18</v>
      </c>
      <c r="I1563">
        <v>10.84</v>
      </c>
      <c r="J1563">
        <v>9.58</v>
      </c>
      <c r="K1563">
        <v>8.4600000000000009</v>
      </c>
      <c r="L1563">
        <v>10.35</v>
      </c>
      <c r="M1563">
        <v>9.6199999999999992</v>
      </c>
    </row>
    <row r="1564" spans="1:14">
      <c r="A1564" s="2" t="s">
        <v>1592</v>
      </c>
      <c r="B1564" t="s">
        <v>5385</v>
      </c>
      <c r="C1564">
        <v>-2.92</v>
      </c>
      <c r="D1564">
        <v>9.76</v>
      </c>
      <c r="E1564">
        <v>3.23</v>
      </c>
      <c r="F1564">
        <v>-5.33</v>
      </c>
      <c r="G1564">
        <v>-0.69</v>
      </c>
      <c r="H1564">
        <v>-0.36</v>
      </c>
      <c r="I1564">
        <v>-20.25</v>
      </c>
      <c r="J1564">
        <v>1.96</v>
      </c>
      <c r="K1564">
        <v>5.82</v>
      </c>
      <c r="L1564">
        <v>-17.059999999999999</v>
      </c>
      <c r="M1564">
        <v>-11.22</v>
      </c>
      <c r="N1564">
        <v>-2.68</v>
      </c>
    </row>
    <row r="1565" spans="1:14">
      <c r="A1565" s="2" t="s">
        <v>1593</v>
      </c>
      <c r="B1565" t="s">
        <v>5386</v>
      </c>
      <c r="C1565">
        <v>-8.9600000000000009</v>
      </c>
      <c r="D1565">
        <v>-21.13</v>
      </c>
      <c r="E1565">
        <v>28.02</v>
      </c>
      <c r="F1565">
        <v>-27.49</v>
      </c>
      <c r="G1565">
        <v>28.36</v>
      </c>
      <c r="I1565">
        <v>47.19</v>
      </c>
      <c r="J1565">
        <v>2.21</v>
      </c>
      <c r="K1565">
        <v>64.88</v>
      </c>
      <c r="L1565">
        <v>-6.19</v>
      </c>
      <c r="M1565">
        <v>-6.96</v>
      </c>
    </row>
    <row r="1566" spans="1:14">
      <c r="A1566" s="2" t="s">
        <v>1594</v>
      </c>
      <c r="B1566" t="s">
        <v>5387</v>
      </c>
      <c r="C1566">
        <v>-1.47</v>
      </c>
      <c r="D1566">
        <v>5.37</v>
      </c>
      <c r="E1566">
        <v>-34.909999999999997</v>
      </c>
      <c r="F1566">
        <v>85.55</v>
      </c>
      <c r="G1566">
        <v>43.1</v>
      </c>
      <c r="I1566">
        <v>2.74</v>
      </c>
      <c r="J1566">
        <v>36.89</v>
      </c>
      <c r="K1566">
        <v>-37.880000000000003</v>
      </c>
      <c r="L1566">
        <v>68.56</v>
      </c>
      <c r="M1566">
        <v>111.61</v>
      </c>
    </row>
    <row r="1567" spans="1:14">
      <c r="A1567" s="2" t="s">
        <v>1595</v>
      </c>
      <c r="B1567" t="s">
        <v>5388</v>
      </c>
      <c r="C1567">
        <v>4.84</v>
      </c>
      <c r="D1567">
        <v>12.54</v>
      </c>
      <c r="E1567">
        <v>3.56</v>
      </c>
      <c r="F1567">
        <v>-2.66</v>
      </c>
      <c r="G1567">
        <v>46.77</v>
      </c>
      <c r="H1567">
        <v>-33.56</v>
      </c>
      <c r="I1567">
        <v>4.4000000000000004</v>
      </c>
      <c r="J1567">
        <v>12.78</v>
      </c>
      <c r="K1567">
        <v>18.86</v>
      </c>
      <c r="L1567">
        <v>24.92</v>
      </c>
      <c r="M1567">
        <v>51.72</v>
      </c>
      <c r="N1567">
        <v>35.47</v>
      </c>
    </row>
    <row r="1568" spans="1:14">
      <c r="A1568" s="2" t="s">
        <v>1596</v>
      </c>
      <c r="B1568" t="s">
        <v>5389</v>
      </c>
      <c r="C1568">
        <v>-3.58</v>
      </c>
      <c r="D1568">
        <v>-2.92</v>
      </c>
      <c r="E1568">
        <v>4.32</v>
      </c>
      <c r="F1568">
        <v>-12.16</v>
      </c>
      <c r="G1568">
        <v>17.670000000000002</v>
      </c>
      <c r="H1568">
        <v>-2.88</v>
      </c>
      <c r="I1568">
        <v>15.21</v>
      </c>
      <c r="J1568">
        <v>9.1999999999999993</v>
      </c>
      <c r="K1568">
        <v>19.149999999999999</v>
      </c>
      <c r="L1568">
        <v>-4.07</v>
      </c>
      <c r="M1568">
        <v>37.96</v>
      </c>
      <c r="N1568">
        <v>4.88</v>
      </c>
    </row>
    <row r="1569" spans="1:14">
      <c r="A1569" s="2" t="s">
        <v>1597</v>
      </c>
      <c r="B1569" t="s">
        <v>5390</v>
      </c>
      <c r="C1569">
        <v>-10.130000000000001</v>
      </c>
      <c r="D1569">
        <v>3.95</v>
      </c>
      <c r="E1569">
        <v>6.37</v>
      </c>
      <c r="F1569">
        <v>-9.94</v>
      </c>
      <c r="G1569">
        <v>27.22</v>
      </c>
      <c r="H1569">
        <v>-6.04</v>
      </c>
      <c r="I1569">
        <v>-29.08</v>
      </c>
      <c r="J1569">
        <v>-19.13</v>
      </c>
      <c r="K1569">
        <v>-13.33</v>
      </c>
      <c r="L1569">
        <v>-18.23</v>
      </c>
      <c r="M1569">
        <v>9.5299999999999994</v>
      </c>
      <c r="N1569">
        <v>2.17</v>
      </c>
    </row>
    <row r="1570" spans="1:14">
      <c r="A1570" s="2" t="s">
        <v>1598</v>
      </c>
      <c r="B1570" t="s">
        <v>5391</v>
      </c>
      <c r="C1570">
        <v>-28</v>
      </c>
      <c r="D1570">
        <v>10.77</v>
      </c>
      <c r="E1570">
        <v>-12.25</v>
      </c>
      <c r="F1570">
        <v>17.5</v>
      </c>
      <c r="G1570">
        <v>15.21</v>
      </c>
      <c r="H1570">
        <v>-0.76</v>
      </c>
      <c r="I1570">
        <v>9.7100000000000009</v>
      </c>
      <c r="J1570">
        <v>55.78</v>
      </c>
      <c r="K1570">
        <v>-0.78</v>
      </c>
      <c r="L1570">
        <v>43.81</v>
      </c>
      <c r="M1570">
        <v>15.51</v>
      </c>
      <c r="N1570">
        <v>32.880000000000003</v>
      </c>
    </row>
    <row r="1571" spans="1:14">
      <c r="A1571" s="2" t="s">
        <v>1599</v>
      </c>
      <c r="B1571" t="s">
        <v>5392</v>
      </c>
      <c r="C1571">
        <v>-23.64</v>
      </c>
      <c r="D1571">
        <v>73.33</v>
      </c>
      <c r="E1571">
        <v>1.9</v>
      </c>
      <c r="F1571">
        <v>-4.0199999999999996</v>
      </c>
      <c r="G1571">
        <v>-0.11</v>
      </c>
      <c r="H1571">
        <v>-35.85</v>
      </c>
      <c r="I1571">
        <v>10.48</v>
      </c>
      <c r="J1571">
        <v>88.44</v>
      </c>
      <c r="K1571">
        <v>102.73</v>
      </c>
      <c r="L1571">
        <v>64.95</v>
      </c>
      <c r="M1571">
        <v>60.6</v>
      </c>
      <c r="N1571">
        <v>-21.34</v>
      </c>
    </row>
    <row r="1572" spans="1:14">
      <c r="A1572" s="2" t="s">
        <v>1600</v>
      </c>
      <c r="B1572" t="s">
        <v>5393</v>
      </c>
      <c r="C1572">
        <v>8.85</v>
      </c>
      <c r="D1572">
        <v>3.61</v>
      </c>
      <c r="E1572">
        <v>5.42</v>
      </c>
      <c r="F1572">
        <v>3.49</v>
      </c>
      <c r="G1572">
        <v>3.51</v>
      </c>
      <c r="H1572">
        <v>3.31</v>
      </c>
      <c r="I1572">
        <v>103.48</v>
      </c>
      <c r="J1572">
        <v>101.58</v>
      </c>
      <c r="K1572">
        <v>102.05</v>
      </c>
      <c r="L1572">
        <v>101.05</v>
      </c>
      <c r="M1572">
        <v>102.51</v>
      </c>
      <c r="N1572">
        <v>98.9</v>
      </c>
    </row>
    <row r="1573" spans="1:14">
      <c r="A1573" s="2" t="s">
        <v>1601</v>
      </c>
      <c r="B1573" t="s">
        <v>5394</v>
      </c>
      <c r="C1573">
        <v>2.4</v>
      </c>
      <c r="D1573">
        <v>6.88</v>
      </c>
      <c r="E1573">
        <v>-3.76</v>
      </c>
      <c r="F1573">
        <v>47.24</v>
      </c>
      <c r="G1573">
        <v>-5.57</v>
      </c>
      <c r="H1573">
        <v>-7.1</v>
      </c>
      <c r="I1573">
        <v>10.61</v>
      </c>
      <c r="J1573">
        <v>12.02</v>
      </c>
      <c r="K1573">
        <v>10.52</v>
      </c>
      <c r="L1573">
        <v>7.82</v>
      </c>
      <c r="M1573">
        <v>25.62</v>
      </c>
      <c r="N1573">
        <v>30.06</v>
      </c>
    </row>
    <row r="1574" spans="1:14">
      <c r="A1574" s="2" t="s">
        <v>1602</v>
      </c>
      <c r="B1574" t="s">
        <v>5395</v>
      </c>
      <c r="C1574">
        <v>-12.6</v>
      </c>
      <c r="D1574">
        <v>4.8</v>
      </c>
      <c r="E1574">
        <v>-17.25</v>
      </c>
      <c r="F1574">
        <v>13.55</v>
      </c>
      <c r="G1574">
        <v>7.22</v>
      </c>
      <c r="I1574">
        <v>-41.82</v>
      </c>
      <c r="J1574">
        <v>-41.35</v>
      </c>
      <c r="K1574">
        <v>-47.13</v>
      </c>
      <c r="L1574">
        <v>-37.24</v>
      </c>
      <c r="M1574">
        <v>-29.62</v>
      </c>
    </row>
    <row r="1575" spans="1:14">
      <c r="A1575" s="2" t="s">
        <v>1603</v>
      </c>
      <c r="B1575" t="s">
        <v>5396</v>
      </c>
      <c r="C1575">
        <v>20.91</v>
      </c>
      <c r="D1575">
        <v>-12.74</v>
      </c>
      <c r="E1575">
        <v>-5.94</v>
      </c>
      <c r="F1575">
        <v>-19.18</v>
      </c>
      <c r="G1575">
        <v>7.87</v>
      </c>
      <c r="I1575">
        <v>-33.799999999999997</v>
      </c>
      <c r="J1575">
        <v>-15.1</v>
      </c>
      <c r="K1575">
        <v>-13.74</v>
      </c>
      <c r="L1575">
        <v>6.31</v>
      </c>
      <c r="M1575">
        <v>-3.86</v>
      </c>
    </row>
    <row r="1576" spans="1:14">
      <c r="A1576" s="2" t="s">
        <v>1604</v>
      </c>
      <c r="B1576" t="s">
        <v>5397</v>
      </c>
      <c r="C1576">
        <v>-36.369999999999997</v>
      </c>
      <c r="D1576">
        <v>-8.9</v>
      </c>
      <c r="E1576">
        <v>3.87</v>
      </c>
      <c r="F1576">
        <v>-18.309999999999999</v>
      </c>
      <c r="G1576">
        <v>59.79</v>
      </c>
      <c r="H1576">
        <v>-9.5</v>
      </c>
      <c r="I1576">
        <v>-9.3800000000000008</v>
      </c>
      <c r="J1576">
        <v>-29.92</v>
      </c>
      <c r="K1576">
        <v>-42.69</v>
      </c>
      <c r="L1576">
        <v>-38.619999999999997</v>
      </c>
      <c r="M1576">
        <v>-33.82</v>
      </c>
      <c r="N1576">
        <v>-1.77</v>
      </c>
    </row>
    <row r="1577" spans="1:14">
      <c r="A1577" s="2" t="s">
        <v>1605</v>
      </c>
      <c r="B1577" t="s">
        <v>5398</v>
      </c>
      <c r="C1577">
        <v>-5.49</v>
      </c>
      <c r="D1577">
        <v>8.35</v>
      </c>
      <c r="E1577">
        <v>6.24</v>
      </c>
      <c r="F1577">
        <v>10.57</v>
      </c>
      <c r="G1577">
        <v>-0.32</v>
      </c>
      <c r="H1577">
        <v>-14.13</v>
      </c>
      <c r="I1577">
        <v>4.03</v>
      </c>
      <c r="J1577">
        <v>15.65</v>
      </c>
      <c r="K1577">
        <v>14.6</v>
      </c>
      <c r="L1577">
        <v>25.78</v>
      </c>
      <c r="M1577">
        <v>7.14</v>
      </c>
      <c r="N1577">
        <v>31.85</v>
      </c>
    </row>
    <row r="1578" spans="1:14">
      <c r="A1578" s="2" t="s">
        <v>1606</v>
      </c>
      <c r="B1578" t="s">
        <v>5399</v>
      </c>
      <c r="C1578">
        <v>-0.34</v>
      </c>
      <c r="D1578">
        <v>25.42</v>
      </c>
      <c r="E1578">
        <v>11.85</v>
      </c>
      <c r="F1578">
        <v>9.9600000000000009</v>
      </c>
      <c r="G1578">
        <v>12.35</v>
      </c>
      <c r="H1578">
        <v>-10.11</v>
      </c>
      <c r="I1578">
        <v>-8.98</v>
      </c>
      <c r="J1578">
        <v>32.04</v>
      </c>
      <c r="K1578">
        <v>22.03</v>
      </c>
      <c r="L1578">
        <v>1.91</v>
      </c>
      <c r="M1578">
        <v>-15.03</v>
      </c>
      <c r="N1578">
        <v>16.62</v>
      </c>
    </row>
    <row r="1579" spans="1:14">
      <c r="A1579" s="2" t="s">
        <v>1607</v>
      </c>
      <c r="B1579" t="s">
        <v>5400</v>
      </c>
      <c r="C1579">
        <v>0.13</v>
      </c>
      <c r="D1579">
        <v>-13.76</v>
      </c>
      <c r="E1579">
        <v>-12.69</v>
      </c>
      <c r="F1579">
        <v>-3.22</v>
      </c>
      <c r="G1579">
        <v>2.4300000000000002</v>
      </c>
      <c r="H1579">
        <v>-24.96</v>
      </c>
      <c r="I1579">
        <v>-23.35</v>
      </c>
      <c r="J1579">
        <v>-31.27</v>
      </c>
      <c r="K1579">
        <v>-40.18</v>
      </c>
      <c r="L1579">
        <v>-34.83</v>
      </c>
      <c r="M1579">
        <v>-26.85</v>
      </c>
      <c r="N1579">
        <v>-10.18</v>
      </c>
    </row>
    <row r="1580" spans="1:14">
      <c r="A1580" s="2" t="s">
        <v>1608</v>
      </c>
      <c r="B1580" t="s">
        <v>5401</v>
      </c>
      <c r="C1580">
        <v>-7.52</v>
      </c>
      <c r="D1580">
        <v>32.299999999999997</v>
      </c>
      <c r="E1580">
        <v>-0.56000000000000005</v>
      </c>
      <c r="F1580">
        <v>11.88</v>
      </c>
      <c r="G1580">
        <v>-0.47</v>
      </c>
      <c r="H1580">
        <v>15.3</v>
      </c>
      <c r="I1580">
        <v>-35.9</v>
      </c>
      <c r="J1580">
        <v>-10.09</v>
      </c>
      <c r="K1580">
        <v>5.71</v>
      </c>
      <c r="L1580">
        <v>21.56</v>
      </c>
      <c r="M1580">
        <v>7.34</v>
      </c>
      <c r="N1580">
        <v>15.76</v>
      </c>
    </row>
    <row r="1581" spans="1:14">
      <c r="A1581" s="2" t="s">
        <v>1609</v>
      </c>
      <c r="B1581" t="s">
        <v>5402</v>
      </c>
      <c r="C1581">
        <v>5.31</v>
      </c>
      <c r="D1581">
        <v>-12.85</v>
      </c>
      <c r="E1581">
        <v>22.67</v>
      </c>
      <c r="F1581">
        <v>-19.59</v>
      </c>
      <c r="G1581">
        <v>17.940000000000001</v>
      </c>
      <c r="I1581">
        <v>-4.33</v>
      </c>
      <c r="J1581">
        <v>1.01</v>
      </c>
      <c r="K1581">
        <v>20.25</v>
      </c>
      <c r="L1581">
        <v>6.38</v>
      </c>
      <c r="M1581">
        <v>14.31</v>
      </c>
    </row>
    <row r="1582" spans="1:14">
      <c r="A1582" s="2" t="s">
        <v>1610</v>
      </c>
      <c r="B1582" t="s">
        <v>5403</v>
      </c>
      <c r="C1582">
        <v>-12.55</v>
      </c>
      <c r="D1582">
        <v>1.65</v>
      </c>
      <c r="E1582">
        <v>-10.3</v>
      </c>
      <c r="F1582">
        <v>-4.62</v>
      </c>
      <c r="G1582">
        <v>10.02</v>
      </c>
      <c r="H1582">
        <v>18.510000000000002</v>
      </c>
      <c r="I1582">
        <v>-10.15</v>
      </c>
      <c r="J1582">
        <v>-2.0699999999999998</v>
      </c>
      <c r="K1582">
        <v>-17.239999999999998</v>
      </c>
      <c r="L1582">
        <v>-23.6</v>
      </c>
      <c r="M1582">
        <v>-9.5500000000000007</v>
      </c>
      <c r="N1582">
        <v>6.01</v>
      </c>
    </row>
    <row r="1583" spans="1:14">
      <c r="A1583" s="2" t="s">
        <v>1611</v>
      </c>
      <c r="B1583" t="s">
        <v>5404</v>
      </c>
      <c r="C1583">
        <v>-2.02</v>
      </c>
      <c r="D1583">
        <v>-10.17</v>
      </c>
      <c r="E1583">
        <v>1.6</v>
      </c>
      <c r="F1583">
        <v>-0.44</v>
      </c>
      <c r="G1583">
        <v>-7.81</v>
      </c>
      <c r="H1583">
        <v>1.84</v>
      </c>
      <c r="I1583">
        <v>3.11</v>
      </c>
      <c r="J1583">
        <v>-4.55</v>
      </c>
      <c r="K1583">
        <v>2.52</v>
      </c>
      <c r="L1583">
        <v>-11.27</v>
      </c>
      <c r="M1583">
        <v>-18.52</v>
      </c>
      <c r="N1583">
        <v>-0.41</v>
      </c>
    </row>
    <row r="1584" spans="1:14">
      <c r="A1584" s="2" t="s">
        <v>1612</v>
      </c>
      <c r="B1584" t="s">
        <v>5405</v>
      </c>
      <c r="C1584">
        <v>-2.72</v>
      </c>
      <c r="D1584">
        <v>24.99</v>
      </c>
      <c r="E1584">
        <v>-15.08</v>
      </c>
      <c r="F1584">
        <v>7.01</v>
      </c>
      <c r="G1584">
        <v>11.93</v>
      </c>
      <c r="H1584">
        <v>-8.24</v>
      </c>
      <c r="I1584">
        <v>3.68</v>
      </c>
      <c r="J1584">
        <v>19.89</v>
      </c>
      <c r="K1584">
        <v>5.0599999999999996</v>
      </c>
      <c r="L1584">
        <v>10.38</v>
      </c>
      <c r="M1584">
        <v>13.8</v>
      </c>
      <c r="N1584">
        <v>31.15</v>
      </c>
    </row>
    <row r="1585" spans="1:14">
      <c r="A1585" s="2" t="s">
        <v>1613</v>
      </c>
      <c r="B1585" t="s">
        <v>5406</v>
      </c>
      <c r="C1585">
        <v>-5.47</v>
      </c>
      <c r="D1585">
        <v>-19.600000000000001</v>
      </c>
      <c r="E1585">
        <v>-1.57</v>
      </c>
      <c r="F1585">
        <v>-10.28</v>
      </c>
      <c r="G1585">
        <v>0.15</v>
      </c>
      <c r="H1585">
        <v>48.66</v>
      </c>
      <c r="I1585">
        <v>-13.86</v>
      </c>
      <c r="J1585">
        <v>-16.7</v>
      </c>
      <c r="K1585">
        <v>-25.3</v>
      </c>
      <c r="L1585">
        <v>-36.200000000000003</v>
      </c>
      <c r="M1585">
        <v>-33.75</v>
      </c>
      <c r="N1585">
        <v>1.77</v>
      </c>
    </row>
    <row r="1586" spans="1:14">
      <c r="A1586" s="2" t="s">
        <v>1614</v>
      </c>
      <c r="B1586" t="s">
        <v>5407</v>
      </c>
      <c r="C1586">
        <v>-17.579999999999998</v>
      </c>
      <c r="D1586">
        <v>47.92</v>
      </c>
      <c r="E1586">
        <v>16.93</v>
      </c>
      <c r="F1586">
        <v>-14.04</v>
      </c>
      <c r="G1586">
        <v>-19.690000000000001</v>
      </c>
      <c r="H1586">
        <v>13.94</v>
      </c>
      <c r="I1586">
        <v>-29.32</v>
      </c>
      <c r="J1586">
        <v>27.76</v>
      </c>
      <c r="K1586">
        <v>-7.31</v>
      </c>
      <c r="L1586">
        <v>-0.69</v>
      </c>
      <c r="M1586">
        <v>-6.34</v>
      </c>
      <c r="N1586">
        <v>-7.22</v>
      </c>
    </row>
    <row r="1587" spans="1:14">
      <c r="A1587" s="2" t="s">
        <v>1615</v>
      </c>
      <c r="B1587" t="s">
        <v>5408</v>
      </c>
      <c r="C1587">
        <v>1.73</v>
      </c>
      <c r="D1587">
        <v>-0.65</v>
      </c>
      <c r="E1587">
        <v>4.5999999999999996</v>
      </c>
      <c r="F1587">
        <v>-1.02</v>
      </c>
      <c r="G1587">
        <v>4.33</v>
      </c>
      <c r="H1587">
        <v>8.17</v>
      </c>
      <c r="I1587">
        <v>0.78</v>
      </c>
      <c r="J1587">
        <v>1.33</v>
      </c>
      <c r="K1587">
        <v>5.62</v>
      </c>
      <c r="L1587">
        <v>10.11</v>
      </c>
      <c r="M1587">
        <v>21.92</v>
      </c>
      <c r="N1587">
        <v>26.27</v>
      </c>
    </row>
    <row r="1588" spans="1:14">
      <c r="A1588" s="2" t="s">
        <v>1616</v>
      </c>
      <c r="B1588" t="s">
        <v>5409</v>
      </c>
      <c r="C1588">
        <v>-8.2799999999999994</v>
      </c>
      <c r="D1588">
        <v>1.1100000000000001</v>
      </c>
      <c r="E1588">
        <v>-3.46</v>
      </c>
      <c r="F1588">
        <v>-6.06</v>
      </c>
      <c r="G1588">
        <v>3.02</v>
      </c>
      <c r="H1588">
        <v>2.23</v>
      </c>
      <c r="I1588">
        <v>-13.11</v>
      </c>
      <c r="J1588">
        <v>-3.27</v>
      </c>
      <c r="K1588">
        <v>-4.13</v>
      </c>
      <c r="L1588">
        <v>-22.64</v>
      </c>
      <c r="M1588">
        <v>-20.61</v>
      </c>
      <c r="N1588">
        <v>-6.68</v>
      </c>
    </row>
    <row r="1589" spans="1:14">
      <c r="A1589" s="2" t="s">
        <v>1617</v>
      </c>
      <c r="B1589" t="s">
        <v>5410</v>
      </c>
      <c r="C1589">
        <v>-35.590000000000003</v>
      </c>
      <c r="D1589">
        <v>8.0299999999999994</v>
      </c>
      <c r="E1589">
        <v>11.27</v>
      </c>
      <c r="F1589">
        <v>-5.56</v>
      </c>
      <c r="G1589">
        <v>3.54</v>
      </c>
      <c r="H1589">
        <v>7.47</v>
      </c>
      <c r="I1589">
        <v>11.38</v>
      </c>
      <c r="J1589">
        <v>4.63</v>
      </c>
      <c r="K1589">
        <v>8.8699999999999992</v>
      </c>
      <c r="L1589">
        <v>0.83</v>
      </c>
      <c r="M1589">
        <v>18.239999999999998</v>
      </c>
      <c r="N1589">
        <v>39.86</v>
      </c>
    </row>
    <row r="1590" spans="1:14">
      <c r="A1590" s="2" t="s">
        <v>1618</v>
      </c>
      <c r="B1590" t="s">
        <v>5411</v>
      </c>
      <c r="C1590">
        <v>2.89</v>
      </c>
      <c r="D1590">
        <v>1.48</v>
      </c>
      <c r="E1590">
        <v>2.81</v>
      </c>
      <c r="F1590">
        <v>2.6</v>
      </c>
      <c r="G1590">
        <v>3.95</v>
      </c>
      <c r="H1590">
        <v>0.11</v>
      </c>
      <c r="I1590">
        <v>78.78</v>
      </c>
      <c r="J1590">
        <v>62.75</v>
      </c>
      <c r="K1590">
        <v>51.52</v>
      </c>
      <c r="L1590">
        <v>40.81</v>
      </c>
      <c r="M1590">
        <v>29.59</v>
      </c>
      <c r="N1590">
        <v>46.46</v>
      </c>
    </row>
    <row r="1591" spans="1:14">
      <c r="A1591" s="2" t="s">
        <v>1619</v>
      </c>
      <c r="B1591" t="s">
        <v>5412</v>
      </c>
      <c r="C1591">
        <v>-24.87</v>
      </c>
      <c r="D1591">
        <v>44.4</v>
      </c>
      <c r="E1591">
        <v>-23.45</v>
      </c>
      <c r="F1591">
        <v>21.64</v>
      </c>
      <c r="G1591">
        <v>-16.03</v>
      </c>
      <c r="H1591">
        <v>11.69</v>
      </c>
      <c r="I1591">
        <v>-23.72</v>
      </c>
      <c r="J1591">
        <v>39.06</v>
      </c>
      <c r="K1591">
        <v>-15.25</v>
      </c>
      <c r="L1591">
        <v>46.26</v>
      </c>
      <c r="M1591">
        <v>37.06</v>
      </c>
      <c r="N1591">
        <v>49.76</v>
      </c>
    </row>
    <row r="1592" spans="1:14">
      <c r="A1592" s="2" t="s">
        <v>1620</v>
      </c>
      <c r="B1592" t="s">
        <v>5413</v>
      </c>
      <c r="F1592">
        <v>-100</v>
      </c>
      <c r="H1592">
        <v>-100</v>
      </c>
      <c r="J1592">
        <v>-100</v>
      </c>
    </row>
    <row r="1593" spans="1:14">
      <c r="A1593" s="2" t="s">
        <v>1621</v>
      </c>
      <c r="B1593" t="s">
        <v>5414</v>
      </c>
      <c r="C1593">
        <v>14.32</v>
      </c>
      <c r="D1593">
        <v>7.08</v>
      </c>
      <c r="E1593">
        <v>6.52</v>
      </c>
      <c r="F1593">
        <v>3.72</v>
      </c>
      <c r="G1593">
        <v>-0.64</v>
      </c>
      <c r="H1593">
        <v>-7.62</v>
      </c>
      <c r="I1593">
        <v>2.39</v>
      </c>
      <c r="J1593">
        <v>-7.3</v>
      </c>
      <c r="K1593">
        <v>12.43</v>
      </c>
      <c r="L1593">
        <v>28.9</v>
      </c>
      <c r="M1593">
        <v>19.54</v>
      </c>
      <c r="N1593">
        <v>35.54</v>
      </c>
    </row>
    <row r="1594" spans="1:14">
      <c r="A1594" s="2" t="s">
        <v>1622</v>
      </c>
      <c r="B1594" t="s">
        <v>5415</v>
      </c>
      <c r="C1594">
        <v>6.09</v>
      </c>
      <c r="D1594">
        <v>-4.5199999999999996</v>
      </c>
      <c r="E1594">
        <v>-0.53</v>
      </c>
      <c r="F1594">
        <v>6.05</v>
      </c>
      <c r="G1594">
        <v>-2.42</v>
      </c>
      <c r="H1594">
        <v>0.98</v>
      </c>
      <c r="I1594">
        <v>-16.190000000000001</v>
      </c>
      <c r="J1594">
        <v>-17.62</v>
      </c>
      <c r="K1594">
        <v>-18.28</v>
      </c>
      <c r="L1594">
        <v>-8.42</v>
      </c>
      <c r="M1594">
        <v>-17.489999999999998</v>
      </c>
      <c r="N1594">
        <v>10.54</v>
      </c>
    </row>
    <row r="1595" spans="1:14">
      <c r="A1595" s="2" t="s">
        <v>1623</v>
      </c>
      <c r="B1595" t="s">
        <v>5416</v>
      </c>
      <c r="C1595">
        <v>-3.97</v>
      </c>
      <c r="D1595">
        <v>0.77</v>
      </c>
      <c r="E1595">
        <v>-9.69</v>
      </c>
      <c r="F1595">
        <v>5.86</v>
      </c>
      <c r="G1595">
        <v>7.17</v>
      </c>
      <c r="H1595">
        <v>1.5</v>
      </c>
      <c r="I1595">
        <v>-6.46</v>
      </c>
      <c r="J1595">
        <v>-10.38</v>
      </c>
      <c r="K1595">
        <v>-13.41</v>
      </c>
      <c r="L1595">
        <v>7.0000000000000007E-2</v>
      </c>
      <c r="M1595">
        <v>-7.28</v>
      </c>
      <c r="N1595">
        <v>2.36</v>
      </c>
    </row>
    <row r="1596" spans="1:14">
      <c r="A1596" s="2" t="s">
        <v>1624</v>
      </c>
      <c r="B1596" t="s">
        <v>5417</v>
      </c>
      <c r="C1596">
        <v>2.25</v>
      </c>
      <c r="D1596">
        <v>17.88</v>
      </c>
      <c r="E1596">
        <v>-15.96</v>
      </c>
      <c r="F1596">
        <v>-15.75</v>
      </c>
      <c r="G1596">
        <v>76.58</v>
      </c>
      <c r="H1596">
        <v>-41.07</v>
      </c>
      <c r="I1596">
        <v>15.51</v>
      </c>
      <c r="J1596">
        <v>22.08</v>
      </c>
      <c r="K1596">
        <v>14.13</v>
      </c>
      <c r="L1596">
        <v>13.15</v>
      </c>
      <c r="M1596">
        <v>25.21</v>
      </c>
      <c r="N1596">
        <v>13.37</v>
      </c>
    </row>
    <row r="1597" spans="1:14">
      <c r="A1597" s="2" t="s">
        <v>1625</v>
      </c>
      <c r="B1597" t="s">
        <v>5418</v>
      </c>
      <c r="C1597">
        <v>-10.09</v>
      </c>
      <c r="D1597">
        <v>-2.65</v>
      </c>
      <c r="E1597">
        <v>-5.28</v>
      </c>
      <c r="F1597">
        <v>-2.58</v>
      </c>
      <c r="G1597">
        <v>-16.86</v>
      </c>
      <c r="H1597">
        <v>35.99</v>
      </c>
      <c r="I1597">
        <v>-3.54</v>
      </c>
      <c r="J1597">
        <v>11.67</v>
      </c>
      <c r="K1597">
        <v>0.98</v>
      </c>
      <c r="L1597">
        <v>-0.41</v>
      </c>
      <c r="M1597">
        <v>0.79</v>
      </c>
      <c r="N1597">
        <v>9.64</v>
      </c>
    </row>
    <row r="1598" spans="1:14">
      <c r="A1598" s="2" t="s">
        <v>1626</v>
      </c>
      <c r="B1598" t="s">
        <v>5419</v>
      </c>
      <c r="C1598">
        <v>-70.44</v>
      </c>
      <c r="D1598">
        <v>54.36</v>
      </c>
      <c r="E1598">
        <v>69.48</v>
      </c>
      <c r="F1598">
        <v>-15.97</v>
      </c>
      <c r="G1598">
        <v>8.4</v>
      </c>
      <c r="H1598">
        <v>-15.45</v>
      </c>
      <c r="I1598">
        <v>-85.72</v>
      </c>
      <c r="J1598">
        <v>-76.86</v>
      </c>
      <c r="K1598">
        <v>-11.83</v>
      </c>
      <c r="L1598">
        <v>-10.14</v>
      </c>
      <c r="M1598">
        <v>-65.23</v>
      </c>
      <c r="N1598">
        <v>-47.21</v>
      </c>
    </row>
    <row r="1599" spans="1:14">
      <c r="A1599" s="2" t="s">
        <v>1627</v>
      </c>
      <c r="B1599" t="s">
        <v>5420</v>
      </c>
      <c r="C1599">
        <v>1.51</v>
      </c>
      <c r="D1599">
        <v>13.69</v>
      </c>
      <c r="E1599">
        <v>22.14</v>
      </c>
      <c r="F1599">
        <v>7.33</v>
      </c>
      <c r="G1599">
        <v>8.39</v>
      </c>
      <c r="H1599">
        <v>-46.26</v>
      </c>
      <c r="I1599">
        <v>51.61</v>
      </c>
      <c r="J1599">
        <v>63.64</v>
      </c>
      <c r="K1599">
        <v>40.26</v>
      </c>
      <c r="L1599">
        <v>45.74</v>
      </c>
      <c r="M1599">
        <v>-32.01</v>
      </c>
      <c r="N1599">
        <v>15</v>
      </c>
    </row>
    <row r="1600" spans="1:14">
      <c r="A1600" s="2" t="s">
        <v>1628</v>
      </c>
      <c r="B1600" t="s">
        <v>5421</v>
      </c>
      <c r="C1600">
        <v>7.45</v>
      </c>
      <c r="D1600">
        <v>-4.33</v>
      </c>
      <c r="E1600">
        <v>-2.35</v>
      </c>
      <c r="F1600">
        <v>3.07</v>
      </c>
      <c r="G1600">
        <v>2.87</v>
      </c>
      <c r="H1600">
        <v>-0.87</v>
      </c>
      <c r="I1600">
        <v>12.19</v>
      </c>
      <c r="J1600">
        <v>7.18</v>
      </c>
      <c r="K1600">
        <v>-2.09</v>
      </c>
      <c r="L1600">
        <v>7.18</v>
      </c>
      <c r="M1600">
        <v>17.440000000000001</v>
      </c>
      <c r="N1600">
        <v>-0.39</v>
      </c>
    </row>
    <row r="1601" spans="1:14">
      <c r="A1601" s="2" t="s">
        <v>1629</v>
      </c>
      <c r="B1601" t="s">
        <v>5422</v>
      </c>
      <c r="C1601">
        <v>8.6</v>
      </c>
      <c r="D1601">
        <v>-2.34</v>
      </c>
      <c r="E1601">
        <v>-19.510000000000002</v>
      </c>
      <c r="F1601">
        <v>5.38</v>
      </c>
      <c r="G1601">
        <v>9.26</v>
      </c>
      <c r="H1601">
        <v>-3.63</v>
      </c>
      <c r="I1601">
        <v>21.42</v>
      </c>
      <c r="J1601">
        <v>20.29</v>
      </c>
      <c r="K1601">
        <v>1.9</v>
      </c>
      <c r="L1601">
        <v>9.2200000000000006</v>
      </c>
      <c r="M1601">
        <v>5.96</v>
      </c>
      <c r="N1601">
        <v>7.24</v>
      </c>
    </row>
    <row r="1602" spans="1:14">
      <c r="A1602" s="2" t="s">
        <v>1630</v>
      </c>
      <c r="B1602" t="s">
        <v>5423</v>
      </c>
      <c r="C1602">
        <v>1.96</v>
      </c>
      <c r="D1602">
        <v>-31.99</v>
      </c>
      <c r="E1602">
        <v>38.56</v>
      </c>
      <c r="F1602">
        <v>-51.24</v>
      </c>
      <c r="G1602">
        <v>72.290000000000006</v>
      </c>
      <c r="I1602">
        <v>-29.59</v>
      </c>
      <c r="J1602">
        <v>-50.67</v>
      </c>
      <c r="K1602">
        <v>32.29</v>
      </c>
      <c r="L1602">
        <v>-62.57</v>
      </c>
      <c r="M1602">
        <v>-14.89</v>
      </c>
    </row>
    <row r="1603" spans="1:14">
      <c r="A1603" s="2" t="s">
        <v>1631</v>
      </c>
      <c r="B1603" t="s">
        <v>5424</v>
      </c>
      <c r="C1603">
        <v>1.87</v>
      </c>
      <c r="D1603">
        <v>3.14</v>
      </c>
      <c r="E1603">
        <v>6.92</v>
      </c>
      <c r="F1603">
        <v>13.67</v>
      </c>
      <c r="G1603">
        <v>-19.95</v>
      </c>
      <c r="H1603">
        <v>18.260000000000002</v>
      </c>
      <c r="I1603">
        <v>96.76</v>
      </c>
      <c r="J1603">
        <v>58.24</v>
      </c>
      <c r="K1603">
        <v>43.38</v>
      </c>
      <c r="L1603">
        <v>47.27</v>
      </c>
      <c r="M1603">
        <v>39.340000000000003</v>
      </c>
      <c r="N1603">
        <v>115.76</v>
      </c>
    </row>
    <row r="1604" spans="1:14">
      <c r="A1604" s="2" t="s">
        <v>1632</v>
      </c>
      <c r="B1604" t="s">
        <v>5425</v>
      </c>
      <c r="C1604">
        <v>10.33</v>
      </c>
      <c r="D1604">
        <v>278.52999999999997</v>
      </c>
      <c r="E1604">
        <v>-71.33</v>
      </c>
      <c r="F1604">
        <v>-65.040000000000006</v>
      </c>
      <c r="G1604">
        <v>210.36</v>
      </c>
      <c r="I1604">
        <v>11.04</v>
      </c>
      <c r="J1604">
        <v>520.21</v>
      </c>
      <c r="K1604">
        <v>-43.81</v>
      </c>
      <c r="L1604">
        <v>-78.61</v>
      </c>
      <c r="M1604">
        <v>-53.27</v>
      </c>
    </row>
    <row r="1605" spans="1:14">
      <c r="A1605" s="2" t="s">
        <v>1633</v>
      </c>
      <c r="B1605" t="s">
        <v>5426</v>
      </c>
      <c r="C1605">
        <v>13.69</v>
      </c>
      <c r="D1605">
        <v>28.19</v>
      </c>
      <c r="E1605">
        <v>-9.2899999999999991</v>
      </c>
      <c r="F1605">
        <v>-5.96</v>
      </c>
      <c r="G1605">
        <v>4.8099999999999996</v>
      </c>
      <c r="H1605">
        <v>-10.84</v>
      </c>
      <c r="I1605">
        <v>-23.45</v>
      </c>
      <c r="J1605">
        <v>-18.739999999999998</v>
      </c>
      <c r="K1605">
        <v>-26.4</v>
      </c>
      <c r="L1605">
        <v>-28.93</v>
      </c>
      <c r="M1605">
        <v>-22.6</v>
      </c>
      <c r="N1605">
        <v>-21.38</v>
      </c>
    </row>
    <row r="1606" spans="1:14">
      <c r="A1606" s="2" t="s">
        <v>1634</v>
      </c>
      <c r="B1606" t="s">
        <v>5427</v>
      </c>
      <c r="C1606">
        <v>-13.56</v>
      </c>
      <c r="D1606">
        <v>17.3</v>
      </c>
      <c r="E1606">
        <v>-12.25</v>
      </c>
      <c r="F1606">
        <v>-21.38</v>
      </c>
      <c r="G1606">
        <v>113.42</v>
      </c>
      <c r="H1606">
        <v>30.24</v>
      </c>
      <c r="I1606">
        <v>9.92</v>
      </c>
      <c r="J1606">
        <v>-6.37</v>
      </c>
      <c r="K1606">
        <v>1.1499999999999999</v>
      </c>
      <c r="L1606">
        <v>19.72</v>
      </c>
      <c r="M1606">
        <v>21.21</v>
      </c>
      <c r="N1606">
        <v>33.18</v>
      </c>
    </row>
    <row r="1607" spans="1:14">
      <c r="A1607" s="2" t="s">
        <v>1635</v>
      </c>
      <c r="B1607" t="s">
        <v>5428</v>
      </c>
      <c r="C1607">
        <v>-7.52</v>
      </c>
      <c r="D1607">
        <v>0.94</v>
      </c>
      <c r="E1607">
        <v>-13.47</v>
      </c>
      <c r="F1607">
        <v>-10.27</v>
      </c>
      <c r="G1607">
        <v>14.32</v>
      </c>
      <c r="H1607">
        <v>14.22</v>
      </c>
      <c r="I1607">
        <v>-9.8000000000000007</v>
      </c>
      <c r="J1607">
        <v>-24.44</v>
      </c>
      <c r="K1607">
        <v>-28.61</v>
      </c>
      <c r="L1607">
        <v>-28.82</v>
      </c>
      <c r="M1607">
        <v>-11.42</v>
      </c>
      <c r="N1607">
        <v>-2.79</v>
      </c>
    </row>
    <row r="1608" spans="1:14">
      <c r="A1608" s="2" t="s">
        <v>1636</v>
      </c>
      <c r="B1608" t="s">
        <v>5429</v>
      </c>
      <c r="C1608">
        <v>0.19</v>
      </c>
      <c r="D1608">
        <v>4.0199999999999996</v>
      </c>
      <c r="E1608">
        <v>-15.62</v>
      </c>
      <c r="F1608">
        <v>3.16</v>
      </c>
      <c r="G1608">
        <v>-0.78</v>
      </c>
      <c r="H1608">
        <v>-30.91</v>
      </c>
      <c r="I1608">
        <v>86.24</v>
      </c>
      <c r="J1608">
        <v>77.22</v>
      </c>
      <c r="K1608">
        <v>80.97</v>
      </c>
      <c r="L1608">
        <v>60.22</v>
      </c>
      <c r="M1608">
        <v>6.66</v>
      </c>
      <c r="N1608">
        <v>28.21</v>
      </c>
    </row>
    <row r="1609" spans="1:14">
      <c r="A1609" s="2" t="s">
        <v>1637</v>
      </c>
      <c r="B1609" t="s">
        <v>5430</v>
      </c>
      <c r="C1609">
        <v>6.09</v>
      </c>
      <c r="D1609">
        <v>-14.24</v>
      </c>
      <c r="E1609">
        <v>0.34</v>
      </c>
      <c r="F1609">
        <v>22.47</v>
      </c>
      <c r="G1609">
        <v>0.78</v>
      </c>
      <c r="H1609">
        <v>-9.76</v>
      </c>
      <c r="I1609">
        <v>41.17</v>
      </c>
      <c r="J1609">
        <v>21.42</v>
      </c>
      <c r="K1609">
        <v>48.16</v>
      </c>
      <c r="L1609">
        <v>5.5</v>
      </c>
      <c r="M1609">
        <v>-0.59</v>
      </c>
      <c r="N1609">
        <v>6.29</v>
      </c>
    </row>
    <row r="1610" spans="1:14">
      <c r="A1610" s="2" t="s">
        <v>1638</v>
      </c>
      <c r="B1610" t="s">
        <v>5431</v>
      </c>
      <c r="C1610">
        <v>0.88</v>
      </c>
      <c r="D1610">
        <v>0.53</v>
      </c>
      <c r="E1610">
        <v>-11.36</v>
      </c>
      <c r="F1610">
        <v>20.74</v>
      </c>
      <c r="G1610">
        <v>3.06</v>
      </c>
      <c r="H1610">
        <v>-5.35</v>
      </c>
      <c r="I1610">
        <v>12.68</v>
      </c>
      <c r="J1610">
        <v>16.239999999999998</v>
      </c>
      <c r="K1610">
        <v>6.74</v>
      </c>
      <c r="L1610">
        <v>22.96</v>
      </c>
      <c r="M1610">
        <v>22.12</v>
      </c>
      <c r="N1610">
        <v>25.49</v>
      </c>
    </row>
    <row r="1611" spans="1:14">
      <c r="A1611" s="2" t="s">
        <v>1639</v>
      </c>
      <c r="B1611" t="s">
        <v>5432</v>
      </c>
      <c r="C1611">
        <v>-5.84</v>
      </c>
      <c r="D1611">
        <v>-15.26</v>
      </c>
      <c r="E1611">
        <v>-8.3800000000000008</v>
      </c>
      <c r="F1611">
        <v>2.35</v>
      </c>
      <c r="G1611">
        <v>0.56999999999999995</v>
      </c>
      <c r="H1611">
        <v>-0.89</v>
      </c>
      <c r="I1611">
        <v>129.13999999999999</v>
      </c>
      <c r="J1611">
        <v>84.25</v>
      </c>
      <c r="K1611">
        <v>77.260000000000005</v>
      </c>
      <c r="L1611">
        <v>110.97</v>
      </c>
      <c r="M1611">
        <v>56.04</v>
      </c>
      <c r="N1611">
        <v>72.040000000000006</v>
      </c>
    </row>
    <row r="1612" spans="1:14">
      <c r="A1612" s="2" t="s">
        <v>1640</v>
      </c>
      <c r="B1612" t="s">
        <v>5433</v>
      </c>
      <c r="C1612">
        <v>-7.74</v>
      </c>
      <c r="D1612">
        <v>-1.56</v>
      </c>
      <c r="E1612">
        <v>-12.43</v>
      </c>
      <c r="F1612">
        <v>9.74</v>
      </c>
      <c r="G1612">
        <v>2.38</v>
      </c>
      <c r="H1612">
        <v>20.7</v>
      </c>
      <c r="I1612">
        <v>-4.93</v>
      </c>
      <c r="J1612">
        <v>11.51</v>
      </c>
      <c r="K1612">
        <v>11.62</v>
      </c>
      <c r="L1612">
        <v>-11.04</v>
      </c>
      <c r="M1612">
        <v>2.41</v>
      </c>
      <c r="N1612">
        <v>23.32</v>
      </c>
    </row>
    <row r="1613" spans="1:14">
      <c r="A1613" s="2" t="s">
        <v>1641</v>
      </c>
      <c r="B1613" t="s">
        <v>5434</v>
      </c>
      <c r="C1613">
        <v>-21.88</v>
      </c>
      <c r="D1613">
        <v>5.04</v>
      </c>
      <c r="E1613">
        <v>-4.12</v>
      </c>
      <c r="F1613">
        <v>-14.63</v>
      </c>
      <c r="G1613">
        <v>14.29</v>
      </c>
      <c r="H1613">
        <v>22.84</v>
      </c>
      <c r="I1613">
        <v>-12.05</v>
      </c>
      <c r="J1613">
        <v>-1.29</v>
      </c>
      <c r="K1613">
        <v>-9.36</v>
      </c>
      <c r="L1613">
        <v>-27.15</v>
      </c>
      <c r="M1613">
        <v>-12.89</v>
      </c>
      <c r="N1613">
        <v>1.41</v>
      </c>
    </row>
    <row r="1614" spans="1:14">
      <c r="A1614" s="2" t="s">
        <v>1642</v>
      </c>
      <c r="B1614" t="s">
        <v>5435</v>
      </c>
      <c r="E1614">
        <v>-100</v>
      </c>
      <c r="H1614">
        <v>-100</v>
      </c>
      <c r="J1614">
        <v>-78.98</v>
      </c>
      <c r="K1614">
        <v>-100</v>
      </c>
      <c r="L1614">
        <v>-100</v>
      </c>
    </row>
    <row r="1615" spans="1:14">
      <c r="A1615" s="2" t="s">
        <v>1643</v>
      </c>
      <c r="B1615" t="s">
        <v>5436</v>
      </c>
      <c r="C1615">
        <v>-1.57</v>
      </c>
      <c r="D1615">
        <v>3.63</v>
      </c>
      <c r="E1615">
        <v>-11.58</v>
      </c>
      <c r="F1615">
        <v>15.85</v>
      </c>
      <c r="G1615">
        <v>10.029999999999999</v>
      </c>
      <c r="H1615">
        <v>-11.18</v>
      </c>
      <c r="I1615">
        <v>-4.1399999999999997</v>
      </c>
      <c r="J1615">
        <v>13.34</v>
      </c>
      <c r="K1615">
        <v>-4.01</v>
      </c>
      <c r="L1615">
        <v>19.59</v>
      </c>
      <c r="M1615">
        <v>40.340000000000003</v>
      </c>
      <c r="N1615">
        <v>16.27</v>
      </c>
    </row>
    <row r="1616" spans="1:14">
      <c r="A1616" s="2" t="s">
        <v>1644</v>
      </c>
      <c r="B1616" t="s">
        <v>5437</v>
      </c>
      <c r="C1616">
        <v>-26.27</v>
      </c>
      <c r="D1616">
        <v>4.05</v>
      </c>
      <c r="E1616">
        <v>65.81</v>
      </c>
      <c r="F1616">
        <v>62.35</v>
      </c>
      <c r="G1616">
        <v>-25.13</v>
      </c>
      <c r="H1616">
        <v>-39.1</v>
      </c>
      <c r="I1616">
        <v>-37.81</v>
      </c>
      <c r="J1616">
        <v>-31.5</v>
      </c>
      <c r="K1616">
        <v>7.29</v>
      </c>
      <c r="L1616">
        <v>55.23</v>
      </c>
      <c r="M1616">
        <v>36.26</v>
      </c>
      <c r="N1616">
        <v>34.56</v>
      </c>
    </row>
    <row r="1617" spans="1:14">
      <c r="A1617" s="2" t="s">
        <v>1645</v>
      </c>
      <c r="B1617" t="s">
        <v>5438</v>
      </c>
      <c r="C1617">
        <v>-7.33</v>
      </c>
      <c r="D1617">
        <v>9.25</v>
      </c>
      <c r="E1617">
        <v>-11.17</v>
      </c>
      <c r="F1617">
        <v>15.6</v>
      </c>
      <c r="G1617">
        <v>-8.9499999999999993</v>
      </c>
      <c r="I1617">
        <v>2.88</v>
      </c>
      <c r="J1617">
        <v>35.299999999999997</v>
      </c>
      <c r="K1617">
        <v>8.1</v>
      </c>
      <c r="L1617">
        <v>37.340000000000003</v>
      </c>
      <c r="M1617">
        <v>30.45</v>
      </c>
    </row>
    <row r="1618" spans="1:14">
      <c r="A1618" s="2" t="s">
        <v>1646</v>
      </c>
      <c r="B1618" t="s">
        <v>5439</v>
      </c>
      <c r="C1618">
        <v>7.81</v>
      </c>
      <c r="D1618">
        <v>-10.81</v>
      </c>
      <c r="E1618">
        <v>4.7300000000000004</v>
      </c>
      <c r="F1618">
        <v>-0.19</v>
      </c>
      <c r="G1618">
        <v>7.52</v>
      </c>
      <c r="H1618">
        <v>-7.02</v>
      </c>
      <c r="I1618">
        <v>4.6500000000000004</v>
      </c>
      <c r="J1618">
        <v>-3.61</v>
      </c>
      <c r="K1618">
        <v>2.02</v>
      </c>
      <c r="L1618">
        <v>0.75</v>
      </c>
      <c r="M1618">
        <v>0.32</v>
      </c>
      <c r="N1618">
        <v>-9.8699999999999992</v>
      </c>
    </row>
    <row r="1619" spans="1:14">
      <c r="A1619" s="2" t="s">
        <v>1647</v>
      </c>
      <c r="B1619" t="s">
        <v>5440</v>
      </c>
      <c r="C1619">
        <v>-3.38</v>
      </c>
      <c r="D1619">
        <v>-17.71</v>
      </c>
      <c r="E1619">
        <v>52.61</v>
      </c>
      <c r="F1619">
        <v>-18.95</v>
      </c>
      <c r="G1619">
        <v>43.18</v>
      </c>
      <c r="H1619">
        <v>-46.66</v>
      </c>
      <c r="I1619">
        <v>3.68</v>
      </c>
      <c r="J1619">
        <v>-22.7</v>
      </c>
      <c r="K1619">
        <v>32.46</v>
      </c>
      <c r="L1619">
        <v>-13.46</v>
      </c>
      <c r="M1619">
        <v>12.19</v>
      </c>
      <c r="N1619">
        <v>6.34</v>
      </c>
    </row>
    <row r="1620" spans="1:14">
      <c r="A1620" s="2" t="s">
        <v>1648</v>
      </c>
      <c r="B1620" t="s">
        <v>5441</v>
      </c>
      <c r="C1620">
        <v>5.27</v>
      </c>
      <c r="D1620">
        <v>25.1</v>
      </c>
      <c r="E1620">
        <v>7.69</v>
      </c>
      <c r="F1620">
        <v>21.85</v>
      </c>
      <c r="G1620">
        <v>-17.61</v>
      </c>
      <c r="H1620">
        <v>-67.91</v>
      </c>
      <c r="I1620">
        <v>-39.04</v>
      </c>
      <c r="J1620">
        <v>-36.159999999999997</v>
      </c>
      <c r="K1620">
        <v>-35.340000000000003</v>
      </c>
      <c r="L1620">
        <v>-42.78</v>
      </c>
      <c r="M1620">
        <v>-3.62</v>
      </c>
      <c r="N1620">
        <v>-60.14</v>
      </c>
    </row>
    <row r="1621" spans="1:14">
      <c r="A1621" s="2" t="s">
        <v>1649</v>
      </c>
      <c r="B1621" t="s">
        <v>5442</v>
      </c>
      <c r="C1621">
        <v>-17.05</v>
      </c>
      <c r="D1621">
        <v>9.17</v>
      </c>
      <c r="E1621">
        <v>6.21</v>
      </c>
      <c r="F1621">
        <v>12.24</v>
      </c>
      <c r="G1621">
        <v>13.5</v>
      </c>
      <c r="H1621">
        <v>-30.35</v>
      </c>
      <c r="I1621">
        <v>-26.21</v>
      </c>
      <c r="J1621">
        <v>-12.61</v>
      </c>
      <c r="K1621">
        <v>-11.98</v>
      </c>
      <c r="L1621">
        <v>-29.18</v>
      </c>
      <c r="M1621">
        <v>21</v>
      </c>
      <c r="N1621">
        <v>-43.44</v>
      </c>
    </row>
    <row r="1622" spans="1:14">
      <c r="A1622" s="2" t="s">
        <v>1650</v>
      </c>
      <c r="B1622" t="s">
        <v>5443</v>
      </c>
      <c r="C1622">
        <v>6.99</v>
      </c>
      <c r="D1622">
        <v>4.05</v>
      </c>
      <c r="E1622">
        <v>40.81</v>
      </c>
      <c r="F1622">
        <v>-7.5</v>
      </c>
      <c r="G1622">
        <v>-14.44</v>
      </c>
      <c r="H1622">
        <v>-14.51</v>
      </c>
      <c r="I1622">
        <v>-4.45</v>
      </c>
      <c r="J1622">
        <v>1.07</v>
      </c>
      <c r="K1622">
        <v>16.420000000000002</v>
      </c>
      <c r="L1622">
        <v>4.25</v>
      </c>
      <c r="M1622">
        <v>-13.61</v>
      </c>
      <c r="N1622">
        <v>-1.07</v>
      </c>
    </row>
    <row r="1623" spans="1:14">
      <c r="A1623" s="2" t="s">
        <v>1651</v>
      </c>
      <c r="B1623" t="s">
        <v>5444</v>
      </c>
      <c r="C1623">
        <v>8.19</v>
      </c>
      <c r="D1623">
        <v>-12.21</v>
      </c>
      <c r="E1623">
        <v>-5.61</v>
      </c>
      <c r="F1623">
        <v>25.92</v>
      </c>
      <c r="G1623">
        <v>8.69</v>
      </c>
      <c r="H1623">
        <v>4.95</v>
      </c>
      <c r="I1623">
        <v>14.69</v>
      </c>
      <c r="J1623">
        <v>-26.94</v>
      </c>
      <c r="K1623">
        <v>0.44</v>
      </c>
      <c r="L1623">
        <v>-11.5</v>
      </c>
      <c r="M1623">
        <v>-3.19</v>
      </c>
      <c r="N1623">
        <v>2.08</v>
      </c>
    </row>
    <row r="1624" spans="1:14">
      <c r="A1624" s="2" t="s">
        <v>1652</v>
      </c>
      <c r="B1624" t="s">
        <v>5445</v>
      </c>
      <c r="C1624">
        <v>4.46</v>
      </c>
      <c r="D1624">
        <v>2.65</v>
      </c>
      <c r="E1624">
        <v>20.91</v>
      </c>
      <c r="F1624">
        <v>-11.76</v>
      </c>
      <c r="G1624">
        <v>6.54</v>
      </c>
      <c r="H1624">
        <v>18.3</v>
      </c>
      <c r="I1624">
        <v>23.97</v>
      </c>
      <c r="J1624">
        <v>14.51</v>
      </c>
      <c r="K1624">
        <v>43.12</v>
      </c>
      <c r="L1624">
        <v>18.420000000000002</v>
      </c>
      <c r="M1624">
        <v>6.11</v>
      </c>
      <c r="N1624">
        <v>45.48</v>
      </c>
    </row>
    <row r="1625" spans="1:14">
      <c r="A1625" s="2" t="s">
        <v>1653</v>
      </c>
      <c r="B1625" t="s">
        <v>5446</v>
      </c>
      <c r="C1625">
        <v>14.16</v>
      </c>
      <c r="D1625">
        <v>5.7</v>
      </c>
      <c r="E1625">
        <v>-7.49</v>
      </c>
      <c r="F1625">
        <v>6.69</v>
      </c>
      <c r="G1625">
        <v>-12.42</v>
      </c>
      <c r="H1625">
        <v>16.8</v>
      </c>
      <c r="I1625">
        <v>-21.24</v>
      </c>
      <c r="J1625">
        <v>-12.05</v>
      </c>
      <c r="K1625">
        <v>-10.6</v>
      </c>
      <c r="L1625">
        <v>-14.8</v>
      </c>
      <c r="M1625">
        <v>-2.4500000000000002</v>
      </c>
      <c r="N1625">
        <v>-1.1299999999999999</v>
      </c>
    </row>
    <row r="1626" spans="1:14">
      <c r="A1626" s="2" t="s">
        <v>1654</v>
      </c>
      <c r="B1626" t="s">
        <v>5447</v>
      </c>
      <c r="C1626">
        <v>-6.01</v>
      </c>
      <c r="D1626">
        <v>27.24</v>
      </c>
      <c r="E1626">
        <v>-12.16</v>
      </c>
      <c r="F1626">
        <v>21</v>
      </c>
      <c r="G1626">
        <v>36.86</v>
      </c>
      <c r="H1626">
        <v>-11.38</v>
      </c>
      <c r="I1626">
        <v>-30.48</v>
      </c>
      <c r="J1626">
        <v>-29.56</v>
      </c>
      <c r="K1626">
        <v>-26.01</v>
      </c>
      <c r="L1626">
        <v>-28.79</v>
      </c>
      <c r="M1626">
        <v>-17.48</v>
      </c>
      <c r="N1626">
        <v>-5.22</v>
      </c>
    </row>
    <row r="1627" spans="1:14">
      <c r="A1627" s="2" t="s">
        <v>1655</v>
      </c>
      <c r="B1627" t="s">
        <v>5448</v>
      </c>
      <c r="C1627">
        <v>-2.82</v>
      </c>
      <c r="D1627">
        <v>23.58</v>
      </c>
      <c r="E1627">
        <v>-36.869999999999997</v>
      </c>
      <c r="F1627">
        <v>17.62</v>
      </c>
      <c r="G1627">
        <v>55.73</v>
      </c>
      <c r="H1627">
        <v>-64.39</v>
      </c>
      <c r="I1627">
        <v>-3.86</v>
      </c>
      <c r="J1627">
        <v>-29.67</v>
      </c>
      <c r="K1627">
        <v>-31.57</v>
      </c>
      <c r="L1627">
        <v>-38.68</v>
      </c>
      <c r="M1627">
        <v>-41.45</v>
      </c>
      <c r="N1627">
        <v>-47.24</v>
      </c>
    </row>
    <row r="1628" spans="1:14">
      <c r="A1628" s="2" t="s">
        <v>1656</v>
      </c>
      <c r="B1628" t="s">
        <v>5449</v>
      </c>
      <c r="C1628">
        <v>-56.69</v>
      </c>
      <c r="D1628">
        <v>160.11000000000001</v>
      </c>
      <c r="E1628">
        <v>-35.4</v>
      </c>
      <c r="F1628">
        <v>-24.14</v>
      </c>
      <c r="G1628">
        <v>149.51</v>
      </c>
      <c r="H1628">
        <v>-65.319999999999993</v>
      </c>
      <c r="I1628">
        <v>76.83</v>
      </c>
      <c r="J1628">
        <v>276.45999999999998</v>
      </c>
      <c r="K1628">
        <v>32.9</v>
      </c>
      <c r="L1628">
        <v>53.13</v>
      </c>
      <c r="M1628">
        <v>112.13</v>
      </c>
      <c r="N1628">
        <v>23.19</v>
      </c>
    </row>
    <row r="1629" spans="1:14">
      <c r="A1629" s="2" t="s">
        <v>1657</v>
      </c>
      <c r="B1629" t="s">
        <v>5450</v>
      </c>
      <c r="C1629">
        <v>6.57</v>
      </c>
      <c r="D1629">
        <v>29.08</v>
      </c>
      <c r="E1629">
        <v>-22.09</v>
      </c>
      <c r="F1629">
        <v>31.22</v>
      </c>
      <c r="G1629">
        <v>-1.0900000000000001</v>
      </c>
      <c r="H1629">
        <v>-37.14</v>
      </c>
      <c r="I1629">
        <v>41.72</v>
      </c>
      <c r="J1629">
        <v>7.69</v>
      </c>
      <c r="K1629">
        <v>1.34</v>
      </c>
      <c r="L1629">
        <v>27.72</v>
      </c>
      <c r="M1629">
        <v>34.99</v>
      </c>
      <c r="N1629">
        <v>41.34</v>
      </c>
    </row>
    <row r="1630" spans="1:14">
      <c r="A1630" s="2" t="s">
        <v>1658</v>
      </c>
      <c r="B1630" t="s">
        <v>5451</v>
      </c>
      <c r="C1630">
        <v>308.31</v>
      </c>
      <c r="D1630">
        <v>-72.95</v>
      </c>
      <c r="E1630">
        <v>4.66</v>
      </c>
      <c r="F1630">
        <v>-7.61</v>
      </c>
      <c r="G1630">
        <v>6.22</v>
      </c>
      <c r="I1630">
        <v>2571.7399999999998</v>
      </c>
      <c r="J1630">
        <v>-84.77</v>
      </c>
      <c r="K1630">
        <v>-91.46</v>
      </c>
      <c r="L1630">
        <v>42.89</v>
      </c>
      <c r="M1630">
        <v>-44.34</v>
      </c>
    </row>
    <row r="1631" spans="1:14">
      <c r="A1631" s="2" t="s">
        <v>1659</v>
      </c>
      <c r="B1631" t="s">
        <v>5452</v>
      </c>
      <c r="C1631">
        <v>118.81</v>
      </c>
      <c r="D1631">
        <v>74.62</v>
      </c>
      <c r="E1631">
        <v>-16.239999999999998</v>
      </c>
      <c r="F1631">
        <v>-14.29</v>
      </c>
      <c r="G1631">
        <v>103.88</v>
      </c>
      <c r="I1631">
        <v>4.08</v>
      </c>
      <c r="J1631">
        <v>46.21</v>
      </c>
      <c r="K1631">
        <v>-1.34</v>
      </c>
      <c r="L1631">
        <v>-37.29</v>
      </c>
      <c r="M1631">
        <v>-13.74</v>
      </c>
    </row>
    <row r="1632" spans="1:14">
      <c r="A1632" s="2" t="s">
        <v>1660</v>
      </c>
      <c r="B1632" t="s">
        <v>5453</v>
      </c>
      <c r="C1632">
        <v>-55.35</v>
      </c>
      <c r="D1632">
        <v>156</v>
      </c>
      <c r="E1632">
        <v>-43.61</v>
      </c>
      <c r="F1632">
        <v>97.54</v>
      </c>
      <c r="G1632">
        <v>-10.01</v>
      </c>
      <c r="H1632">
        <v>389.16</v>
      </c>
      <c r="I1632">
        <v>-47.58</v>
      </c>
      <c r="J1632">
        <v>-2.95</v>
      </c>
      <c r="K1632">
        <v>-13.88</v>
      </c>
      <c r="L1632">
        <v>20.170000000000002</v>
      </c>
      <c r="M1632">
        <v>42.11</v>
      </c>
      <c r="N1632">
        <v>63.04</v>
      </c>
    </row>
    <row r="1633" spans="1:14">
      <c r="A1633" s="2" t="s">
        <v>1661</v>
      </c>
      <c r="B1633" t="s">
        <v>5454</v>
      </c>
      <c r="C1633">
        <v>-100</v>
      </c>
      <c r="G1633">
        <v>-95.59</v>
      </c>
      <c r="H1633">
        <v>-100</v>
      </c>
      <c r="J1633">
        <v>-100</v>
      </c>
      <c r="K1633">
        <v>-100</v>
      </c>
      <c r="M1633">
        <v>-54.45</v>
      </c>
    </row>
    <row r="1634" spans="1:14">
      <c r="A1634" s="2" t="s">
        <v>1662</v>
      </c>
      <c r="B1634" t="s">
        <v>5455</v>
      </c>
      <c r="C1634">
        <v>-43</v>
      </c>
      <c r="D1634">
        <v>39.020000000000003</v>
      </c>
      <c r="E1634">
        <v>-21.34</v>
      </c>
      <c r="F1634">
        <v>199.73</v>
      </c>
      <c r="G1634">
        <v>-47.37</v>
      </c>
      <c r="H1634">
        <v>-89.95</v>
      </c>
      <c r="I1634">
        <v>-30.11</v>
      </c>
      <c r="J1634">
        <v>22.88</v>
      </c>
      <c r="K1634">
        <v>1.49</v>
      </c>
      <c r="L1634">
        <v>-2.12</v>
      </c>
      <c r="M1634">
        <v>-38.590000000000003</v>
      </c>
      <c r="N1634">
        <v>-84.22</v>
      </c>
    </row>
    <row r="1635" spans="1:14">
      <c r="A1635" s="2" t="s">
        <v>1663</v>
      </c>
      <c r="B1635" t="s">
        <v>5456</v>
      </c>
      <c r="C1635">
        <v>2.58</v>
      </c>
      <c r="D1635">
        <v>0.19</v>
      </c>
      <c r="E1635">
        <v>0.05</v>
      </c>
      <c r="F1635">
        <v>0.06</v>
      </c>
      <c r="G1635">
        <v>0.19</v>
      </c>
      <c r="H1635">
        <v>0.06</v>
      </c>
      <c r="I1635">
        <v>17.82</v>
      </c>
      <c r="J1635">
        <v>20.78</v>
      </c>
      <c r="K1635">
        <v>12.08</v>
      </c>
      <c r="L1635">
        <v>4.04</v>
      </c>
      <c r="M1635">
        <v>10.79</v>
      </c>
      <c r="N1635">
        <v>15.19</v>
      </c>
    </row>
    <row r="1636" spans="1:14">
      <c r="A1636" s="2" t="s">
        <v>1664</v>
      </c>
      <c r="B1636" t="s">
        <v>5457</v>
      </c>
      <c r="C1636">
        <v>0.06</v>
      </c>
      <c r="D1636">
        <v>3.37</v>
      </c>
      <c r="E1636">
        <v>11.35</v>
      </c>
      <c r="F1636">
        <v>25.68</v>
      </c>
      <c r="G1636">
        <v>-4.76</v>
      </c>
      <c r="H1636">
        <v>-11.5</v>
      </c>
      <c r="I1636">
        <v>-16.43</v>
      </c>
      <c r="J1636">
        <v>-7.49</v>
      </c>
      <c r="K1636">
        <v>15.19</v>
      </c>
      <c r="L1636">
        <v>27.31</v>
      </c>
      <c r="M1636">
        <v>13.47</v>
      </c>
      <c r="N1636">
        <v>51.33</v>
      </c>
    </row>
    <row r="1637" spans="1:14">
      <c r="A1637" s="2" t="s">
        <v>1665</v>
      </c>
      <c r="B1637" t="s">
        <v>5458</v>
      </c>
      <c r="C1637">
        <v>6.72</v>
      </c>
      <c r="D1637">
        <v>-7.23</v>
      </c>
      <c r="E1637">
        <v>111.81</v>
      </c>
      <c r="F1637">
        <v>-19.45</v>
      </c>
      <c r="G1637">
        <v>56.55</v>
      </c>
      <c r="H1637">
        <v>-7.15</v>
      </c>
      <c r="I1637">
        <v>1200</v>
      </c>
      <c r="J1637">
        <v>1106.06</v>
      </c>
      <c r="K1637">
        <v>2454.5500000000002</v>
      </c>
      <c r="L1637">
        <v>237.81</v>
      </c>
      <c r="M1637">
        <v>3121.21</v>
      </c>
      <c r="N1637">
        <v>2890.91</v>
      </c>
    </row>
    <row r="1638" spans="1:14">
      <c r="A1638" s="2" t="s">
        <v>1666</v>
      </c>
      <c r="B1638" t="s">
        <v>5459</v>
      </c>
      <c r="C1638">
        <v>34.58</v>
      </c>
      <c r="D1638">
        <v>31.8</v>
      </c>
      <c r="E1638">
        <v>-40.090000000000003</v>
      </c>
      <c r="F1638">
        <v>37.75</v>
      </c>
      <c r="G1638">
        <v>171.93</v>
      </c>
      <c r="H1638">
        <v>-67.88</v>
      </c>
      <c r="I1638">
        <v>-26.35</v>
      </c>
      <c r="J1638">
        <v>6.13</v>
      </c>
      <c r="K1638">
        <v>-47.7</v>
      </c>
      <c r="L1638">
        <v>-55.27</v>
      </c>
      <c r="M1638">
        <v>4.16</v>
      </c>
      <c r="N1638">
        <v>-48.01</v>
      </c>
    </row>
    <row r="1639" spans="1:14">
      <c r="A1639" s="2" t="s">
        <v>1667</v>
      </c>
      <c r="B1639" t="s">
        <v>5460</v>
      </c>
      <c r="C1639">
        <v>-7.75</v>
      </c>
      <c r="D1639">
        <v>-3.87</v>
      </c>
      <c r="E1639">
        <v>47.43</v>
      </c>
      <c r="F1639">
        <v>-5.26</v>
      </c>
      <c r="G1639">
        <v>-6.89</v>
      </c>
      <c r="H1639">
        <v>-23.45</v>
      </c>
      <c r="I1639">
        <v>-23.11</v>
      </c>
      <c r="J1639">
        <v>0.65</v>
      </c>
      <c r="K1639">
        <v>4.03</v>
      </c>
      <c r="L1639">
        <v>-5.79</v>
      </c>
      <c r="M1639">
        <v>-6.03</v>
      </c>
      <c r="N1639">
        <v>-31.2</v>
      </c>
    </row>
    <row r="1640" spans="1:14">
      <c r="A1640" s="2" t="s">
        <v>1668</v>
      </c>
      <c r="B1640" t="s">
        <v>5461</v>
      </c>
      <c r="C1640">
        <v>0.08</v>
      </c>
      <c r="D1640">
        <v>-0.42</v>
      </c>
      <c r="E1640">
        <v>-1.98</v>
      </c>
      <c r="F1640">
        <v>1.43</v>
      </c>
      <c r="G1640">
        <v>12.66</v>
      </c>
      <c r="H1640">
        <v>0.03</v>
      </c>
      <c r="I1640">
        <v>72.58</v>
      </c>
      <c r="J1640">
        <v>43.2</v>
      </c>
      <c r="K1640">
        <v>39.35</v>
      </c>
      <c r="L1640">
        <v>7.25</v>
      </c>
      <c r="M1640">
        <v>16.07</v>
      </c>
      <c r="N1640">
        <v>51.51</v>
      </c>
    </row>
    <row r="1641" spans="1:14">
      <c r="A1641" s="2" t="s">
        <v>1669</v>
      </c>
      <c r="B1641" t="s">
        <v>5462</v>
      </c>
      <c r="C1641">
        <v>5.27</v>
      </c>
      <c r="D1641">
        <v>9.91</v>
      </c>
      <c r="E1641">
        <v>2.15</v>
      </c>
      <c r="F1641">
        <v>-24.98</v>
      </c>
      <c r="G1641">
        <v>32.630000000000003</v>
      </c>
      <c r="H1641">
        <v>-60.65</v>
      </c>
      <c r="I1641">
        <v>184.58</v>
      </c>
      <c r="J1641">
        <v>186.19</v>
      </c>
      <c r="K1641">
        <v>228.18</v>
      </c>
      <c r="L1641">
        <v>40.79</v>
      </c>
      <c r="M1641">
        <v>45.02</v>
      </c>
      <c r="N1641">
        <v>41.29</v>
      </c>
    </row>
    <row r="1642" spans="1:14">
      <c r="A1642" s="2" t="s">
        <v>1670</v>
      </c>
      <c r="B1642" t="s">
        <v>5463</v>
      </c>
      <c r="C1642">
        <v>13.24</v>
      </c>
      <c r="D1642">
        <v>15.88</v>
      </c>
      <c r="E1642">
        <v>-14.51</v>
      </c>
      <c r="F1642">
        <v>1.3</v>
      </c>
      <c r="G1642">
        <v>4.5199999999999996</v>
      </c>
      <c r="H1642">
        <v>-15.36</v>
      </c>
      <c r="I1642">
        <v>-9.25</v>
      </c>
      <c r="J1642">
        <v>45.91</v>
      </c>
      <c r="K1642">
        <v>46.59</v>
      </c>
      <c r="L1642">
        <v>36.729999999999997</v>
      </c>
      <c r="M1642">
        <v>22.43</v>
      </c>
      <c r="N1642">
        <v>12.38</v>
      </c>
    </row>
    <row r="1643" spans="1:14">
      <c r="A1643" s="2" t="s">
        <v>1671</v>
      </c>
      <c r="B1643" t="s">
        <v>5464</v>
      </c>
      <c r="E1643">
        <v>-216.82</v>
      </c>
      <c r="G1643">
        <v>212.36</v>
      </c>
      <c r="I1643">
        <v>-88.65</v>
      </c>
      <c r="J1643">
        <v>94.51</v>
      </c>
      <c r="K1643">
        <v>77.7</v>
      </c>
      <c r="M1643">
        <v>-8.59</v>
      </c>
      <c r="N1643">
        <v>94.75</v>
      </c>
    </row>
    <row r="1644" spans="1:14">
      <c r="A1644" s="2" t="s">
        <v>1672</v>
      </c>
      <c r="B1644" t="s">
        <v>5465</v>
      </c>
      <c r="C1644">
        <v>3.05</v>
      </c>
      <c r="D1644">
        <v>11.76</v>
      </c>
      <c r="E1644">
        <v>0.5</v>
      </c>
      <c r="F1644">
        <v>5</v>
      </c>
      <c r="G1644">
        <v>-0.36</v>
      </c>
      <c r="H1644">
        <v>2.74</v>
      </c>
      <c r="I1644">
        <v>22.68</v>
      </c>
      <c r="J1644">
        <v>14.86</v>
      </c>
      <c r="K1644">
        <v>36.79</v>
      </c>
      <c r="L1644">
        <v>12.25</v>
      </c>
      <c r="M1644">
        <v>18.54</v>
      </c>
      <c r="N1644">
        <v>37.39</v>
      </c>
    </row>
    <row r="1645" spans="1:14">
      <c r="A1645" s="2" t="s">
        <v>1673</v>
      </c>
      <c r="B1645" t="s">
        <v>5466</v>
      </c>
      <c r="C1645">
        <v>21.84</v>
      </c>
      <c r="D1645">
        <v>38.950000000000003</v>
      </c>
      <c r="E1645">
        <v>13</v>
      </c>
      <c r="F1645">
        <v>20.41</v>
      </c>
      <c r="G1645">
        <v>25.47</v>
      </c>
      <c r="H1645">
        <v>8.1999999999999993</v>
      </c>
      <c r="I1645">
        <v>66.489999999999995</v>
      </c>
      <c r="J1645">
        <v>90.56</v>
      </c>
      <c r="K1645">
        <v>188.51</v>
      </c>
      <c r="L1645">
        <v>206.12</v>
      </c>
      <c r="M1645">
        <v>179.1</v>
      </c>
      <c r="N1645">
        <v>586.45000000000005</v>
      </c>
    </row>
    <row r="1646" spans="1:14">
      <c r="A1646" s="2" t="s">
        <v>1674</v>
      </c>
      <c r="B1646" t="s">
        <v>5467</v>
      </c>
      <c r="C1646">
        <v>-7.1</v>
      </c>
      <c r="D1646">
        <v>-17.100000000000001</v>
      </c>
      <c r="E1646">
        <v>-1.91</v>
      </c>
      <c r="F1646">
        <v>-7</v>
      </c>
      <c r="G1646">
        <v>-8.35</v>
      </c>
      <c r="H1646">
        <v>5.57</v>
      </c>
      <c r="I1646">
        <v>3.92</v>
      </c>
      <c r="J1646">
        <v>-14.64</v>
      </c>
      <c r="K1646">
        <v>6.38</v>
      </c>
      <c r="L1646">
        <v>-14.74</v>
      </c>
      <c r="M1646">
        <v>-24.08</v>
      </c>
      <c r="N1646">
        <v>-48.68</v>
      </c>
    </row>
    <row r="1647" spans="1:14">
      <c r="A1647" s="2" t="s">
        <v>1675</v>
      </c>
      <c r="B1647" t="s">
        <v>5468</v>
      </c>
      <c r="C1647">
        <v>27.09</v>
      </c>
      <c r="D1647">
        <v>32.729999999999997</v>
      </c>
      <c r="E1647">
        <v>10.39</v>
      </c>
      <c r="F1647">
        <v>9.69</v>
      </c>
      <c r="G1647">
        <v>-6.61</v>
      </c>
      <c r="H1647">
        <v>-37.56</v>
      </c>
      <c r="I1647">
        <v>-17.760000000000002</v>
      </c>
      <c r="J1647">
        <v>-33.08</v>
      </c>
      <c r="K1647">
        <v>-19.079999999999998</v>
      </c>
      <c r="L1647">
        <v>-21.29</v>
      </c>
      <c r="M1647">
        <v>-14.71</v>
      </c>
      <c r="N1647">
        <v>1.47</v>
      </c>
    </row>
    <row r="1648" spans="1:14">
      <c r="A1648" s="2" t="s">
        <v>1676</v>
      </c>
      <c r="B1648" t="s">
        <v>5469</v>
      </c>
      <c r="C1648">
        <v>-9.15</v>
      </c>
      <c r="D1648">
        <v>2.75</v>
      </c>
      <c r="E1648">
        <v>1.27</v>
      </c>
      <c r="F1648">
        <v>9.64</v>
      </c>
      <c r="G1648">
        <v>17.809999999999999</v>
      </c>
      <c r="H1648">
        <v>31.75</v>
      </c>
      <c r="I1648">
        <v>-10.89</v>
      </c>
      <c r="J1648">
        <v>-14.82</v>
      </c>
      <c r="K1648">
        <v>-9.68</v>
      </c>
      <c r="L1648">
        <v>11.01</v>
      </c>
      <c r="M1648">
        <v>21.72</v>
      </c>
      <c r="N1648">
        <v>70.2</v>
      </c>
    </row>
    <row r="1649" spans="1:14">
      <c r="A1649" s="2" t="s">
        <v>1677</v>
      </c>
      <c r="B1649" t="s">
        <v>5470</v>
      </c>
      <c r="C1649">
        <v>33.9</v>
      </c>
      <c r="D1649">
        <v>-19.45</v>
      </c>
      <c r="E1649">
        <v>41.7</v>
      </c>
      <c r="F1649">
        <v>3.67</v>
      </c>
      <c r="G1649">
        <v>91.19</v>
      </c>
      <c r="H1649">
        <v>-68.59</v>
      </c>
      <c r="I1649">
        <v>-4.08</v>
      </c>
      <c r="J1649">
        <v>-37.64</v>
      </c>
      <c r="K1649">
        <v>50.62</v>
      </c>
      <c r="L1649">
        <v>5.68</v>
      </c>
      <c r="M1649">
        <v>6.05</v>
      </c>
      <c r="N1649">
        <v>-23.97</v>
      </c>
    </row>
    <row r="1650" spans="1:14">
      <c r="A1650" s="2" t="s">
        <v>1678</v>
      </c>
      <c r="B1650" t="s">
        <v>5471</v>
      </c>
      <c r="C1650">
        <v>2.87</v>
      </c>
      <c r="D1650">
        <v>15.59</v>
      </c>
      <c r="E1650">
        <v>-16.600000000000001</v>
      </c>
      <c r="F1650">
        <v>1.1599999999999999</v>
      </c>
      <c r="G1650">
        <v>29.64</v>
      </c>
      <c r="H1650">
        <v>-45.42</v>
      </c>
      <c r="I1650">
        <v>11.71</v>
      </c>
      <c r="J1650">
        <v>79.19</v>
      </c>
      <c r="K1650">
        <v>51.56</v>
      </c>
      <c r="L1650">
        <v>38.99</v>
      </c>
      <c r="M1650">
        <v>4.2300000000000004</v>
      </c>
      <c r="N1650">
        <v>44.74</v>
      </c>
    </row>
    <row r="1651" spans="1:14">
      <c r="A1651" s="2" t="s">
        <v>1679</v>
      </c>
      <c r="B1651" t="s">
        <v>5472</v>
      </c>
      <c r="C1651">
        <v>9.43</v>
      </c>
      <c r="D1651">
        <v>7.06</v>
      </c>
      <c r="E1651">
        <v>-21.72</v>
      </c>
      <c r="F1651">
        <v>8.2100000000000009</v>
      </c>
      <c r="G1651">
        <v>15.02</v>
      </c>
      <c r="H1651">
        <v>6.15</v>
      </c>
      <c r="I1651">
        <v>26.22</v>
      </c>
      <c r="J1651">
        <v>34.26</v>
      </c>
      <c r="K1651">
        <v>-5.5</v>
      </c>
      <c r="L1651">
        <v>-1.42</v>
      </c>
      <c r="M1651">
        <v>20.100000000000001</v>
      </c>
      <c r="N1651">
        <v>43.33</v>
      </c>
    </row>
    <row r="1652" spans="1:14">
      <c r="A1652" s="2" t="s">
        <v>1680</v>
      </c>
      <c r="B1652" t="s">
        <v>5473</v>
      </c>
      <c r="C1652">
        <v>7.99</v>
      </c>
      <c r="D1652">
        <v>13.16</v>
      </c>
      <c r="E1652">
        <v>-17.59</v>
      </c>
      <c r="F1652">
        <v>-1.39</v>
      </c>
      <c r="G1652">
        <v>16.37</v>
      </c>
      <c r="H1652">
        <v>-11.44</v>
      </c>
      <c r="I1652">
        <v>21.2</v>
      </c>
      <c r="J1652">
        <v>44.43</v>
      </c>
      <c r="K1652">
        <v>21.29</v>
      </c>
      <c r="L1652">
        <v>11.88</v>
      </c>
      <c r="M1652">
        <v>11.08</v>
      </c>
      <c r="N1652">
        <v>6.61</v>
      </c>
    </row>
    <row r="1653" spans="1:14">
      <c r="A1653" s="2" t="s">
        <v>1681</v>
      </c>
      <c r="B1653" t="s">
        <v>5474</v>
      </c>
      <c r="C1653">
        <v>-7.79</v>
      </c>
      <c r="D1653">
        <v>8.6199999999999992</v>
      </c>
      <c r="E1653">
        <v>-9.6999999999999993</v>
      </c>
      <c r="F1653">
        <v>10.130000000000001</v>
      </c>
      <c r="G1653">
        <v>6.29</v>
      </c>
      <c r="H1653">
        <v>-0.84</v>
      </c>
      <c r="I1653">
        <v>-13.8</v>
      </c>
      <c r="J1653">
        <v>-12.38</v>
      </c>
      <c r="K1653">
        <v>3.34</v>
      </c>
      <c r="L1653">
        <v>-1.8</v>
      </c>
      <c r="M1653">
        <v>11.02</v>
      </c>
      <c r="N1653">
        <v>-4.26</v>
      </c>
    </row>
    <row r="1654" spans="1:14">
      <c r="A1654" s="2" t="s">
        <v>1682</v>
      </c>
      <c r="B1654" t="s">
        <v>5475</v>
      </c>
      <c r="C1654">
        <v>-3.66</v>
      </c>
      <c r="D1654">
        <v>1.63</v>
      </c>
      <c r="E1654">
        <v>-10.87</v>
      </c>
      <c r="F1654">
        <v>28.64</v>
      </c>
      <c r="G1654">
        <v>-10.38</v>
      </c>
      <c r="H1654">
        <v>-0.89</v>
      </c>
      <c r="I1654">
        <v>2.1800000000000002</v>
      </c>
      <c r="J1654">
        <v>4.9000000000000004</v>
      </c>
      <c r="K1654">
        <v>-7</v>
      </c>
      <c r="L1654">
        <v>25.15</v>
      </c>
      <c r="M1654">
        <v>-1.47</v>
      </c>
      <c r="N1654">
        <v>12.95</v>
      </c>
    </row>
    <row r="1655" spans="1:14">
      <c r="A1655" s="2" t="s">
        <v>1683</v>
      </c>
      <c r="B1655" t="s">
        <v>5476</v>
      </c>
      <c r="C1655">
        <v>-28.85</v>
      </c>
      <c r="D1655">
        <v>-100</v>
      </c>
      <c r="G1655">
        <v>-100</v>
      </c>
      <c r="I1655">
        <v>-54.06</v>
      </c>
      <c r="J1655">
        <v>-100</v>
      </c>
      <c r="L1655">
        <v>32.54</v>
      </c>
    </row>
    <row r="1656" spans="1:14">
      <c r="A1656" s="2" t="s">
        <v>1684</v>
      </c>
      <c r="B1656" t="s">
        <v>5477</v>
      </c>
      <c r="C1656">
        <v>2.42</v>
      </c>
      <c r="D1656">
        <v>118.01</v>
      </c>
      <c r="E1656">
        <v>-37.450000000000003</v>
      </c>
      <c r="F1656">
        <v>21.87</v>
      </c>
      <c r="G1656">
        <v>37.25</v>
      </c>
      <c r="H1656">
        <v>-51.48</v>
      </c>
      <c r="I1656">
        <v>-73.52</v>
      </c>
      <c r="J1656">
        <v>4.0199999999999996</v>
      </c>
      <c r="K1656">
        <v>-28.91</v>
      </c>
      <c r="L1656">
        <v>-47.35</v>
      </c>
      <c r="M1656">
        <v>100.17</v>
      </c>
      <c r="N1656">
        <v>-53.89</v>
      </c>
    </row>
    <row r="1657" spans="1:14">
      <c r="A1657" s="2" t="s">
        <v>1685</v>
      </c>
      <c r="B1657" t="s">
        <v>5478</v>
      </c>
      <c r="C1657">
        <v>11.89</v>
      </c>
      <c r="D1657">
        <v>-17.88</v>
      </c>
      <c r="E1657">
        <v>17.5</v>
      </c>
      <c r="F1657">
        <v>-34.94</v>
      </c>
      <c r="G1657">
        <v>-19.77</v>
      </c>
      <c r="H1657">
        <v>122.64</v>
      </c>
      <c r="I1657">
        <v>64.849999999999994</v>
      </c>
      <c r="J1657">
        <v>24.25</v>
      </c>
      <c r="K1657">
        <v>12.98</v>
      </c>
      <c r="L1657">
        <v>-14.91</v>
      </c>
      <c r="M1657">
        <v>-38.42</v>
      </c>
      <c r="N1657">
        <v>48.67</v>
      </c>
    </row>
    <row r="1658" spans="1:14">
      <c r="A1658" s="2" t="s">
        <v>1686</v>
      </c>
      <c r="B1658" t="s">
        <v>5479</v>
      </c>
      <c r="C1658">
        <v>4.46</v>
      </c>
      <c r="D1658">
        <v>-6.22</v>
      </c>
      <c r="E1658">
        <v>1.1100000000000001</v>
      </c>
      <c r="F1658">
        <v>-0.82</v>
      </c>
      <c r="G1658">
        <v>15.66</v>
      </c>
      <c r="H1658">
        <v>3.75</v>
      </c>
      <c r="I1658">
        <v>-23.58</v>
      </c>
      <c r="J1658">
        <v>-31.19</v>
      </c>
      <c r="K1658">
        <v>-0.53</v>
      </c>
      <c r="L1658">
        <v>-8.67</v>
      </c>
      <c r="M1658">
        <v>-9.11</v>
      </c>
      <c r="N1658">
        <v>10.46</v>
      </c>
    </row>
    <row r="1659" spans="1:14">
      <c r="A1659" s="2" t="s">
        <v>1687</v>
      </c>
      <c r="B1659" t="s">
        <v>5480</v>
      </c>
      <c r="C1659">
        <v>-10.86</v>
      </c>
      <c r="D1659">
        <v>-7.74</v>
      </c>
      <c r="E1659">
        <v>16.25</v>
      </c>
      <c r="F1659">
        <v>-1.47</v>
      </c>
      <c r="G1659">
        <v>6.6</v>
      </c>
      <c r="H1659">
        <v>19.420000000000002</v>
      </c>
      <c r="I1659">
        <v>-22.24</v>
      </c>
      <c r="J1659">
        <v>-21.38</v>
      </c>
      <c r="K1659">
        <v>-16.79</v>
      </c>
      <c r="L1659">
        <v>-1.53</v>
      </c>
      <c r="M1659">
        <v>-8</v>
      </c>
      <c r="N1659">
        <v>3.6</v>
      </c>
    </row>
    <row r="1660" spans="1:14">
      <c r="A1660" s="2" t="s">
        <v>1688</v>
      </c>
      <c r="B1660" t="s">
        <v>5481</v>
      </c>
      <c r="C1660">
        <v>-0.08</v>
      </c>
      <c r="D1660">
        <v>17.260000000000002</v>
      </c>
      <c r="E1660">
        <v>0.26</v>
      </c>
      <c r="F1660">
        <v>10.71</v>
      </c>
      <c r="G1660">
        <v>-2.89</v>
      </c>
      <c r="H1660">
        <v>-27.52</v>
      </c>
      <c r="I1660">
        <v>11.22</v>
      </c>
      <c r="J1660">
        <v>0.77</v>
      </c>
      <c r="K1660">
        <v>23.35</v>
      </c>
      <c r="L1660">
        <v>32.729999999999997</v>
      </c>
      <c r="M1660">
        <v>25.08</v>
      </c>
      <c r="N1660">
        <v>5.52</v>
      </c>
    </row>
    <row r="1661" spans="1:14">
      <c r="A1661" s="2" t="s">
        <v>1689</v>
      </c>
      <c r="B1661" t="s">
        <v>5482</v>
      </c>
      <c r="C1661">
        <v>26.72</v>
      </c>
      <c r="D1661">
        <v>-31.75</v>
      </c>
      <c r="E1661">
        <v>-17.07</v>
      </c>
      <c r="F1661">
        <v>0.68</v>
      </c>
      <c r="G1661">
        <v>4.0599999999999996</v>
      </c>
      <c r="I1661">
        <v>-22.07</v>
      </c>
      <c r="J1661">
        <v>20.440000000000001</v>
      </c>
      <c r="K1661">
        <v>-18.48</v>
      </c>
      <c r="L1661">
        <v>-47.46</v>
      </c>
      <c r="M1661">
        <v>-15.02</v>
      </c>
    </row>
    <row r="1662" spans="1:14">
      <c r="A1662" s="2" t="s">
        <v>1690</v>
      </c>
      <c r="B1662" t="s">
        <v>5483</v>
      </c>
      <c r="C1662">
        <v>1.27</v>
      </c>
      <c r="D1662">
        <v>-6.2</v>
      </c>
      <c r="E1662">
        <v>7.39</v>
      </c>
      <c r="F1662">
        <v>0.63</v>
      </c>
      <c r="G1662">
        <v>-0.56000000000000005</v>
      </c>
      <c r="H1662">
        <v>-2.66</v>
      </c>
      <c r="I1662">
        <v>-1.55</v>
      </c>
      <c r="J1662">
        <v>-6.43</v>
      </c>
      <c r="K1662">
        <v>3.18</v>
      </c>
      <c r="L1662">
        <v>0.66</v>
      </c>
      <c r="M1662">
        <v>-2.6</v>
      </c>
      <c r="N1662">
        <v>-6.11</v>
      </c>
    </row>
    <row r="1663" spans="1:14">
      <c r="A1663" s="2" t="s">
        <v>1691</v>
      </c>
      <c r="B1663" t="s">
        <v>5484</v>
      </c>
      <c r="C1663">
        <v>4.3</v>
      </c>
      <c r="D1663">
        <v>6.22</v>
      </c>
      <c r="E1663">
        <v>-2.27</v>
      </c>
      <c r="F1663">
        <v>-0.91</v>
      </c>
      <c r="G1663">
        <v>5.46</v>
      </c>
      <c r="H1663">
        <v>2.97</v>
      </c>
      <c r="I1663">
        <v>9.0299999999999994</v>
      </c>
      <c r="J1663">
        <v>16.670000000000002</v>
      </c>
      <c r="K1663">
        <v>18.75</v>
      </c>
      <c r="L1663">
        <v>13.57</v>
      </c>
      <c r="M1663">
        <v>15.02</v>
      </c>
      <c r="N1663">
        <v>25.3</v>
      </c>
    </row>
    <row r="1664" spans="1:14">
      <c r="A1664" s="2" t="s">
        <v>1692</v>
      </c>
      <c r="B1664" t="s">
        <v>5485</v>
      </c>
      <c r="C1664">
        <v>-3.78</v>
      </c>
      <c r="D1664">
        <v>-6.8</v>
      </c>
      <c r="E1664">
        <v>19.47</v>
      </c>
      <c r="F1664">
        <v>2.73</v>
      </c>
      <c r="G1664">
        <v>30.75</v>
      </c>
      <c r="H1664">
        <v>-9.8699999999999992</v>
      </c>
      <c r="I1664">
        <v>36.53</v>
      </c>
      <c r="J1664">
        <v>37.4</v>
      </c>
      <c r="K1664">
        <v>1.57</v>
      </c>
      <c r="L1664">
        <v>12</v>
      </c>
      <c r="M1664">
        <v>4.32</v>
      </c>
      <c r="N1664">
        <v>20.350000000000001</v>
      </c>
    </row>
    <row r="1665" spans="1:14">
      <c r="A1665" s="2" t="s">
        <v>1693</v>
      </c>
      <c r="B1665" t="s">
        <v>5486</v>
      </c>
      <c r="C1665">
        <v>-98.41</v>
      </c>
      <c r="D1665">
        <v>7587.76</v>
      </c>
      <c r="E1665">
        <v>-89.89</v>
      </c>
      <c r="F1665">
        <v>18488.71</v>
      </c>
      <c r="G1665">
        <v>-84.08</v>
      </c>
      <c r="H1665">
        <v>-99.64</v>
      </c>
      <c r="I1665">
        <v>-95.58</v>
      </c>
      <c r="J1665">
        <v>3.21</v>
      </c>
      <c r="K1665">
        <v>-99.63</v>
      </c>
      <c r="L1665">
        <v>3217.24</v>
      </c>
      <c r="M1665">
        <v>721.34</v>
      </c>
      <c r="N1665">
        <v>-88.25</v>
      </c>
    </row>
    <row r="1666" spans="1:14">
      <c r="A1666" s="2" t="s">
        <v>1694</v>
      </c>
      <c r="B1666" t="s">
        <v>5487</v>
      </c>
      <c r="C1666">
        <v>-5.72</v>
      </c>
      <c r="D1666">
        <v>3.08</v>
      </c>
      <c r="E1666">
        <v>-5.34</v>
      </c>
      <c r="F1666">
        <v>13.26</v>
      </c>
      <c r="G1666">
        <v>-10.43</v>
      </c>
      <c r="H1666">
        <v>19.71</v>
      </c>
      <c r="I1666">
        <v>-9.59</v>
      </c>
      <c r="J1666">
        <v>16.57</v>
      </c>
      <c r="K1666">
        <v>12.05</v>
      </c>
      <c r="L1666">
        <v>41.17</v>
      </c>
      <c r="M1666">
        <v>-3.76</v>
      </c>
      <c r="N1666">
        <v>18.059999999999999</v>
      </c>
    </row>
    <row r="1667" spans="1:14">
      <c r="A1667" s="2" t="s">
        <v>1695</v>
      </c>
      <c r="B1667" t="s">
        <v>5488</v>
      </c>
      <c r="C1667">
        <v>-7.45</v>
      </c>
      <c r="D1667">
        <v>154.46</v>
      </c>
      <c r="E1667">
        <v>-44.04</v>
      </c>
      <c r="F1667">
        <v>0.06</v>
      </c>
      <c r="G1667">
        <v>126.35</v>
      </c>
      <c r="H1667">
        <v>-60.17</v>
      </c>
      <c r="I1667">
        <v>-61.82</v>
      </c>
      <c r="J1667">
        <v>107.73</v>
      </c>
      <c r="K1667">
        <v>41.33</v>
      </c>
      <c r="L1667">
        <v>37.17</v>
      </c>
      <c r="M1667">
        <v>-50.59</v>
      </c>
      <c r="N1667">
        <v>21.35</v>
      </c>
    </row>
    <row r="1668" spans="1:14">
      <c r="A1668" s="2" t="s">
        <v>1696</v>
      </c>
      <c r="B1668" t="s">
        <v>5489</v>
      </c>
      <c r="C1668">
        <v>4.01</v>
      </c>
      <c r="D1668">
        <v>34.58</v>
      </c>
      <c r="E1668">
        <v>-21.4</v>
      </c>
      <c r="F1668">
        <v>18.260000000000002</v>
      </c>
      <c r="G1668">
        <v>11.29</v>
      </c>
      <c r="H1668">
        <v>-31.64</v>
      </c>
      <c r="I1668">
        <v>66.39</v>
      </c>
      <c r="J1668">
        <v>101.51</v>
      </c>
      <c r="K1668">
        <v>69.66</v>
      </c>
      <c r="L1668">
        <v>77.599999999999994</v>
      </c>
      <c r="M1668">
        <v>73.11</v>
      </c>
      <c r="N1668">
        <v>51.58</v>
      </c>
    </row>
    <row r="1669" spans="1:14">
      <c r="A1669" s="2" t="s">
        <v>1697</v>
      </c>
      <c r="B1669" t="s">
        <v>5490</v>
      </c>
      <c r="C1669">
        <v>-24.63</v>
      </c>
      <c r="D1669">
        <v>-23.06</v>
      </c>
      <c r="E1669">
        <v>14.09</v>
      </c>
      <c r="F1669">
        <v>-21.45</v>
      </c>
      <c r="G1669">
        <v>36.880000000000003</v>
      </c>
      <c r="H1669">
        <v>-14.55</v>
      </c>
      <c r="I1669">
        <v>63.38</v>
      </c>
      <c r="J1669">
        <v>8.3800000000000008</v>
      </c>
      <c r="K1669">
        <v>53.53</v>
      </c>
      <c r="L1669">
        <v>7.98</v>
      </c>
      <c r="M1669">
        <v>26.35</v>
      </c>
      <c r="N1669">
        <v>-78.349999999999994</v>
      </c>
    </row>
    <row r="1670" spans="1:14">
      <c r="A1670" s="2" t="s">
        <v>1698</v>
      </c>
      <c r="B1670" t="s">
        <v>5491</v>
      </c>
      <c r="C1670">
        <v>16.66</v>
      </c>
      <c r="D1670">
        <v>33.159999999999997</v>
      </c>
      <c r="E1670">
        <v>-17.8</v>
      </c>
      <c r="F1670">
        <v>-1.65</v>
      </c>
      <c r="G1670">
        <v>-1.48</v>
      </c>
      <c r="H1670">
        <v>-11.34</v>
      </c>
      <c r="I1670">
        <v>14.87</v>
      </c>
      <c r="J1670">
        <v>40.700000000000003</v>
      </c>
      <c r="K1670">
        <v>18.93</v>
      </c>
      <c r="L1670">
        <v>21.82</v>
      </c>
      <c r="M1670">
        <v>39.42</v>
      </c>
      <c r="N1670">
        <v>21.5</v>
      </c>
    </row>
    <row r="1671" spans="1:14">
      <c r="A1671" s="2" t="s">
        <v>1699</v>
      </c>
      <c r="B1671" t="s">
        <v>5492</v>
      </c>
      <c r="C1671">
        <v>7.99</v>
      </c>
      <c r="D1671">
        <v>-0.61</v>
      </c>
      <c r="E1671">
        <v>-4.7</v>
      </c>
      <c r="F1671">
        <v>2.88</v>
      </c>
      <c r="G1671">
        <v>4.4800000000000004</v>
      </c>
      <c r="H1671">
        <v>5.53</v>
      </c>
      <c r="I1671">
        <v>9.51</v>
      </c>
      <c r="J1671">
        <v>15.73</v>
      </c>
      <c r="K1671">
        <v>4.4800000000000004</v>
      </c>
      <c r="L1671">
        <v>12.6</v>
      </c>
      <c r="M1671">
        <v>13.85</v>
      </c>
      <c r="N1671">
        <v>26.95</v>
      </c>
    </row>
    <row r="1672" spans="1:14">
      <c r="A1672" s="2" t="s">
        <v>1700</v>
      </c>
      <c r="B1672" t="s">
        <v>5493</v>
      </c>
      <c r="C1672">
        <v>-7.72</v>
      </c>
      <c r="D1672">
        <v>-8.33</v>
      </c>
      <c r="E1672">
        <v>-0.3</v>
      </c>
      <c r="F1672">
        <v>1.47</v>
      </c>
      <c r="G1672">
        <v>80.400000000000006</v>
      </c>
      <c r="H1672">
        <v>-50.65</v>
      </c>
      <c r="I1672">
        <v>6.23</v>
      </c>
      <c r="J1672">
        <v>7.42</v>
      </c>
      <c r="K1672">
        <v>-3.99</v>
      </c>
      <c r="L1672">
        <v>8.4600000000000009</v>
      </c>
      <c r="M1672">
        <v>90.67</v>
      </c>
      <c r="N1672">
        <v>62.41</v>
      </c>
    </row>
    <row r="1673" spans="1:14">
      <c r="A1673" s="2" t="s">
        <v>1701</v>
      </c>
      <c r="B1673" t="s">
        <v>5494</v>
      </c>
      <c r="C1673">
        <v>16.440000000000001</v>
      </c>
      <c r="D1673">
        <v>3.58</v>
      </c>
      <c r="E1673">
        <v>-5.62</v>
      </c>
      <c r="F1673">
        <v>5.5</v>
      </c>
      <c r="G1673">
        <v>20.25</v>
      </c>
      <c r="H1673">
        <v>-15.95</v>
      </c>
      <c r="I1673">
        <v>18.22</v>
      </c>
      <c r="J1673">
        <v>36.020000000000003</v>
      </c>
      <c r="K1673">
        <v>42.38</v>
      </c>
      <c r="L1673">
        <v>22.04</v>
      </c>
      <c r="M1673">
        <v>29.39</v>
      </c>
      <c r="N1673">
        <v>23.52</v>
      </c>
    </row>
    <row r="1674" spans="1:14">
      <c r="A1674" s="2" t="s">
        <v>1702</v>
      </c>
      <c r="B1674" t="s">
        <v>5495</v>
      </c>
      <c r="C1674">
        <v>-15.69</v>
      </c>
      <c r="D1674">
        <v>-16.18</v>
      </c>
      <c r="E1674">
        <v>-10.68</v>
      </c>
      <c r="F1674">
        <v>-21.41</v>
      </c>
      <c r="G1674">
        <v>222.27</v>
      </c>
      <c r="H1674">
        <v>-57.38</v>
      </c>
      <c r="I1674">
        <v>20.78</v>
      </c>
      <c r="J1674">
        <v>-20.29</v>
      </c>
      <c r="K1674">
        <v>-2.33</v>
      </c>
      <c r="L1674">
        <v>-0.87</v>
      </c>
      <c r="M1674">
        <v>2.36</v>
      </c>
      <c r="N1674">
        <v>-17.38</v>
      </c>
    </row>
    <row r="1675" spans="1:14">
      <c r="A1675" s="2" t="s">
        <v>1703</v>
      </c>
      <c r="B1675" t="s">
        <v>5496</v>
      </c>
      <c r="C1675">
        <v>-5.57</v>
      </c>
      <c r="D1675">
        <v>-4.72</v>
      </c>
      <c r="E1675">
        <v>3.32</v>
      </c>
      <c r="F1675">
        <v>2.4700000000000002</v>
      </c>
      <c r="G1675">
        <v>1.53</v>
      </c>
      <c r="H1675">
        <v>5.01</v>
      </c>
      <c r="I1675">
        <v>-11.8</v>
      </c>
      <c r="J1675">
        <v>-19.68</v>
      </c>
      <c r="K1675">
        <v>-12.72</v>
      </c>
      <c r="L1675">
        <v>-10.47</v>
      </c>
      <c r="M1675">
        <v>-7.43</v>
      </c>
      <c r="N1675">
        <v>-9.64</v>
      </c>
    </row>
    <row r="1676" spans="1:14">
      <c r="A1676" s="2" t="s">
        <v>1704</v>
      </c>
      <c r="B1676" t="s">
        <v>5497</v>
      </c>
      <c r="C1676">
        <v>-2.33</v>
      </c>
      <c r="D1676">
        <v>-21.16</v>
      </c>
      <c r="E1676">
        <v>32.15</v>
      </c>
      <c r="F1676">
        <v>-35.659999999999997</v>
      </c>
      <c r="G1676">
        <v>4.33</v>
      </c>
      <c r="H1676">
        <v>38.1</v>
      </c>
      <c r="I1676">
        <v>-11.25</v>
      </c>
      <c r="J1676">
        <v>-23.31</v>
      </c>
      <c r="K1676">
        <v>-15.41</v>
      </c>
      <c r="L1676">
        <v>-28.23</v>
      </c>
      <c r="M1676">
        <v>-14.3</v>
      </c>
      <c r="N1676">
        <v>-17.47</v>
      </c>
    </row>
    <row r="1677" spans="1:14">
      <c r="A1677" s="2" t="s">
        <v>1705</v>
      </c>
      <c r="B1677" t="s">
        <v>5498</v>
      </c>
      <c r="C1677">
        <v>14.6</v>
      </c>
      <c r="D1677">
        <v>-1.25</v>
      </c>
      <c r="E1677">
        <v>-14.12</v>
      </c>
      <c r="F1677">
        <v>7.59</v>
      </c>
      <c r="G1677">
        <v>-2.68</v>
      </c>
      <c r="H1677">
        <v>-7.65</v>
      </c>
      <c r="I1677">
        <v>-6.24</v>
      </c>
      <c r="J1677">
        <v>0.64</v>
      </c>
      <c r="K1677">
        <v>-20.95</v>
      </c>
      <c r="L1677">
        <v>-10.33</v>
      </c>
      <c r="M1677">
        <v>-1.44</v>
      </c>
      <c r="N1677">
        <v>-3.83</v>
      </c>
    </row>
    <row r="1678" spans="1:14">
      <c r="A1678" s="2" t="s">
        <v>1706</v>
      </c>
      <c r="B1678" t="s">
        <v>5499</v>
      </c>
      <c r="C1678">
        <v>1.87</v>
      </c>
      <c r="D1678">
        <v>-5.71</v>
      </c>
      <c r="E1678">
        <v>-9.39</v>
      </c>
      <c r="F1678">
        <v>13.54</v>
      </c>
      <c r="G1678">
        <v>-11.77</v>
      </c>
      <c r="I1678">
        <v>-36.28</v>
      </c>
      <c r="J1678">
        <v>-24.05</v>
      </c>
      <c r="K1678">
        <v>-24.99</v>
      </c>
      <c r="L1678">
        <v>-21.92</v>
      </c>
      <c r="M1678">
        <v>-33.32</v>
      </c>
    </row>
    <row r="1679" spans="1:14">
      <c r="A1679" s="2" t="s">
        <v>1707</v>
      </c>
      <c r="B1679" t="s">
        <v>5500</v>
      </c>
      <c r="C1679">
        <v>3.42</v>
      </c>
      <c r="D1679">
        <v>-4.62</v>
      </c>
      <c r="E1679">
        <v>6.76</v>
      </c>
      <c r="F1679">
        <v>-19.989999999999998</v>
      </c>
      <c r="G1679">
        <v>37.42</v>
      </c>
      <c r="H1679">
        <v>-12.27</v>
      </c>
      <c r="I1679">
        <v>11.64</v>
      </c>
      <c r="J1679">
        <v>7.82</v>
      </c>
      <c r="K1679">
        <v>46.17</v>
      </c>
      <c r="L1679">
        <v>9.17</v>
      </c>
      <c r="M1679">
        <v>28.46</v>
      </c>
      <c r="N1679">
        <v>34.18</v>
      </c>
    </row>
    <row r="1680" spans="1:14">
      <c r="A1680" s="2" t="s">
        <v>1708</v>
      </c>
      <c r="B1680" t="s">
        <v>5501</v>
      </c>
      <c r="C1680">
        <v>8.06</v>
      </c>
      <c r="D1680">
        <v>-9.1199999999999992</v>
      </c>
      <c r="E1680">
        <v>12.93</v>
      </c>
      <c r="F1680">
        <v>-1.18</v>
      </c>
      <c r="G1680">
        <v>2.66</v>
      </c>
      <c r="H1680">
        <v>8.25</v>
      </c>
      <c r="I1680">
        <v>6.98</v>
      </c>
      <c r="J1680">
        <v>9</v>
      </c>
      <c r="K1680">
        <v>20.27</v>
      </c>
      <c r="L1680">
        <v>7.52</v>
      </c>
      <c r="M1680">
        <v>8.86</v>
      </c>
      <c r="N1680">
        <v>7.19</v>
      </c>
    </row>
    <row r="1681" spans="1:14">
      <c r="A1681" s="2" t="s">
        <v>1709</v>
      </c>
      <c r="B1681" t="s">
        <v>5502</v>
      </c>
      <c r="C1681">
        <v>11.78</v>
      </c>
      <c r="D1681">
        <v>-0.38</v>
      </c>
      <c r="E1681">
        <v>-4.2300000000000004</v>
      </c>
      <c r="F1681">
        <v>-1.24</v>
      </c>
      <c r="G1681">
        <v>207.56</v>
      </c>
      <c r="H1681">
        <v>-61.7</v>
      </c>
      <c r="I1681">
        <v>72.42</v>
      </c>
      <c r="J1681">
        <v>28.2</v>
      </c>
      <c r="K1681">
        <v>19.04</v>
      </c>
      <c r="L1681">
        <v>13.33</v>
      </c>
      <c r="M1681">
        <v>107.05</v>
      </c>
      <c r="N1681">
        <v>34.35</v>
      </c>
    </row>
    <row r="1682" spans="1:14">
      <c r="A1682" s="2" t="s">
        <v>1710</v>
      </c>
      <c r="B1682" t="s">
        <v>5503</v>
      </c>
      <c r="C1682">
        <v>-14.56</v>
      </c>
      <c r="D1682">
        <v>-14.64</v>
      </c>
      <c r="E1682">
        <v>12.12</v>
      </c>
      <c r="F1682">
        <v>21.29</v>
      </c>
      <c r="G1682">
        <v>9.58</v>
      </c>
      <c r="I1682">
        <v>35.26</v>
      </c>
      <c r="J1682">
        <v>-14.43</v>
      </c>
      <c r="K1682">
        <v>6.53</v>
      </c>
      <c r="L1682">
        <v>-8.2799999999999994</v>
      </c>
      <c r="M1682">
        <v>1.28</v>
      </c>
    </row>
    <row r="1683" spans="1:14">
      <c r="A1683" s="2" t="s">
        <v>1711</v>
      </c>
      <c r="B1683" t="s">
        <v>5504</v>
      </c>
      <c r="C1683">
        <v>18.739999999999998</v>
      </c>
      <c r="D1683">
        <v>9.3699999999999992</v>
      </c>
      <c r="E1683">
        <v>-8.18</v>
      </c>
      <c r="F1683">
        <v>6.33</v>
      </c>
      <c r="G1683">
        <v>20.22</v>
      </c>
      <c r="H1683">
        <v>21.12</v>
      </c>
      <c r="I1683">
        <v>-9.35</v>
      </c>
      <c r="J1683">
        <v>-13.04</v>
      </c>
      <c r="K1683">
        <v>6.91</v>
      </c>
      <c r="L1683">
        <v>2.89</v>
      </c>
      <c r="M1683">
        <v>7.32</v>
      </c>
      <c r="N1683">
        <v>42.63</v>
      </c>
    </row>
    <row r="1684" spans="1:14">
      <c r="A1684" s="2" t="s">
        <v>1712</v>
      </c>
      <c r="B1684" t="s">
        <v>5505</v>
      </c>
      <c r="C1684">
        <v>-7.29</v>
      </c>
      <c r="D1684">
        <v>2.1800000000000002</v>
      </c>
      <c r="E1684">
        <v>8.68</v>
      </c>
      <c r="F1684">
        <v>-7.11</v>
      </c>
      <c r="G1684">
        <v>-2.4</v>
      </c>
      <c r="H1684">
        <v>0.45</v>
      </c>
      <c r="I1684">
        <v>-11.49</v>
      </c>
      <c r="J1684">
        <v>-15.34</v>
      </c>
      <c r="K1684">
        <v>-10.07</v>
      </c>
      <c r="L1684">
        <v>-17.79</v>
      </c>
      <c r="M1684">
        <v>6.84</v>
      </c>
      <c r="N1684">
        <v>-12.5</v>
      </c>
    </row>
    <row r="1685" spans="1:14">
      <c r="A1685" s="2" t="s">
        <v>1713</v>
      </c>
      <c r="B1685" t="s">
        <v>5506</v>
      </c>
      <c r="C1685">
        <v>61.88</v>
      </c>
      <c r="D1685">
        <v>64.31</v>
      </c>
      <c r="E1685">
        <v>111.9</v>
      </c>
      <c r="F1685">
        <v>6.91</v>
      </c>
      <c r="G1685">
        <v>155.55000000000001</v>
      </c>
      <c r="H1685">
        <v>-83.1</v>
      </c>
      <c r="I1685">
        <v>74.06</v>
      </c>
      <c r="J1685">
        <v>144.22999999999999</v>
      </c>
      <c r="K1685">
        <v>415.49</v>
      </c>
      <c r="L1685">
        <v>457.16</v>
      </c>
      <c r="M1685">
        <v>472.33</v>
      </c>
      <c r="N1685">
        <v>114.38</v>
      </c>
    </row>
    <row r="1686" spans="1:14">
      <c r="A1686" s="2" t="s">
        <v>1714</v>
      </c>
      <c r="B1686" t="s">
        <v>5507</v>
      </c>
      <c r="C1686">
        <v>16.5</v>
      </c>
      <c r="D1686">
        <v>9.19</v>
      </c>
      <c r="E1686">
        <v>9.44</v>
      </c>
      <c r="F1686">
        <v>-3.29</v>
      </c>
      <c r="G1686">
        <v>3.18</v>
      </c>
      <c r="H1686">
        <v>-1.83</v>
      </c>
      <c r="I1686">
        <v>-16.760000000000002</v>
      </c>
      <c r="J1686">
        <v>-3.9</v>
      </c>
      <c r="K1686">
        <v>15.07</v>
      </c>
      <c r="L1686">
        <v>-0.03</v>
      </c>
      <c r="M1686">
        <v>13.7</v>
      </c>
      <c r="N1686">
        <v>32.090000000000003</v>
      </c>
    </row>
    <row r="1687" spans="1:14">
      <c r="A1687" s="2" t="s">
        <v>1715</v>
      </c>
      <c r="B1687" t="s">
        <v>5508</v>
      </c>
      <c r="C1687">
        <v>5.83</v>
      </c>
      <c r="D1687">
        <v>2.59</v>
      </c>
      <c r="E1687">
        <v>2.8</v>
      </c>
      <c r="F1687">
        <v>11.96</v>
      </c>
      <c r="G1687">
        <v>-10.27</v>
      </c>
      <c r="H1687">
        <v>-4.54</v>
      </c>
      <c r="I1687">
        <v>8.64</v>
      </c>
      <c r="J1687">
        <v>18.100000000000001</v>
      </c>
      <c r="K1687">
        <v>18.78</v>
      </c>
      <c r="L1687">
        <v>30.68</v>
      </c>
      <c r="M1687">
        <v>18.12</v>
      </c>
      <c r="N1687">
        <v>5.4</v>
      </c>
    </row>
    <row r="1688" spans="1:14">
      <c r="A1688" s="2" t="s">
        <v>1716</v>
      </c>
      <c r="B1688" t="s">
        <v>5509</v>
      </c>
      <c r="C1688">
        <v>21.19</v>
      </c>
      <c r="D1688">
        <v>12.54</v>
      </c>
      <c r="E1688">
        <v>-0.06</v>
      </c>
      <c r="F1688">
        <v>-21.97</v>
      </c>
      <c r="G1688">
        <v>-43.2</v>
      </c>
      <c r="H1688">
        <v>40.24</v>
      </c>
      <c r="I1688">
        <v>2.4300000000000002</v>
      </c>
      <c r="J1688">
        <v>65.239999999999995</v>
      </c>
      <c r="K1688">
        <v>12.59</v>
      </c>
      <c r="L1688">
        <v>-1.73</v>
      </c>
      <c r="M1688">
        <v>-38.56</v>
      </c>
      <c r="N1688">
        <v>-25.46</v>
      </c>
    </row>
    <row r="1689" spans="1:14">
      <c r="A1689" s="2" t="s">
        <v>1717</v>
      </c>
      <c r="B1689" t="s">
        <v>5510</v>
      </c>
      <c r="C1689">
        <v>12.12</v>
      </c>
      <c r="D1689">
        <v>14.47</v>
      </c>
      <c r="E1689">
        <v>-10.96</v>
      </c>
      <c r="F1689">
        <v>-21.92</v>
      </c>
      <c r="G1689">
        <v>13.85</v>
      </c>
      <c r="H1689">
        <v>-9.49</v>
      </c>
      <c r="I1689">
        <v>-9.49</v>
      </c>
      <c r="J1689">
        <v>11.41</v>
      </c>
      <c r="K1689">
        <v>14.1</v>
      </c>
      <c r="L1689">
        <v>-15.87</v>
      </c>
      <c r="M1689">
        <v>-33.75</v>
      </c>
      <c r="N1689">
        <v>44.7</v>
      </c>
    </row>
    <row r="1690" spans="1:14">
      <c r="A1690" s="2" t="s">
        <v>1718</v>
      </c>
      <c r="B1690" t="s">
        <v>5511</v>
      </c>
      <c r="C1690">
        <v>-17.02</v>
      </c>
      <c r="D1690">
        <v>-1.47</v>
      </c>
      <c r="E1690">
        <v>15.91</v>
      </c>
      <c r="F1690">
        <v>5.27</v>
      </c>
      <c r="G1690">
        <v>2.5</v>
      </c>
      <c r="H1690">
        <v>13.96</v>
      </c>
      <c r="I1690">
        <v>-11.77</v>
      </c>
      <c r="J1690">
        <v>0.9</v>
      </c>
      <c r="K1690">
        <v>30.64</v>
      </c>
      <c r="L1690">
        <v>8</v>
      </c>
      <c r="M1690">
        <v>19.8</v>
      </c>
      <c r="N1690">
        <v>21.21</v>
      </c>
    </row>
    <row r="1691" spans="1:14">
      <c r="A1691" s="2" t="s">
        <v>1719</v>
      </c>
      <c r="B1691" t="s">
        <v>5512</v>
      </c>
      <c r="C1691">
        <v>19.579999999999998</v>
      </c>
      <c r="D1691">
        <v>-22.64</v>
      </c>
      <c r="E1691">
        <v>4.5</v>
      </c>
      <c r="F1691">
        <v>21.37</v>
      </c>
      <c r="G1691">
        <v>-11.53</v>
      </c>
      <c r="I1691">
        <v>-14.92</v>
      </c>
      <c r="J1691">
        <v>-38.72</v>
      </c>
      <c r="K1691">
        <v>-28.77</v>
      </c>
      <c r="L1691">
        <v>-15.54</v>
      </c>
      <c r="M1691">
        <v>-23.02</v>
      </c>
    </row>
    <row r="1692" spans="1:14">
      <c r="A1692" s="2" t="s">
        <v>1720</v>
      </c>
      <c r="B1692" t="s">
        <v>5513</v>
      </c>
      <c r="C1692">
        <v>0.8</v>
      </c>
      <c r="D1692">
        <v>9.5299999999999994</v>
      </c>
      <c r="E1692">
        <v>22.36</v>
      </c>
      <c r="F1692">
        <v>1.81</v>
      </c>
      <c r="G1692">
        <v>19.64</v>
      </c>
      <c r="H1692">
        <v>38.29</v>
      </c>
      <c r="I1692">
        <v>24.57</v>
      </c>
      <c r="J1692">
        <v>26.77</v>
      </c>
      <c r="K1692">
        <v>90.16</v>
      </c>
      <c r="L1692">
        <v>570.5</v>
      </c>
      <c r="M1692">
        <v>227.3</v>
      </c>
      <c r="N1692">
        <v>422.68</v>
      </c>
    </row>
    <row r="1693" spans="1:14">
      <c r="A1693" s="2" t="s">
        <v>1721</v>
      </c>
      <c r="B1693" t="s">
        <v>5514</v>
      </c>
      <c r="C1693">
        <v>-7</v>
      </c>
      <c r="D1693">
        <v>6.06</v>
      </c>
      <c r="E1693">
        <v>48.74</v>
      </c>
      <c r="F1693">
        <v>3.26</v>
      </c>
      <c r="G1693">
        <v>126.41</v>
      </c>
      <c r="H1693">
        <v>-40.119999999999997</v>
      </c>
      <c r="I1693">
        <v>-18.690000000000001</v>
      </c>
      <c r="J1693">
        <v>-11.88</v>
      </c>
      <c r="K1693">
        <v>24.91</v>
      </c>
      <c r="L1693">
        <v>81.47</v>
      </c>
      <c r="M1693">
        <v>203.46</v>
      </c>
      <c r="N1693">
        <v>193.85</v>
      </c>
    </row>
    <row r="1694" spans="1:14">
      <c r="A1694" s="2" t="s">
        <v>1722</v>
      </c>
      <c r="B1694" t="s">
        <v>5515</v>
      </c>
      <c r="C1694">
        <v>-18.86</v>
      </c>
      <c r="D1694">
        <v>-35.83</v>
      </c>
      <c r="E1694">
        <v>20.53</v>
      </c>
      <c r="F1694">
        <v>-17.54</v>
      </c>
      <c r="G1694">
        <v>34.76</v>
      </c>
      <c r="I1694">
        <v>-44.97</v>
      </c>
      <c r="J1694">
        <v>-47.25</v>
      </c>
      <c r="K1694">
        <v>-45.22</v>
      </c>
      <c r="L1694">
        <v>-46.12</v>
      </c>
      <c r="M1694">
        <v>-37.99</v>
      </c>
    </row>
    <row r="1695" spans="1:14">
      <c r="A1695" s="2" t="s">
        <v>1723</v>
      </c>
      <c r="B1695" t="s">
        <v>5516</v>
      </c>
      <c r="C1695">
        <v>12.02</v>
      </c>
      <c r="D1695">
        <v>9.26</v>
      </c>
      <c r="E1695">
        <v>15.14</v>
      </c>
      <c r="F1695">
        <v>20.88</v>
      </c>
      <c r="G1695">
        <v>-25.54</v>
      </c>
      <c r="H1695">
        <v>-18.54</v>
      </c>
      <c r="I1695">
        <v>21.91</v>
      </c>
      <c r="J1695">
        <v>10.59</v>
      </c>
      <c r="K1695">
        <v>38.869999999999997</v>
      </c>
      <c r="L1695">
        <v>42.3</v>
      </c>
      <c r="M1695">
        <v>-3.31</v>
      </c>
      <c r="N1695">
        <v>15.46</v>
      </c>
    </row>
    <row r="1696" spans="1:14">
      <c r="A1696" s="2" t="s">
        <v>1724</v>
      </c>
      <c r="B1696" t="s">
        <v>5517</v>
      </c>
      <c r="C1696">
        <v>5.56</v>
      </c>
      <c r="D1696">
        <v>-5.2</v>
      </c>
      <c r="E1696">
        <v>5.51</v>
      </c>
      <c r="F1696">
        <v>1.44</v>
      </c>
      <c r="G1696">
        <v>4.92</v>
      </c>
      <c r="H1696">
        <v>-10.210000000000001</v>
      </c>
      <c r="I1696">
        <v>-15.1</v>
      </c>
      <c r="J1696">
        <v>-16.89</v>
      </c>
      <c r="K1696">
        <v>-27.95</v>
      </c>
      <c r="L1696">
        <v>-14.21</v>
      </c>
      <c r="M1696">
        <v>30.32</v>
      </c>
      <c r="N1696">
        <v>12.13</v>
      </c>
    </row>
    <row r="1697" spans="1:14">
      <c r="A1697" s="2" t="s">
        <v>1725</v>
      </c>
      <c r="B1697" t="s">
        <v>5518</v>
      </c>
      <c r="C1697">
        <v>-0.06</v>
      </c>
      <c r="D1697">
        <v>-4.3499999999999996</v>
      </c>
      <c r="E1697">
        <v>-9.15</v>
      </c>
      <c r="F1697">
        <v>13.46</v>
      </c>
      <c r="G1697">
        <v>3.19</v>
      </c>
      <c r="I1697">
        <v>7.11</v>
      </c>
      <c r="J1697">
        <v>0.14000000000000001</v>
      </c>
      <c r="K1697">
        <v>0.2</v>
      </c>
      <c r="L1697">
        <v>17.27</v>
      </c>
      <c r="M1697">
        <v>7.69</v>
      </c>
    </row>
    <row r="1698" spans="1:14">
      <c r="A1698" s="2" t="s">
        <v>1726</v>
      </c>
      <c r="B1698" t="s">
        <v>5519</v>
      </c>
      <c r="C1698">
        <v>5.22</v>
      </c>
      <c r="D1698">
        <v>-11.74</v>
      </c>
      <c r="E1698">
        <v>6.31</v>
      </c>
      <c r="F1698">
        <v>-2.33</v>
      </c>
      <c r="G1698">
        <v>4.93</v>
      </c>
      <c r="H1698">
        <v>-1.05</v>
      </c>
      <c r="I1698">
        <v>13.82</v>
      </c>
      <c r="J1698">
        <v>9.01</v>
      </c>
      <c r="K1698">
        <v>22.89</v>
      </c>
      <c r="L1698">
        <v>18.22</v>
      </c>
      <c r="M1698">
        <v>14</v>
      </c>
      <c r="N1698">
        <v>1.43</v>
      </c>
    </row>
    <row r="1699" spans="1:14">
      <c r="A1699" s="2" t="s">
        <v>1727</v>
      </c>
      <c r="B1699" t="s">
        <v>5520</v>
      </c>
      <c r="C1699">
        <v>-40.35</v>
      </c>
      <c r="D1699">
        <v>117.05</v>
      </c>
      <c r="E1699">
        <v>-23.28</v>
      </c>
      <c r="F1699">
        <v>36.11</v>
      </c>
      <c r="G1699">
        <v>103.53</v>
      </c>
      <c r="I1699">
        <v>-13.73</v>
      </c>
      <c r="J1699">
        <v>-69.760000000000005</v>
      </c>
      <c r="K1699">
        <v>-43.62</v>
      </c>
      <c r="L1699">
        <v>-23.7</v>
      </c>
      <c r="M1699">
        <v>11.88</v>
      </c>
    </row>
    <row r="1700" spans="1:14">
      <c r="A1700" s="2" t="s">
        <v>1728</v>
      </c>
      <c r="B1700" t="s">
        <v>5521</v>
      </c>
      <c r="C1700">
        <v>59.1</v>
      </c>
      <c r="D1700">
        <v>50.24</v>
      </c>
      <c r="E1700">
        <v>-40.69</v>
      </c>
      <c r="F1700">
        <v>85.81</v>
      </c>
      <c r="G1700">
        <v>-43.92</v>
      </c>
      <c r="H1700">
        <v>144.80000000000001</v>
      </c>
      <c r="I1700">
        <v>136.74</v>
      </c>
      <c r="J1700">
        <v>406.9</v>
      </c>
      <c r="K1700">
        <v>29.69</v>
      </c>
      <c r="L1700">
        <v>136.29</v>
      </c>
      <c r="M1700">
        <v>82.22</v>
      </c>
      <c r="N1700">
        <v>63.45</v>
      </c>
    </row>
    <row r="1701" spans="1:14">
      <c r="A1701" s="2" t="s">
        <v>1729</v>
      </c>
      <c r="B1701" t="s">
        <v>5522</v>
      </c>
      <c r="C1701">
        <v>6.87</v>
      </c>
      <c r="D1701">
        <v>-8.8699999999999992</v>
      </c>
      <c r="E1701">
        <v>9.99</v>
      </c>
      <c r="F1701">
        <v>-8.6999999999999993</v>
      </c>
      <c r="G1701">
        <v>8.1999999999999993</v>
      </c>
      <c r="I1701">
        <v>-1.59</v>
      </c>
      <c r="J1701">
        <v>-10.53</v>
      </c>
      <c r="K1701">
        <v>6.56</v>
      </c>
      <c r="L1701">
        <v>-13.63</v>
      </c>
      <c r="M1701">
        <v>-8.1999999999999993</v>
      </c>
    </row>
    <row r="1702" spans="1:14">
      <c r="A1702" s="2" t="s">
        <v>1730</v>
      </c>
      <c r="B1702" t="s">
        <v>5523</v>
      </c>
      <c r="C1702">
        <v>6.61</v>
      </c>
      <c r="D1702">
        <v>-1.38</v>
      </c>
      <c r="E1702">
        <v>-2.11</v>
      </c>
      <c r="F1702">
        <v>3.31</v>
      </c>
      <c r="G1702">
        <v>-4.3</v>
      </c>
      <c r="H1702">
        <v>1.77</v>
      </c>
      <c r="I1702">
        <v>10.220000000000001</v>
      </c>
      <c r="J1702">
        <v>25.76</v>
      </c>
      <c r="K1702">
        <v>21.95</v>
      </c>
      <c r="L1702">
        <v>14.72</v>
      </c>
      <c r="M1702">
        <v>20.98</v>
      </c>
      <c r="N1702">
        <v>21.75</v>
      </c>
    </row>
    <row r="1703" spans="1:14">
      <c r="A1703" s="2" t="s">
        <v>1731</v>
      </c>
      <c r="B1703" t="s">
        <v>5524</v>
      </c>
      <c r="C1703">
        <v>32.47</v>
      </c>
      <c r="D1703">
        <v>-15.33</v>
      </c>
      <c r="E1703">
        <v>11.32</v>
      </c>
      <c r="F1703">
        <v>-14.76</v>
      </c>
      <c r="G1703">
        <v>40.200000000000003</v>
      </c>
      <c r="H1703">
        <v>-28.47</v>
      </c>
      <c r="I1703">
        <v>88.4</v>
      </c>
      <c r="J1703">
        <v>22.45</v>
      </c>
      <c r="K1703">
        <v>66.099999999999994</v>
      </c>
      <c r="L1703">
        <v>41.88</v>
      </c>
      <c r="M1703">
        <v>-5.98</v>
      </c>
      <c r="N1703">
        <v>21.99</v>
      </c>
    </row>
    <row r="1704" spans="1:14">
      <c r="A1704" s="2" t="s">
        <v>1732</v>
      </c>
      <c r="B1704" t="s">
        <v>5525</v>
      </c>
      <c r="C1704">
        <v>-4.29</v>
      </c>
      <c r="D1704">
        <v>-18.78</v>
      </c>
      <c r="E1704">
        <v>-9.2200000000000006</v>
      </c>
      <c r="F1704">
        <v>91.34</v>
      </c>
      <c r="G1704">
        <v>-23.42</v>
      </c>
      <c r="H1704">
        <v>-50.17</v>
      </c>
      <c r="I1704">
        <v>-45.57</v>
      </c>
      <c r="J1704">
        <v>-56.9</v>
      </c>
      <c r="K1704">
        <v>-58.87</v>
      </c>
      <c r="L1704">
        <v>-24.35</v>
      </c>
      <c r="M1704">
        <v>-60.37</v>
      </c>
      <c r="N1704">
        <v>-48.88</v>
      </c>
    </row>
    <row r="1705" spans="1:14">
      <c r="A1705" s="2" t="s">
        <v>1733</v>
      </c>
      <c r="B1705" t="s">
        <v>5526</v>
      </c>
      <c r="C1705">
        <v>2.34</v>
      </c>
      <c r="D1705">
        <v>-11.53</v>
      </c>
      <c r="E1705">
        <v>0.43</v>
      </c>
      <c r="F1705">
        <v>1.64</v>
      </c>
      <c r="G1705">
        <v>2.8</v>
      </c>
      <c r="H1705">
        <v>4.66</v>
      </c>
      <c r="I1705">
        <v>-20.96</v>
      </c>
      <c r="J1705">
        <v>-13.12</v>
      </c>
      <c r="K1705">
        <v>-10.18</v>
      </c>
      <c r="L1705">
        <v>-9.68</v>
      </c>
      <c r="M1705">
        <v>-15.89</v>
      </c>
      <c r="N1705">
        <v>-9.98</v>
      </c>
    </row>
    <row r="1706" spans="1:14">
      <c r="A1706" s="2" t="s">
        <v>1734</v>
      </c>
      <c r="B1706" t="s">
        <v>5527</v>
      </c>
      <c r="C1706">
        <v>-17.21</v>
      </c>
      <c r="D1706">
        <v>-10.3</v>
      </c>
      <c r="E1706">
        <v>-15.67</v>
      </c>
      <c r="F1706">
        <v>19.489999999999998</v>
      </c>
      <c r="G1706">
        <v>25.64</v>
      </c>
      <c r="H1706">
        <v>31.83</v>
      </c>
      <c r="I1706">
        <v>1.27</v>
      </c>
      <c r="J1706">
        <v>-11.25</v>
      </c>
      <c r="K1706">
        <v>-3.42</v>
      </c>
      <c r="L1706">
        <v>0.76</v>
      </c>
      <c r="M1706">
        <v>30.97</v>
      </c>
      <c r="N1706">
        <v>52.21</v>
      </c>
    </row>
    <row r="1707" spans="1:14">
      <c r="A1707" s="2" t="s">
        <v>1735</v>
      </c>
      <c r="B1707" t="s">
        <v>5528</v>
      </c>
      <c r="C1707">
        <v>3.88</v>
      </c>
      <c r="D1707">
        <v>5.15</v>
      </c>
      <c r="E1707">
        <v>-12.31</v>
      </c>
      <c r="F1707">
        <v>11.76</v>
      </c>
      <c r="G1707">
        <v>14.8</v>
      </c>
      <c r="H1707">
        <v>-14.71</v>
      </c>
      <c r="I1707">
        <v>-27.83</v>
      </c>
      <c r="J1707">
        <v>9.36</v>
      </c>
      <c r="K1707">
        <v>-8.3800000000000008</v>
      </c>
      <c r="L1707">
        <v>16.739999999999998</v>
      </c>
      <c r="M1707">
        <v>20.63</v>
      </c>
      <c r="N1707">
        <v>-9.9600000000000009</v>
      </c>
    </row>
    <row r="1708" spans="1:14">
      <c r="A1708" s="2" t="s">
        <v>1736</v>
      </c>
      <c r="B1708" t="s">
        <v>5529</v>
      </c>
      <c r="C1708">
        <v>-0.72</v>
      </c>
      <c r="D1708">
        <v>21.68</v>
      </c>
      <c r="E1708">
        <v>-19.010000000000002</v>
      </c>
      <c r="F1708">
        <v>32.229999999999997</v>
      </c>
      <c r="G1708">
        <v>13.38</v>
      </c>
      <c r="H1708">
        <v>-24.37</v>
      </c>
      <c r="I1708">
        <v>-25.86</v>
      </c>
      <c r="J1708">
        <v>-40.85</v>
      </c>
      <c r="K1708">
        <v>-7.32</v>
      </c>
      <c r="L1708">
        <v>-16.809999999999999</v>
      </c>
      <c r="M1708">
        <v>-15.99</v>
      </c>
      <c r="N1708">
        <v>1.23</v>
      </c>
    </row>
    <row r="1709" spans="1:14">
      <c r="A1709" s="2" t="s">
        <v>1737</v>
      </c>
      <c r="B1709" t="s">
        <v>5530</v>
      </c>
      <c r="C1709">
        <v>8.69</v>
      </c>
      <c r="D1709">
        <v>-2.48</v>
      </c>
      <c r="E1709">
        <v>3.66</v>
      </c>
      <c r="F1709">
        <v>7.58</v>
      </c>
      <c r="G1709">
        <v>-5.18</v>
      </c>
      <c r="I1709">
        <v>30.79</v>
      </c>
      <c r="J1709">
        <v>24.36</v>
      </c>
      <c r="K1709">
        <v>26.41</v>
      </c>
      <c r="L1709">
        <v>27.82</v>
      </c>
      <c r="M1709">
        <v>16.29</v>
      </c>
    </row>
    <row r="1710" spans="1:14">
      <c r="A1710" s="2" t="s">
        <v>1738</v>
      </c>
      <c r="B1710" t="s">
        <v>5531</v>
      </c>
      <c r="C1710">
        <v>11.29</v>
      </c>
      <c r="D1710">
        <v>-18.329999999999998</v>
      </c>
      <c r="E1710">
        <v>10.72</v>
      </c>
      <c r="F1710">
        <v>-4.13</v>
      </c>
      <c r="G1710">
        <v>2.5299999999999998</v>
      </c>
      <c r="H1710">
        <v>-2.99</v>
      </c>
      <c r="I1710">
        <v>-14.85</v>
      </c>
      <c r="J1710">
        <v>-24.5</v>
      </c>
      <c r="K1710">
        <v>-14.61</v>
      </c>
      <c r="L1710">
        <v>-12.62</v>
      </c>
      <c r="M1710">
        <v>-22.71</v>
      </c>
      <c r="N1710">
        <v>-24.22</v>
      </c>
    </row>
    <row r="1711" spans="1:14">
      <c r="A1711" s="2" t="s">
        <v>1739</v>
      </c>
      <c r="B1711" t="s">
        <v>5532</v>
      </c>
      <c r="C1711">
        <v>-35.4</v>
      </c>
      <c r="D1711">
        <v>131.94</v>
      </c>
      <c r="E1711">
        <v>-1.03</v>
      </c>
      <c r="F1711">
        <v>58.64</v>
      </c>
      <c r="G1711">
        <v>8.31</v>
      </c>
      <c r="I1711">
        <v>-59.41</v>
      </c>
      <c r="J1711">
        <v>-10.95</v>
      </c>
      <c r="K1711">
        <v>16.96</v>
      </c>
      <c r="L1711">
        <v>36.44</v>
      </c>
      <c r="M1711">
        <v>54.36</v>
      </c>
    </row>
    <row r="1712" spans="1:14">
      <c r="A1712" s="2" t="s">
        <v>1740</v>
      </c>
      <c r="B1712" t="s">
        <v>5533</v>
      </c>
      <c r="C1712">
        <v>-20.57</v>
      </c>
      <c r="D1712">
        <v>193.02</v>
      </c>
      <c r="E1712">
        <v>0.47</v>
      </c>
      <c r="F1712">
        <v>-25.04</v>
      </c>
      <c r="G1712">
        <v>49.95</v>
      </c>
      <c r="H1712">
        <v>-36.47</v>
      </c>
      <c r="I1712">
        <v>-44.76</v>
      </c>
      <c r="J1712">
        <v>4.33</v>
      </c>
      <c r="K1712">
        <v>-24.15</v>
      </c>
      <c r="L1712">
        <v>-16.61</v>
      </c>
      <c r="M1712">
        <v>40.85</v>
      </c>
      <c r="N1712">
        <v>14.34</v>
      </c>
    </row>
    <row r="1713" spans="1:14">
      <c r="A1713" s="2" t="s">
        <v>1741</v>
      </c>
      <c r="B1713" t="s">
        <v>5534</v>
      </c>
      <c r="C1713">
        <v>26.85</v>
      </c>
      <c r="D1713">
        <v>-10.130000000000001</v>
      </c>
      <c r="E1713">
        <v>-22.55</v>
      </c>
      <c r="F1713">
        <v>43.01</v>
      </c>
      <c r="G1713">
        <v>-12.37</v>
      </c>
      <c r="H1713">
        <v>20.55</v>
      </c>
      <c r="I1713">
        <v>-0.62</v>
      </c>
      <c r="J1713">
        <v>18.41</v>
      </c>
      <c r="K1713">
        <v>2.44</v>
      </c>
      <c r="L1713">
        <v>-6.92</v>
      </c>
      <c r="M1713">
        <v>-26.82</v>
      </c>
      <c r="N1713">
        <v>-1.1399999999999999</v>
      </c>
    </row>
    <row r="1714" spans="1:14">
      <c r="A1714" s="2" t="s">
        <v>1742</v>
      </c>
      <c r="B1714" t="s">
        <v>5535</v>
      </c>
      <c r="C1714">
        <v>2.74</v>
      </c>
      <c r="D1714">
        <v>-21.95</v>
      </c>
      <c r="E1714">
        <v>-35.700000000000003</v>
      </c>
      <c r="F1714">
        <v>23.15</v>
      </c>
      <c r="G1714">
        <v>26.4</v>
      </c>
      <c r="H1714">
        <v>50.44</v>
      </c>
      <c r="I1714">
        <v>75.28</v>
      </c>
      <c r="J1714">
        <v>95.79</v>
      </c>
      <c r="K1714">
        <v>-34.11</v>
      </c>
      <c r="L1714">
        <v>6.31</v>
      </c>
      <c r="M1714">
        <v>9.09</v>
      </c>
      <c r="N1714">
        <v>142</v>
      </c>
    </row>
    <row r="1715" spans="1:14">
      <c r="A1715" s="2" t="s">
        <v>1743</v>
      </c>
      <c r="B1715" t="s">
        <v>5536</v>
      </c>
      <c r="C1715">
        <v>3.92</v>
      </c>
      <c r="D1715">
        <v>-0.61</v>
      </c>
      <c r="E1715">
        <v>-7.69</v>
      </c>
      <c r="F1715">
        <v>3.16</v>
      </c>
      <c r="G1715">
        <v>-16.09</v>
      </c>
      <c r="H1715">
        <v>15.33</v>
      </c>
      <c r="I1715">
        <v>3.37</v>
      </c>
      <c r="J1715">
        <v>22.89</v>
      </c>
      <c r="K1715">
        <v>2.29</v>
      </c>
      <c r="L1715">
        <v>5.45</v>
      </c>
      <c r="M1715">
        <v>-10.24</v>
      </c>
      <c r="N1715">
        <v>2.96</v>
      </c>
    </row>
    <row r="1716" spans="1:14">
      <c r="A1716" s="2" t="s">
        <v>1744</v>
      </c>
      <c r="B1716" t="s">
        <v>5537</v>
      </c>
      <c r="C1716">
        <v>10.09</v>
      </c>
      <c r="D1716">
        <v>-7.67</v>
      </c>
      <c r="E1716">
        <v>-0.67</v>
      </c>
      <c r="F1716">
        <v>-13.58</v>
      </c>
      <c r="G1716">
        <v>5.98</v>
      </c>
      <c r="I1716">
        <v>46</v>
      </c>
      <c r="J1716">
        <v>41.06</v>
      </c>
      <c r="K1716">
        <v>33.909999999999997</v>
      </c>
      <c r="L1716">
        <v>19.02</v>
      </c>
      <c r="M1716">
        <v>18.41</v>
      </c>
    </row>
    <row r="1717" spans="1:14">
      <c r="A1717" s="2" t="s">
        <v>1745</v>
      </c>
      <c r="B1717" t="s">
        <v>5538</v>
      </c>
      <c r="C1717">
        <v>4.3600000000000003</v>
      </c>
      <c r="D1717">
        <v>897.75</v>
      </c>
      <c r="E1717">
        <v>-67.84</v>
      </c>
      <c r="F1717">
        <v>70.62</v>
      </c>
      <c r="G1717">
        <v>685.75</v>
      </c>
      <c r="H1717">
        <v>-68.59</v>
      </c>
      <c r="I1717">
        <v>12.78</v>
      </c>
      <c r="J1717">
        <v>1197.1199999999999</v>
      </c>
      <c r="K1717">
        <v>194.36</v>
      </c>
      <c r="L1717">
        <v>415.56</v>
      </c>
      <c r="M1717">
        <v>3403.75</v>
      </c>
      <c r="N1717">
        <v>604.32000000000005</v>
      </c>
    </row>
    <row r="1718" spans="1:14">
      <c r="A1718" s="2" t="s">
        <v>1746</v>
      </c>
      <c r="B1718" t="s">
        <v>5539</v>
      </c>
      <c r="C1718">
        <v>-17.54</v>
      </c>
      <c r="D1718">
        <v>-1.31</v>
      </c>
      <c r="E1718">
        <v>-12.54</v>
      </c>
      <c r="F1718">
        <v>-27.02</v>
      </c>
      <c r="G1718">
        <v>18.97</v>
      </c>
      <c r="H1718">
        <v>-11.47</v>
      </c>
      <c r="I1718">
        <v>25.11</v>
      </c>
      <c r="J1718">
        <v>32.93</v>
      </c>
      <c r="K1718">
        <v>-12.2</v>
      </c>
      <c r="L1718">
        <v>-28.44</v>
      </c>
      <c r="M1718">
        <v>-21.36</v>
      </c>
      <c r="N1718">
        <v>45.28</v>
      </c>
    </row>
    <row r="1719" spans="1:14">
      <c r="A1719" s="2" t="s">
        <v>1747</v>
      </c>
      <c r="B1719" t="s">
        <v>5540</v>
      </c>
      <c r="C1719">
        <v>7.25</v>
      </c>
      <c r="D1719">
        <v>-18.21</v>
      </c>
      <c r="E1719">
        <v>-11.66</v>
      </c>
      <c r="F1719">
        <v>17.690000000000001</v>
      </c>
      <c r="G1719">
        <v>25.73</v>
      </c>
      <c r="H1719">
        <v>30.14</v>
      </c>
      <c r="I1719">
        <v>100.65</v>
      </c>
      <c r="J1719">
        <v>64.19</v>
      </c>
      <c r="K1719">
        <v>11.58</v>
      </c>
      <c r="L1719">
        <v>32.01</v>
      </c>
      <c r="M1719">
        <v>41</v>
      </c>
      <c r="N1719">
        <v>73.83</v>
      </c>
    </row>
    <row r="1720" spans="1:14">
      <c r="A1720" s="2" t="s">
        <v>1748</v>
      </c>
      <c r="B1720" t="s">
        <v>5541</v>
      </c>
      <c r="C1720">
        <v>7.68</v>
      </c>
      <c r="D1720">
        <v>-0.04</v>
      </c>
      <c r="E1720">
        <v>5.1100000000000003</v>
      </c>
      <c r="F1720">
        <v>-5.36</v>
      </c>
      <c r="G1720">
        <v>21.18</v>
      </c>
      <c r="I1720">
        <v>2.98</v>
      </c>
      <c r="J1720">
        <v>-4.59</v>
      </c>
      <c r="K1720">
        <v>7.16</v>
      </c>
      <c r="L1720">
        <v>-8.6</v>
      </c>
      <c r="M1720">
        <v>6.82</v>
      </c>
    </row>
    <row r="1721" spans="1:14">
      <c r="A1721" s="2" t="s">
        <v>1749</v>
      </c>
      <c r="B1721" t="s">
        <v>5542</v>
      </c>
      <c r="C1721">
        <v>-15.01</v>
      </c>
      <c r="D1721">
        <v>70.760000000000005</v>
      </c>
      <c r="E1721">
        <v>-15.58</v>
      </c>
      <c r="F1721">
        <v>-17.8</v>
      </c>
      <c r="G1721">
        <v>-16.84</v>
      </c>
      <c r="H1721">
        <v>50.26</v>
      </c>
      <c r="I1721">
        <v>87.28</v>
      </c>
      <c r="J1721">
        <v>100.93</v>
      </c>
      <c r="K1721">
        <v>62.17</v>
      </c>
      <c r="L1721">
        <v>59.98</v>
      </c>
      <c r="M1721">
        <v>17.170000000000002</v>
      </c>
      <c r="N1721">
        <v>42.6</v>
      </c>
    </row>
    <row r="1722" spans="1:14">
      <c r="A1722" s="2" t="s">
        <v>1750</v>
      </c>
      <c r="B1722" t="s">
        <v>5543</v>
      </c>
      <c r="C1722">
        <v>2.35</v>
      </c>
      <c r="D1722">
        <v>14.4</v>
      </c>
      <c r="E1722">
        <v>-4.24</v>
      </c>
      <c r="F1722">
        <v>9</v>
      </c>
      <c r="G1722">
        <v>27.07</v>
      </c>
      <c r="H1722">
        <v>13.82</v>
      </c>
      <c r="I1722">
        <v>23.62</v>
      </c>
      <c r="J1722">
        <v>32.18</v>
      </c>
      <c r="K1722">
        <v>18.11</v>
      </c>
      <c r="L1722">
        <v>45.07</v>
      </c>
      <c r="M1722">
        <v>51.37</v>
      </c>
      <c r="N1722">
        <v>102.92</v>
      </c>
    </row>
    <row r="1723" spans="1:14">
      <c r="A1723" s="2" t="s">
        <v>1751</v>
      </c>
      <c r="B1723" t="s">
        <v>5544</v>
      </c>
      <c r="C1723">
        <v>6.82</v>
      </c>
      <c r="D1723">
        <v>2.63</v>
      </c>
      <c r="E1723">
        <v>3.88</v>
      </c>
      <c r="F1723">
        <v>-4</v>
      </c>
      <c r="G1723">
        <v>8.3800000000000008</v>
      </c>
      <c r="H1723">
        <v>4.2300000000000004</v>
      </c>
      <c r="I1723">
        <v>90.18</v>
      </c>
      <c r="J1723">
        <v>74.22</v>
      </c>
      <c r="K1723">
        <v>106.48</v>
      </c>
      <c r="L1723">
        <v>97.5</v>
      </c>
      <c r="M1723">
        <v>62.82</v>
      </c>
      <c r="N1723">
        <v>80.569999999999993</v>
      </c>
    </row>
    <row r="1724" spans="1:14">
      <c r="A1724" s="2" t="s">
        <v>1752</v>
      </c>
      <c r="B1724" t="s">
        <v>5545</v>
      </c>
      <c r="C1724">
        <v>16.28</v>
      </c>
      <c r="D1724">
        <v>-21.91</v>
      </c>
      <c r="E1724">
        <v>-16.05</v>
      </c>
      <c r="F1724">
        <v>11.38</v>
      </c>
      <c r="G1724">
        <v>9.65</v>
      </c>
      <c r="I1724">
        <v>26.61</v>
      </c>
      <c r="J1724">
        <v>-6.87</v>
      </c>
      <c r="K1724">
        <v>-13.16</v>
      </c>
      <c r="L1724">
        <v>-8.9600000000000009</v>
      </c>
      <c r="M1724">
        <v>-2.61</v>
      </c>
    </row>
    <row r="1725" spans="1:14">
      <c r="A1725" s="2" t="s">
        <v>1753</v>
      </c>
      <c r="B1725" t="s">
        <v>5546</v>
      </c>
      <c r="C1725">
        <v>19.32</v>
      </c>
      <c r="D1725">
        <v>-14.18</v>
      </c>
      <c r="E1725">
        <v>-2.4</v>
      </c>
      <c r="F1725">
        <v>-8.07</v>
      </c>
      <c r="G1725">
        <v>30.37</v>
      </c>
      <c r="I1725">
        <v>1.5</v>
      </c>
      <c r="J1725">
        <v>7.15</v>
      </c>
      <c r="K1725">
        <v>14.18</v>
      </c>
      <c r="L1725">
        <v>-4.3600000000000003</v>
      </c>
      <c r="M1725">
        <v>8.4600000000000009</v>
      </c>
    </row>
    <row r="1726" spans="1:14">
      <c r="A1726" s="2" t="s">
        <v>1754</v>
      </c>
      <c r="B1726" t="s">
        <v>5547</v>
      </c>
      <c r="C1726">
        <v>-26.31</v>
      </c>
      <c r="D1726">
        <v>9.93</v>
      </c>
      <c r="E1726">
        <v>-7.22</v>
      </c>
      <c r="F1726">
        <v>23.57</v>
      </c>
      <c r="G1726">
        <v>41.5</v>
      </c>
      <c r="H1726">
        <v>-11.72</v>
      </c>
      <c r="I1726">
        <v>-4.3499999999999996</v>
      </c>
      <c r="J1726">
        <v>23.81</v>
      </c>
      <c r="K1726">
        <v>-14.58</v>
      </c>
      <c r="L1726">
        <v>34.049999999999997</v>
      </c>
      <c r="M1726">
        <v>-28.24</v>
      </c>
      <c r="N1726">
        <v>43.43</v>
      </c>
    </row>
    <row r="1727" spans="1:14">
      <c r="A1727" s="2" t="s">
        <v>1755</v>
      </c>
      <c r="B1727" t="s">
        <v>5548</v>
      </c>
      <c r="C1727">
        <v>35.94</v>
      </c>
      <c r="D1727">
        <v>0.08</v>
      </c>
      <c r="E1727">
        <v>16.14</v>
      </c>
      <c r="F1727">
        <v>-5.94</v>
      </c>
      <c r="G1727">
        <v>11.09</v>
      </c>
      <c r="I1727">
        <v>20.68</v>
      </c>
      <c r="J1727">
        <v>-16.13</v>
      </c>
      <c r="K1727">
        <v>62.01</v>
      </c>
      <c r="L1727">
        <v>-29.66</v>
      </c>
      <c r="M1727">
        <v>-13.38</v>
      </c>
    </row>
    <row r="1728" spans="1:14">
      <c r="A1728" s="2" t="s">
        <v>1756</v>
      </c>
      <c r="B1728" t="s">
        <v>5549</v>
      </c>
      <c r="C1728">
        <v>4.29</v>
      </c>
      <c r="D1728">
        <v>5.05</v>
      </c>
      <c r="E1728">
        <v>2.08</v>
      </c>
      <c r="F1728">
        <v>3.57</v>
      </c>
      <c r="G1728">
        <v>10.039999999999999</v>
      </c>
      <c r="H1728">
        <v>0.35</v>
      </c>
      <c r="I1728">
        <v>145.9</v>
      </c>
      <c r="J1728">
        <v>131.25</v>
      </c>
      <c r="K1728">
        <v>95.15</v>
      </c>
      <c r="L1728">
        <v>94.44</v>
      </c>
      <c r="M1728">
        <v>74.53</v>
      </c>
      <c r="N1728">
        <v>73.94</v>
      </c>
    </row>
    <row r="1729" spans="1:14">
      <c r="A1729" s="2" t="s">
        <v>1757</v>
      </c>
      <c r="B1729" t="s">
        <v>5550</v>
      </c>
      <c r="C1729">
        <v>-15.65</v>
      </c>
      <c r="D1729">
        <v>4.12</v>
      </c>
      <c r="E1729">
        <v>-10.35</v>
      </c>
      <c r="F1729">
        <v>16.329999999999998</v>
      </c>
      <c r="G1729">
        <v>-31.28</v>
      </c>
      <c r="H1729">
        <v>-55.87</v>
      </c>
      <c r="I1729">
        <v>-17.260000000000002</v>
      </c>
      <c r="J1729">
        <v>14.51</v>
      </c>
      <c r="K1729">
        <v>-2.5299999999999998</v>
      </c>
      <c r="L1729">
        <v>1.23</v>
      </c>
      <c r="M1729">
        <v>3.63</v>
      </c>
      <c r="N1729">
        <v>6.52</v>
      </c>
    </row>
    <row r="1730" spans="1:14">
      <c r="A1730" s="2" t="s">
        <v>1758</v>
      </c>
      <c r="B1730" t="s">
        <v>5551</v>
      </c>
      <c r="E1730">
        <v>-1997</v>
      </c>
      <c r="G1730">
        <v>48.46</v>
      </c>
      <c r="H1730">
        <v>-28.81</v>
      </c>
      <c r="I1730">
        <v>-25.66</v>
      </c>
      <c r="K1730">
        <v>-863.78</v>
      </c>
      <c r="L1730">
        <v>64.03</v>
      </c>
      <c r="M1730">
        <v>382.4</v>
      </c>
    </row>
    <row r="1731" spans="1:14">
      <c r="A1731" s="2" t="s">
        <v>1759</v>
      </c>
      <c r="B1731" t="s">
        <v>5552</v>
      </c>
      <c r="C1731">
        <v>-1.54</v>
      </c>
      <c r="D1731">
        <v>4.01</v>
      </c>
      <c r="E1731">
        <v>-10.93</v>
      </c>
      <c r="F1731">
        <v>147.32</v>
      </c>
      <c r="G1731">
        <v>-45.68</v>
      </c>
      <c r="H1731">
        <v>-24.38</v>
      </c>
      <c r="I1731">
        <v>43.13</v>
      </c>
      <c r="J1731">
        <v>45.5</v>
      </c>
      <c r="K1731">
        <v>13.41</v>
      </c>
      <c r="L1731">
        <v>16.579999999999998</v>
      </c>
      <c r="M1731">
        <v>30.7</v>
      </c>
      <c r="N1731">
        <v>61.36</v>
      </c>
    </row>
    <row r="1732" spans="1:14">
      <c r="A1732" s="2" t="s">
        <v>1760</v>
      </c>
      <c r="B1732" t="s">
        <v>5553</v>
      </c>
      <c r="C1732">
        <v>20.85</v>
      </c>
      <c r="D1732">
        <v>-3.85</v>
      </c>
      <c r="E1732">
        <v>-9.93</v>
      </c>
      <c r="F1732">
        <v>17.940000000000001</v>
      </c>
      <c r="G1732">
        <v>-5.45</v>
      </c>
      <c r="I1732">
        <v>5.35</v>
      </c>
      <c r="J1732">
        <v>-3.22</v>
      </c>
      <c r="K1732">
        <v>-20.78</v>
      </c>
      <c r="L1732">
        <v>-4.93</v>
      </c>
      <c r="M1732">
        <v>-9.15</v>
      </c>
    </row>
    <row r="1733" spans="1:14">
      <c r="A1733" s="2" t="s">
        <v>1761</v>
      </c>
      <c r="B1733" t="s">
        <v>5554</v>
      </c>
      <c r="C1733">
        <v>17.48</v>
      </c>
      <c r="D1733">
        <v>-4.6500000000000004</v>
      </c>
      <c r="E1733">
        <v>-19.78</v>
      </c>
      <c r="F1733">
        <v>-43.62</v>
      </c>
      <c r="G1733">
        <v>-42.09</v>
      </c>
      <c r="H1733">
        <v>-10.97</v>
      </c>
      <c r="I1733">
        <v>89.72</v>
      </c>
      <c r="J1733">
        <v>106.8</v>
      </c>
      <c r="K1733">
        <v>86.2</v>
      </c>
      <c r="L1733">
        <v>12.93</v>
      </c>
      <c r="M1733">
        <v>2.5</v>
      </c>
      <c r="N1733">
        <v>62.9</v>
      </c>
    </row>
    <row r="1734" spans="1:14">
      <c r="A1734" s="2" t="s">
        <v>1762</v>
      </c>
      <c r="B1734" t="s">
        <v>5555</v>
      </c>
      <c r="C1734">
        <v>5.92</v>
      </c>
      <c r="D1734">
        <v>-3.41</v>
      </c>
      <c r="E1734">
        <v>9.2200000000000006</v>
      </c>
      <c r="F1734">
        <v>-5.99</v>
      </c>
      <c r="G1734">
        <v>16.059999999999999</v>
      </c>
      <c r="H1734">
        <v>12.06</v>
      </c>
      <c r="I1734">
        <v>0.43</v>
      </c>
      <c r="J1734">
        <v>0.42</v>
      </c>
      <c r="K1734">
        <v>8.34</v>
      </c>
      <c r="L1734">
        <v>6.32</v>
      </c>
      <c r="M1734">
        <v>6.24</v>
      </c>
      <c r="N1734">
        <v>16.670000000000002</v>
      </c>
    </row>
    <row r="1735" spans="1:14">
      <c r="A1735" s="2" t="s">
        <v>1763</v>
      </c>
      <c r="B1735" t="s">
        <v>5556</v>
      </c>
      <c r="C1735">
        <v>4.8600000000000003</v>
      </c>
      <c r="D1735">
        <v>-16.88</v>
      </c>
      <c r="E1735">
        <v>-17.29</v>
      </c>
      <c r="F1735">
        <v>-18.71</v>
      </c>
      <c r="G1735">
        <v>-7.66</v>
      </c>
      <c r="I1735">
        <v>-1.68</v>
      </c>
      <c r="J1735">
        <v>2.72</v>
      </c>
      <c r="K1735">
        <v>3.75</v>
      </c>
      <c r="L1735">
        <v>-9.0299999999999994</v>
      </c>
      <c r="M1735">
        <v>-7.42</v>
      </c>
    </row>
    <row r="1736" spans="1:14">
      <c r="A1736" s="2" t="s">
        <v>1764</v>
      </c>
      <c r="B1736" t="s">
        <v>5557</v>
      </c>
      <c r="C1736">
        <v>-31.48</v>
      </c>
      <c r="D1736">
        <v>14.18</v>
      </c>
      <c r="E1736">
        <v>28.07</v>
      </c>
      <c r="F1736">
        <v>-43.79</v>
      </c>
      <c r="G1736">
        <v>176.91</v>
      </c>
      <c r="I1736">
        <v>17.02</v>
      </c>
      <c r="J1736">
        <v>11.93</v>
      </c>
      <c r="K1736">
        <v>145.79</v>
      </c>
      <c r="L1736">
        <v>-25.14</v>
      </c>
      <c r="M1736">
        <v>4.04</v>
      </c>
    </row>
    <row r="1737" spans="1:14">
      <c r="A1737" s="2" t="s">
        <v>1765</v>
      </c>
      <c r="B1737" t="s">
        <v>5558</v>
      </c>
      <c r="C1737">
        <v>49.01</v>
      </c>
      <c r="D1737">
        <v>-33.159999999999997</v>
      </c>
      <c r="E1737">
        <v>20.36</v>
      </c>
      <c r="F1737">
        <v>-0.98</v>
      </c>
      <c r="G1737">
        <v>167.54</v>
      </c>
      <c r="H1737">
        <v>-64.62</v>
      </c>
      <c r="I1737">
        <v>-45.63</v>
      </c>
      <c r="J1737">
        <v>52.9</v>
      </c>
      <c r="K1737">
        <v>32.22</v>
      </c>
      <c r="L1737">
        <v>-39.979999999999997</v>
      </c>
      <c r="M1737">
        <v>115.61</v>
      </c>
      <c r="N1737">
        <v>-14.47</v>
      </c>
    </row>
    <row r="1738" spans="1:14">
      <c r="A1738" s="2" t="s">
        <v>1766</v>
      </c>
      <c r="B1738" t="s">
        <v>5559</v>
      </c>
      <c r="C1738">
        <v>-21.07</v>
      </c>
      <c r="D1738">
        <v>71.27</v>
      </c>
      <c r="E1738">
        <v>-8.19</v>
      </c>
      <c r="F1738">
        <v>2.16</v>
      </c>
      <c r="G1738">
        <v>38.869999999999997</v>
      </c>
      <c r="H1738">
        <v>-15.52</v>
      </c>
    </row>
    <row r="1739" spans="1:14">
      <c r="A1739" s="2" t="s">
        <v>1767</v>
      </c>
      <c r="B1739" t="s">
        <v>5560</v>
      </c>
      <c r="C1739">
        <v>-9.7899999999999991</v>
      </c>
      <c r="D1739">
        <v>12.47</v>
      </c>
      <c r="E1739">
        <v>4.88</v>
      </c>
      <c r="F1739">
        <v>9.1</v>
      </c>
      <c r="G1739">
        <v>-14.89</v>
      </c>
      <c r="H1739">
        <v>20.190000000000001</v>
      </c>
      <c r="I1739">
        <v>9.7100000000000009</v>
      </c>
      <c r="J1739">
        <v>11.66</v>
      </c>
      <c r="K1739">
        <v>-9.84</v>
      </c>
      <c r="L1739">
        <v>11.44</v>
      </c>
      <c r="M1739">
        <v>17.88</v>
      </c>
      <c r="N1739">
        <v>14.95</v>
      </c>
    </row>
    <row r="1740" spans="1:14">
      <c r="A1740" s="2" t="s">
        <v>1768</v>
      </c>
      <c r="B1740" t="s">
        <v>5561</v>
      </c>
      <c r="C1740">
        <v>-12.06</v>
      </c>
      <c r="D1740">
        <v>28.18</v>
      </c>
      <c r="E1740">
        <v>-11.08</v>
      </c>
      <c r="F1740">
        <v>113.9</v>
      </c>
      <c r="G1740">
        <v>16.95</v>
      </c>
      <c r="I1740">
        <v>-0.4</v>
      </c>
      <c r="J1740">
        <v>24.91</v>
      </c>
      <c r="K1740">
        <v>-6.89</v>
      </c>
      <c r="L1740">
        <v>137.16</v>
      </c>
      <c r="M1740">
        <v>53.6</v>
      </c>
    </row>
    <row r="1741" spans="1:14">
      <c r="A1741" s="2" t="s">
        <v>1769</v>
      </c>
      <c r="B1741" t="s">
        <v>5562</v>
      </c>
      <c r="C1741">
        <v>-16.09</v>
      </c>
      <c r="D1741">
        <v>22.44</v>
      </c>
      <c r="E1741">
        <v>-18.53</v>
      </c>
      <c r="F1741">
        <v>13.99</v>
      </c>
      <c r="G1741">
        <v>4.51</v>
      </c>
      <c r="H1741">
        <v>-15.7</v>
      </c>
      <c r="I1741">
        <v>-6.88</v>
      </c>
      <c r="J1741">
        <v>18.579999999999998</v>
      </c>
      <c r="K1741">
        <v>4.6399999999999997</v>
      </c>
      <c r="L1741">
        <v>24.8</v>
      </c>
      <c r="M1741">
        <v>-4.53</v>
      </c>
      <c r="N1741">
        <v>41.46</v>
      </c>
    </row>
    <row r="1742" spans="1:14">
      <c r="A1742" s="2" t="s">
        <v>1770</v>
      </c>
      <c r="B1742" t="s">
        <v>5563</v>
      </c>
      <c r="C1742">
        <v>1.91</v>
      </c>
      <c r="D1742">
        <v>7.46</v>
      </c>
      <c r="E1742">
        <v>-2.27</v>
      </c>
      <c r="F1742">
        <v>11.18</v>
      </c>
      <c r="G1742">
        <v>4.7300000000000004</v>
      </c>
      <c r="H1742">
        <v>-5.63</v>
      </c>
      <c r="I1742">
        <v>-3.39</v>
      </c>
      <c r="J1742">
        <v>4.29</v>
      </c>
      <c r="K1742">
        <v>6.05</v>
      </c>
      <c r="L1742">
        <v>18.329999999999998</v>
      </c>
      <c r="M1742">
        <v>20.36</v>
      </c>
      <c r="N1742">
        <v>26.9</v>
      </c>
    </row>
    <row r="1743" spans="1:14">
      <c r="A1743" s="2" t="s">
        <v>1771</v>
      </c>
      <c r="B1743" t="s">
        <v>5564</v>
      </c>
      <c r="C1743">
        <v>8.07</v>
      </c>
      <c r="D1743">
        <v>7.34</v>
      </c>
      <c r="E1743">
        <v>4.5999999999999996</v>
      </c>
      <c r="F1743">
        <v>0.01</v>
      </c>
      <c r="G1743">
        <v>6.5</v>
      </c>
      <c r="H1743">
        <v>-2.77</v>
      </c>
      <c r="I1743">
        <v>21.71</v>
      </c>
      <c r="J1743">
        <v>29.91</v>
      </c>
      <c r="K1743">
        <v>38.74</v>
      </c>
      <c r="L1743">
        <v>39.19</v>
      </c>
      <c r="M1743">
        <v>44.29</v>
      </c>
      <c r="N1743">
        <v>59.17</v>
      </c>
    </row>
    <row r="1744" spans="1:14">
      <c r="A1744" s="2" t="s">
        <v>1772</v>
      </c>
      <c r="B1744" t="s">
        <v>5565</v>
      </c>
      <c r="C1744">
        <v>38.69</v>
      </c>
      <c r="D1744">
        <v>10.029999999999999</v>
      </c>
      <c r="E1744">
        <v>-32.799999999999997</v>
      </c>
      <c r="F1744">
        <v>19.46</v>
      </c>
      <c r="G1744">
        <v>26.16</v>
      </c>
      <c r="H1744">
        <v>-46.93</v>
      </c>
      <c r="I1744">
        <v>-30.51</v>
      </c>
      <c r="J1744">
        <v>-26.34</v>
      </c>
      <c r="K1744">
        <v>-28.26</v>
      </c>
      <c r="L1744">
        <v>-43.54</v>
      </c>
      <c r="M1744">
        <v>-27.99</v>
      </c>
      <c r="N1744">
        <v>-43.23</v>
      </c>
    </row>
    <row r="1745" spans="1:14">
      <c r="A1745" s="2" t="s">
        <v>1773</v>
      </c>
      <c r="B1745" t="s">
        <v>5566</v>
      </c>
      <c r="C1745">
        <v>-4.43</v>
      </c>
      <c r="D1745">
        <v>53.23</v>
      </c>
      <c r="E1745">
        <v>-27.84</v>
      </c>
      <c r="F1745">
        <v>45.68</v>
      </c>
      <c r="G1745">
        <v>133.57</v>
      </c>
      <c r="H1745">
        <v>-75.650000000000006</v>
      </c>
      <c r="I1745">
        <v>-20.34</v>
      </c>
      <c r="J1745">
        <v>21.52</v>
      </c>
      <c r="K1745">
        <v>12.26</v>
      </c>
      <c r="L1745">
        <v>18.77</v>
      </c>
      <c r="M1745">
        <v>146.44999999999999</v>
      </c>
      <c r="N1745">
        <v>43.36</v>
      </c>
    </row>
    <row r="1746" spans="1:14">
      <c r="A1746" s="2" t="s">
        <v>1774</v>
      </c>
      <c r="B1746" t="s">
        <v>5567</v>
      </c>
      <c r="C1746">
        <v>6.77</v>
      </c>
      <c r="D1746">
        <v>-4.4800000000000004</v>
      </c>
      <c r="E1746">
        <v>6.14</v>
      </c>
      <c r="F1746">
        <v>0.61</v>
      </c>
      <c r="G1746">
        <v>-2.4</v>
      </c>
      <c r="H1746">
        <v>4.8499999999999996</v>
      </c>
      <c r="I1746">
        <v>29.56</v>
      </c>
      <c r="J1746">
        <v>22.93</v>
      </c>
      <c r="K1746">
        <v>18.39</v>
      </c>
      <c r="L1746">
        <v>16.71</v>
      </c>
      <c r="M1746">
        <v>13.34</v>
      </c>
      <c r="N1746">
        <v>16.68</v>
      </c>
    </row>
    <row r="1747" spans="1:14">
      <c r="A1747" s="2" t="s">
        <v>1775</v>
      </c>
      <c r="B1747" t="s">
        <v>5568</v>
      </c>
      <c r="C1747">
        <v>8.86</v>
      </c>
      <c r="D1747">
        <v>-6.66</v>
      </c>
      <c r="E1747">
        <v>1.65</v>
      </c>
      <c r="F1747">
        <v>34.53</v>
      </c>
      <c r="G1747">
        <v>-4.8499999999999996</v>
      </c>
      <c r="H1747">
        <v>3.84</v>
      </c>
      <c r="I1747">
        <v>13.15</v>
      </c>
      <c r="J1747">
        <v>5.37</v>
      </c>
      <c r="K1747">
        <v>30.13</v>
      </c>
      <c r="L1747">
        <v>62.3</v>
      </c>
      <c r="M1747">
        <v>29.32</v>
      </c>
      <c r="N1747">
        <v>48.58</v>
      </c>
    </row>
    <row r="1748" spans="1:14">
      <c r="A1748" s="2" t="s">
        <v>1776</v>
      </c>
      <c r="B1748" t="s">
        <v>5569</v>
      </c>
      <c r="C1748">
        <v>-22.91</v>
      </c>
      <c r="D1748">
        <v>-8.69</v>
      </c>
      <c r="E1748">
        <v>27.16</v>
      </c>
      <c r="F1748">
        <v>-12.71</v>
      </c>
      <c r="G1748">
        <v>22.75</v>
      </c>
      <c r="H1748">
        <v>26.25</v>
      </c>
      <c r="I1748">
        <v>25.5</v>
      </c>
      <c r="J1748">
        <v>-11.73</v>
      </c>
      <c r="K1748">
        <v>13.69</v>
      </c>
      <c r="L1748">
        <v>16.91</v>
      </c>
      <c r="M1748">
        <v>-4.38</v>
      </c>
      <c r="N1748">
        <v>83.79</v>
      </c>
    </row>
    <row r="1749" spans="1:14">
      <c r="A1749" s="2" t="s">
        <v>1777</v>
      </c>
      <c r="B1749" t="s">
        <v>5570</v>
      </c>
      <c r="C1749">
        <v>0.35</v>
      </c>
      <c r="D1749">
        <v>-83.84</v>
      </c>
      <c r="E1749">
        <v>2</v>
      </c>
      <c r="F1749">
        <v>89.38</v>
      </c>
      <c r="G1749">
        <v>192.46</v>
      </c>
      <c r="H1749">
        <v>-59.88</v>
      </c>
      <c r="I1749">
        <v>805.22</v>
      </c>
      <c r="J1749">
        <v>-56.84</v>
      </c>
      <c r="K1749">
        <v>16.68</v>
      </c>
      <c r="L1749">
        <v>-43.57</v>
      </c>
      <c r="M1749">
        <v>-48.28</v>
      </c>
      <c r="N1749">
        <v>655.45</v>
      </c>
    </row>
    <row r="1750" spans="1:14">
      <c r="A1750" s="2" t="s">
        <v>1778</v>
      </c>
      <c r="B1750" t="s">
        <v>5571</v>
      </c>
      <c r="C1750">
        <v>-2.21</v>
      </c>
      <c r="D1750">
        <v>-0.36</v>
      </c>
      <c r="E1750">
        <v>-41.96</v>
      </c>
      <c r="F1750">
        <v>-5.0599999999999996</v>
      </c>
      <c r="G1750">
        <v>181.06</v>
      </c>
      <c r="H1750">
        <v>-59.18</v>
      </c>
      <c r="I1750">
        <v>337.82</v>
      </c>
      <c r="J1750">
        <v>175.78</v>
      </c>
      <c r="K1750">
        <v>49.62</v>
      </c>
      <c r="L1750">
        <v>32.47</v>
      </c>
      <c r="M1750">
        <v>215.72</v>
      </c>
      <c r="N1750">
        <v>643.82000000000005</v>
      </c>
    </row>
    <row r="1751" spans="1:14">
      <c r="A1751" s="2" t="s">
        <v>1779</v>
      </c>
      <c r="B1751" t="s">
        <v>5572</v>
      </c>
      <c r="C1751">
        <v>3.8</v>
      </c>
      <c r="D1751">
        <v>10.76</v>
      </c>
      <c r="E1751">
        <v>-7.44</v>
      </c>
      <c r="F1751">
        <v>-5.87</v>
      </c>
      <c r="G1751">
        <v>-2.35</v>
      </c>
      <c r="H1751">
        <v>-0.66</v>
      </c>
      <c r="I1751">
        <v>-2.94</v>
      </c>
      <c r="J1751">
        <v>18.78</v>
      </c>
      <c r="K1751">
        <v>28.9</v>
      </c>
      <c r="L1751">
        <v>21.45</v>
      </c>
      <c r="M1751">
        <v>18.87</v>
      </c>
      <c r="N1751">
        <v>18.239999999999998</v>
      </c>
    </row>
    <row r="1752" spans="1:14">
      <c r="A1752" s="2" t="s">
        <v>1780</v>
      </c>
      <c r="B1752" t="s">
        <v>5573</v>
      </c>
      <c r="C1752">
        <v>-4.3899999999999997</v>
      </c>
      <c r="D1752">
        <v>4.45</v>
      </c>
      <c r="E1752">
        <v>-9</v>
      </c>
      <c r="F1752">
        <v>-0.95</v>
      </c>
      <c r="G1752">
        <v>-7.84</v>
      </c>
      <c r="H1752">
        <v>29.39</v>
      </c>
      <c r="I1752">
        <v>-2.2999999999999998</v>
      </c>
      <c r="J1752">
        <v>1.62</v>
      </c>
      <c r="K1752">
        <v>-4.4800000000000004</v>
      </c>
      <c r="L1752">
        <v>-11.7</v>
      </c>
      <c r="M1752">
        <v>-11.72</v>
      </c>
      <c r="N1752">
        <v>19.77</v>
      </c>
    </row>
    <row r="1753" spans="1:14">
      <c r="A1753" s="2" t="s">
        <v>1781</v>
      </c>
      <c r="B1753" t="s">
        <v>5574</v>
      </c>
      <c r="C1753">
        <v>11.59</v>
      </c>
      <c r="D1753">
        <v>-0.28999999999999998</v>
      </c>
      <c r="E1753">
        <v>-12.08</v>
      </c>
      <c r="F1753">
        <v>7.62</v>
      </c>
      <c r="G1753">
        <v>14.14</v>
      </c>
      <c r="H1753">
        <v>12.92</v>
      </c>
      <c r="I1753">
        <v>4.79</v>
      </c>
      <c r="J1753">
        <v>8.2200000000000006</v>
      </c>
      <c r="K1753">
        <v>6.56</v>
      </c>
      <c r="L1753">
        <v>6.33</v>
      </c>
      <c r="M1753">
        <v>24.14</v>
      </c>
      <c r="N1753">
        <v>50.17</v>
      </c>
    </row>
    <row r="1754" spans="1:14">
      <c r="A1754" s="2" t="s">
        <v>1782</v>
      </c>
      <c r="B1754" t="s">
        <v>5575</v>
      </c>
      <c r="C1754">
        <v>-13.83</v>
      </c>
      <c r="D1754">
        <v>16.260000000000002</v>
      </c>
      <c r="E1754">
        <v>37.090000000000003</v>
      </c>
      <c r="F1754">
        <v>-18.510000000000002</v>
      </c>
      <c r="G1754">
        <v>24.67</v>
      </c>
      <c r="H1754">
        <v>-22.34</v>
      </c>
      <c r="I1754">
        <v>-5.99</v>
      </c>
      <c r="J1754">
        <v>8.44</v>
      </c>
      <c r="K1754">
        <v>59.06</v>
      </c>
      <c r="L1754">
        <v>20.68</v>
      </c>
      <c r="M1754">
        <v>52.01</v>
      </c>
      <c r="N1754">
        <v>36.01</v>
      </c>
    </row>
    <row r="1755" spans="1:14">
      <c r="A1755" s="2" t="s">
        <v>1783</v>
      </c>
      <c r="B1755" t="s">
        <v>5576</v>
      </c>
      <c r="C1755">
        <v>-5.24</v>
      </c>
      <c r="D1755">
        <v>6.4</v>
      </c>
      <c r="E1755">
        <v>6.73</v>
      </c>
      <c r="F1755">
        <v>39.299999999999997</v>
      </c>
      <c r="G1755">
        <v>-17.89</v>
      </c>
      <c r="H1755">
        <v>-3.43</v>
      </c>
      <c r="I1755">
        <v>-1.94</v>
      </c>
      <c r="J1755">
        <v>-1.49</v>
      </c>
      <c r="K1755">
        <v>-1.1100000000000001</v>
      </c>
      <c r="L1755">
        <v>-0.78</v>
      </c>
      <c r="M1755">
        <v>1.32</v>
      </c>
      <c r="N1755">
        <v>18.420000000000002</v>
      </c>
    </row>
    <row r="1756" spans="1:14">
      <c r="A1756" s="2" t="s">
        <v>1784</v>
      </c>
      <c r="B1756" t="s">
        <v>5577</v>
      </c>
      <c r="C1756">
        <v>-22.84</v>
      </c>
      <c r="D1756">
        <v>-0.89</v>
      </c>
      <c r="E1756">
        <v>-45.87</v>
      </c>
      <c r="F1756">
        <v>-16.45</v>
      </c>
      <c r="G1756">
        <v>119.32</v>
      </c>
      <c r="H1756">
        <v>53.32</v>
      </c>
      <c r="I1756">
        <v>5.65</v>
      </c>
      <c r="J1756">
        <v>173.24</v>
      </c>
      <c r="K1756">
        <v>-58.38</v>
      </c>
      <c r="L1756">
        <v>-52.86</v>
      </c>
      <c r="M1756">
        <v>-3.07</v>
      </c>
      <c r="N1756">
        <v>134.91999999999999</v>
      </c>
    </row>
    <row r="1757" spans="1:14">
      <c r="A1757" s="2" t="s">
        <v>1785</v>
      </c>
      <c r="B1757" t="s">
        <v>5578</v>
      </c>
      <c r="C1757">
        <v>5.15</v>
      </c>
      <c r="D1757">
        <v>-7.04</v>
      </c>
      <c r="E1757">
        <v>4.72</v>
      </c>
      <c r="F1757">
        <v>-4.6399999999999997</v>
      </c>
      <c r="G1757">
        <v>11.02</v>
      </c>
      <c r="H1757">
        <v>-5.18</v>
      </c>
      <c r="I1757">
        <v>22.91</v>
      </c>
      <c r="J1757">
        <v>19.22</v>
      </c>
      <c r="K1757">
        <v>41.68</v>
      </c>
      <c r="L1757">
        <v>37.14</v>
      </c>
      <c r="M1757">
        <v>46.57</v>
      </c>
      <c r="N1757">
        <v>44.98</v>
      </c>
    </row>
    <row r="1758" spans="1:14">
      <c r="A1758" s="2" t="s">
        <v>1786</v>
      </c>
      <c r="B1758" t="s">
        <v>5579</v>
      </c>
      <c r="C1758">
        <v>-13.1</v>
      </c>
      <c r="D1758">
        <v>60.51</v>
      </c>
      <c r="E1758">
        <v>6.87</v>
      </c>
      <c r="F1758">
        <v>2.5299999999999998</v>
      </c>
      <c r="G1758">
        <v>-2.85</v>
      </c>
      <c r="H1758">
        <v>-32.590000000000003</v>
      </c>
      <c r="I1758">
        <v>-49.77</v>
      </c>
      <c r="J1758">
        <v>-3.33</v>
      </c>
      <c r="K1758">
        <v>-9.4499999999999993</v>
      </c>
      <c r="L1758">
        <v>3.05</v>
      </c>
      <c r="M1758">
        <v>0.8</v>
      </c>
      <c r="N1758">
        <v>-15.36</v>
      </c>
    </row>
    <row r="1759" spans="1:14">
      <c r="A1759" s="2" t="s">
        <v>1787</v>
      </c>
      <c r="B1759" t="s">
        <v>5580</v>
      </c>
      <c r="C1759">
        <v>3.32</v>
      </c>
      <c r="D1759">
        <v>-8.4499999999999993</v>
      </c>
      <c r="E1759">
        <v>40.15</v>
      </c>
      <c r="F1759">
        <v>-15.41</v>
      </c>
      <c r="G1759">
        <v>-13.77</v>
      </c>
      <c r="H1759">
        <v>13.65</v>
      </c>
      <c r="I1759">
        <v>39.89</v>
      </c>
      <c r="J1759">
        <v>26.12</v>
      </c>
      <c r="K1759">
        <v>41.44</v>
      </c>
      <c r="L1759">
        <v>16.87</v>
      </c>
      <c r="M1759">
        <v>-10.94</v>
      </c>
      <c r="N1759">
        <v>13.66</v>
      </c>
    </row>
    <row r="1760" spans="1:14">
      <c r="A1760" s="2" t="s">
        <v>1788</v>
      </c>
      <c r="B1760" t="s">
        <v>5581</v>
      </c>
      <c r="C1760">
        <v>-1.98</v>
      </c>
      <c r="D1760">
        <v>-2.79</v>
      </c>
      <c r="E1760">
        <v>13.96</v>
      </c>
      <c r="F1760">
        <v>-14.01</v>
      </c>
      <c r="G1760">
        <v>25.26</v>
      </c>
      <c r="H1760">
        <v>-20.82</v>
      </c>
      <c r="I1760">
        <v>2.7</v>
      </c>
      <c r="J1760">
        <v>-18.28</v>
      </c>
      <c r="K1760">
        <v>21.06</v>
      </c>
      <c r="L1760">
        <v>-19.920000000000002</v>
      </c>
      <c r="M1760">
        <v>21.08</v>
      </c>
      <c r="N1760">
        <v>1.62</v>
      </c>
    </row>
    <row r="1761" spans="1:14">
      <c r="A1761" s="2" t="s">
        <v>1789</v>
      </c>
      <c r="B1761" t="s">
        <v>5582</v>
      </c>
      <c r="C1761">
        <v>-22.39</v>
      </c>
      <c r="D1761">
        <v>20.29</v>
      </c>
      <c r="E1761">
        <v>-13.58</v>
      </c>
      <c r="F1761">
        <v>-35.630000000000003</v>
      </c>
      <c r="G1761">
        <v>91.76</v>
      </c>
      <c r="H1761">
        <v>-7.19</v>
      </c>
      <c r="I1761">
        <v>-40.75</v>
      </c>
      <c r="J1761">
        <v>2.23</v>
      </c>
      <c r="K1761">
        <v>-1.85</v>
      </c>
      <c r="L1761">
        <v>-58.7</v>
      </c>
      <c r="M1761">
        <v>-8.51</v>
      </c>
      <c r="N1761">
        <v>-5.33</v>
      </c>
    </row>
    <row r="1762" spans="1:14">
      <c r="A1762" s="2" t="s">
        <v>1790</v>
      </c>
      <c r="B1762" t="s">
        <v>5583</v>
      </c>
      <c r="C1762">
        <v>-17.05</v>
      </c>
      <c r="D1762">
        <v>12.25</v>
      </c>
      <c r="E1762">
        <v>-30.49</v>
      </c>
      <c r="F1762">
        <v>88.61</v>
      </c>
      <c r="G1762">
        <v>-0.28000000000000003</v>
      </c>
      <c r="H1762">
        <v>130.05000000000001</v>
      </c>
      <c r="I1762">
        <v>74.47</v>
      </c>
      <c r="J1762">
        <v>102.05</v>
      </c>
      <c r="K1762">
        <v>30.4</v>
      </c>
      <c r="L1762">
        <v>37.32</v>
      </c>
      <c r="M1762">
        <v>56.44</v>
      </c>
      <c r="N1762">
        <v>698.94</v>
      </c>
    </row>
    <row r="1763" spans="1:14">
      <c r="A1763" s="2" t="s">
        <v>1791</v>
      </c>
      <c r="B1763" t="s">
        <v>5584</v>
      </c>
      <c r="C1763">
        <v>62.77</v>
      </c>
      <c r="D1763">
        <v>-35.94</v>
      </c>
      <c r="E1763">
        <v>27.64</v>
      </c>
      <c r="F1763">
        <v>-32.020000000000003</v>
      </c>
      <c r="G1763">
        <v>111.49</v>
      </c>
      <c r="H1763">
        <v>-77.260000000000005</v>
      </c>
      <c r="I1763">
        <v>21282.79</v>
      </c>
      <c r="J1763">
        <v>2270.87</v>
      </c>
      <c r="K1763">
        <v>5258.9</v>
      </c>
      <c r="L1763">
        <v>2298.59</v>
      </c>
      <c r="M1763">
        <v>1106.22</v>
      </c>
      <c r="N1763">
        <v>476.82</v>
      </c>
    </row>
    <row r="1764" spans="1:14">
      <c r="A1764" s="2" t="s">
        <v>1792</v>
      </c>
      <c r="B1764" t="s">
        <v>5585</v>
      </c>
      <c r="C1764">
        <v>6.47</v>
      </c>
      <c r="D1764">
        <v>0.68</v>
      </c>
      <c r="E1764">
        <v>11.95</v>
      </c>
      <c r="F1764">
        <v>-8.81</v>
      </c>
      <c r="G1764">
        <v>97.85</v>
      </c>
      <c r="H1764">
        <v>-62.51</v>
      </c>
      <c r="I1764">
        <v>-1.5</v>
      </c>
      <c r="J1764">
        <v>2.8</v>
      </c>
      <c r="K1764">
        <v>43.04</v>
      </c>
      <c r="L1764">
        <v>25.02</v>
      </c>
      <c r="M1764">
        <v>163.94</v>
      </c>
      <c r="N1764">
        <v>35.090000000000003</v>
      </c>
    </row>
    <row r="1765" spans="1:14">
      <c r="A1765" s="2" t="s">
        <v>1793</v>
      </c>
      <c r="B1765" t="s">
        <v>5586</v>
      </c>
      <c r="C1765">
        <v>-9.1</v>
      </c>
      <c r="D1765">
        <v>-7.81</v>
      </c>
      <c r="E1765">
        <v>12.17</v>
      </c>
      <c r="F1765">
        <v>-5.05</v>
      </c>
      <c r="G1765">
        <v>0.6</v>
      </c>
      <c r="H1765">
        <v>-11.37</v>
      </c>
      <c r="I1765">
        <v>-20.67</v>
      </c>
      <c r="J1765">
        <v>-29.44</v>
      </c>
      <c r="K1765">
        <v>-20.49</v>
      </c>
      <c r="L1765">
        <v>-16.68</v>
      </c>
      <c r="M1765">
        <v>-26.49</v>
      </c>
      <c r="N1765">
        <v>-23</v>
      </c>
    </row>
    <row r="1766" spans="1:14">
      <c r="A1766" s="2" t="s">
        <v>1794</v>
      </c>
      <c r="B1766" t="s">
        <v>5587</v>
      </c>
      <c r="C1766">
        <v>29.43</v>
      </c>
      <c r="D1766">
        <v>10.19</v>
      </c>
      <c r="E1766">
        <v>-19.8</v>
      </c>
      <c r="F1766">
        <v>-12.2</v>
      </c>
      <c r="G1766">
        <v>8.3699999999999992</v>
      </c>
      <c r="H1766">
        <v>-18.78</v>
      </c>
      <c r="I1766">
        <v>-13.96</v>
      </c>
      <c r="J1766">
        <v>-7.49</v>
      </c>
      <c r="K1766">
        <v>-9.1999999999999993</v>
      </c>
      <c r="L1766">
        <v>-19.91</v>
      </c>
      <c r="M1766">
        <v>-29.6</v>
      </c>
      <c r="N1766">
        <v>-27.59</v>
      </c>
    </row>
    <row r="1767" spans="1:14">
      <c r="A1767" s="2" t="s">
        <v>1795</v>
      </c>
      <c r="B1767" t="s">
        <v>5588</v>
      </c>
      <c r="C1767">
        <v>13.93</v>
      </c>
      <c r="D1767">
        <v>8.92</v>
      </c>
      <c r="E1767">
        <v>-2.83</v>
      </c>
      <c r="F1767">
        <v>60.28</v>
      </c>
      <c r="G1767">
        <v>-3.57</v>
      </c>
      <c r="H1767">
        <v>23.2</v>
      </c>
      <c r="I1767">
        <v>1.34</v>
      </c>
      <c r="J1767">
        <v>14.8</v>
      </c>
      <c r="K1767">
        <v>27.52</v>
      </c>
      <c r="L1767">
        <v>36.229999999999997</v>
      </c>
      <c r="M1767">
        <v>39.69</v>
      </c>
      <c r="N1767">
        <v>97.59</v>
      </c>
    </row>
    <row r="1768" spans="1:14">
      <c r="A1768" s="2" t="s">
        <v>1796</v>
      </c>
      <c r="B1768" t="s">
        <v>5589</v>
      </c>
      <c r="C1768">
        <v>-14.37</v>
      </c>
      <c r="D1768">
        <v>-4.6100000000000003</v>
      </c>
      <c r="E1768">
        <v>-32.49</v>
      </c>
      <c r="F1768">
        <v>6.73</v>
      </c>
      <c r="G1768">
        <v>12.25</v>
      </c>
      <c r="H1768">
        <v>8.01</v>
      </c>
      <c r="I1768">
        <v>8.33</v>
      </c>
      <c r="J1768">
        <v>2.81</v>
      </c>
      <c r="K1768">
        <v>-34.22</v>
      </c>
      <c r="L1768">
        <v>-24.85</v>
      </c>
      <c r="M1768">
        <v>-23.34</v>
      </c>
      <c r="N1768">
        <v>22.86</v>
      </c>
    </row>
    <row r="1769" spans="1:14">
      <c r="A1769" s="2" t="s">
        <v>1797</v>
      </c>
      <c r="B1769" t="s">
        <v>5590</v>
      </c>
      <c r="C1769">
        <v>-2.83</v>
      </c>
      <c r="D1769">
        <v>4.55</v>
      </c>
      <c r="E1769">
        <v>-1.69</v>
      </c>
      <c r="F1769">
        <v>-0.98</v>
      </c>
      <c r="G1769">
        <v>8.41</v>
      </c>
      <c r="H1769">
        <v>-0.71</v>
      </c>
      <c r="I1769">
        <v>6.45</v>
      </c>
      <c r="J1769">
        <v>12.39</v>
      </c>
      <c r="K1769">
        <v>10.46</v>
      </c>
      <c r="L1769">
        <v>11.03</v>
      </c>
      <c r="M1769">
        <v>19.86</v>
      </c>
      <c r="N1769">
        <v>21.68</v>
      </c>
    </row>
    <row r="1770" spans="1:14">
      <c r="A1770" s="2" t="s">
        <v>1798</v>
      </c>
      <c r="B1770" t="s">
        <v>5591</v>
      </c>
      <c r="C1770">
        <v>2.19</v>
      </c>
      <c r="D1770">
        <v>7.82</v>
      </c>
      <c r="E1770">
        <v>-5</v>
      </c>
      <c r="F1770">
        <v>-1.27</v>
      </c>
      <c r="G1770">
        <v>1.88</v>
      </c>
      <c r="H1770">
        <v>14.63</v>
      </c>
      <c r="I1770">
        <v>-4.78</v>
      </c>
      <c r="J1770">
        <v>2.98</v>
      </c>
      <c r="K1770">
        <v>-6.8</v>
      </c>
      <c r="L1770">
        <v>-8.01</v>
      </c>
      <c r="M1770">
        <v>-15.78</v>
      </c>
      <c r="N1770">
        <v>18.690000000000001</v>
      </c>
    </row>
    <row r="1771" spans="1:14">
      <c r="A1771" s="2" t="s">
        <v>1799</v>
      </c>
      <c r="B1771" t="s">
        <v>5592</v>
      </c>
      <c r="C1771">
        <v>-10.54</v>
      </c>
      <c r="D1771">
        <v>12.73</v>
      </c>
      <c r="E1771">
        <v>19.809999999999999</v>
      </c>
      <c r="F1771">
        <v>-14.28</v>
      </c>
      <c r="G1771">
        <v>13.18</v>
      </c>
      <c r="H1771">
        <v>5.14</v>
      </c>
      <c r="I1771">
        <v>22.8</v>
      </c>
      <c r="J1771">
        <v>15.99</v>
      </c>
      <c r="K1771">
        <v>74.91</v>
      </c>
      <c r="L1771">
        <v>26.25</v>
      </c>
      <c r="M1771">
        <v>87.25</v>
      </c>
      <c r="N1771">
        <v>96.92</v>
      </c>
    </row>
    <row r="1772" spans="1:14">
      <c r="A1772" s="2" t="s">
        <v>1800</v>
      </c>
      <c r="B1772" t="s">
        <v>5593</v>
      </c>
      <c r="C1772">
        <v>8.39</v>
      </c>
      <c r="D1772">
        <v>-2.9</v>
      </c>
      <c r="E1772">
        <v>-10.42</v>
      </c>
      <c r="F1772">
        <v>-4.59</v>
      </c>
      <c r="G1772">
        <v>25.76</v>
      </c>
      <c r="H1772">
        <v>2.98</v>
      </c>
      <c r="I1772">
        <v>-1.6</v>
      </c>
      <c r="J1772">
        <v>1.08</v>
      </c>
      <c r="K1772">
        <v>-2.1800000000000002</v>
      </c>
      <c r="L1772">
        <v>-0.59</v>
      </c>
      <c r="M1772">
        <v>12.68</v>
      </c>
      <c r="N1772">
        <v>28.31</v>
      </c>
    </row>
    <row r="1773" spans="1:14">
      <c r="A1773" s="2" t="s">
        <v>1801</v>
      </c>
      <c r="B1773" t="s">
        <v>5594</v>
      </c>
      <c r="C1773">
        <v>-20.84</v>
      </c>
      <c r="D1773">
        <v>84.05</v>
      </c>
      <c r="E1773">
        <v>10.58</v>
      </c>
      <c r="F1773">
        <v>-21.14</v>
      </c>
      <c r="G1773">
        <v>31.09</v>
      </c>
      <c r="H1773">
        <v>-23.46</v>
      </c>
      <c r="I1773">
        <v>-30.41</v>
      </c>
      <c r="J1773">
        <v>15.02</v>
      </c>
      <c r="K1773">
        <v>41.24</v>
      </c>
      <c r="L1773">
        <v>-3.98</v>
      </c>
      <c r="M1773">
        <v>-11.06</v>
      </c>
      <c r="N1773">
        <v>29.96</v>
      </c>
    </row>
    <row r="1774" spans="1:14">
      <c r="A1774" s="2" t="s">
        <v>1802</v>
      </c>
      <c r="B1774" t="s">
        <v>5595</v>
      </c>
      <c r="C1774">
        <v>10.88</v>
      </c>
      <c r="D1774">
        <v>-7.23</v>
      </c>
      <c r="E1774">
        <v>15.94</v>
      </c>
      <c r="F1774">
        <v>7.51</v>
      </c>
      <c r="G1774">
        <v>24.25</v>
      </c>
      <c r="H1774">
        <v>-24.66</v>
      </c>
      <c r="I1774">
        <v>3.75</v>
      </c>
      <c r="J1774">
        <v>2.37</v>
      </c>
      <c r="K1774">
        <v>6.58</v>
      </c>
      <c r="L1774">
        <v>6.46</v>
      </c>
      <c r="M1774">
        <v>0.55000000000000004</v>
      </c>
      <c r="N1774">
        <v>7.71</v>
      </c>
    </row>
    <row r="1775" spans="1:14">
      <c r="A1775" s="2" t="s">
        <v>1803</v>
      </c>
      <c r="B1775" t="s">
        <v>5596</v>
      </c>
      <c r="C1775">
        <v>-16.75</v>
      </c>
      <c r="D1775">
        <v>-42.49</v>
      </c>
      <c r="E1775">
        <v>35.409999999999997</v>
      </c>
      <c r="F1775">
        <v>-34.869999999999997</v>
      </c>
      <c r="G1775">
        <v>306.56</v>
      </c>
      <c r="H1775">
        <v>-59.57</v>
      </c>
      <c r="I1775">
        <v>20.43</v>
      </c>
      <c r="J1775">
        <v>-31.69</v>
      </c>
      <c r="K1775">
        <v>-51.4</v>
      </c>
      <c r="L1775">
        <v>-51.13</v>
      </c>
      <c r="M1775">
        <v>229.72</v>
      </c>
      <c r="N1775">
        <v>-47.37</v>
      </c>
    </row>
    <row r="1776" spans="1:14">
      <c r="A1776" s="2" t="s">
        <v>1804</v>
      </c>
      <c r="B1776" t="s">
        <v>5597</v>
      </c>
      <c r="C1776">
        <v>-4.54</v>
      </c>
      <c r="D1776">
        <v>-0.28999999999999998</v>
      </c>
      <c r="E1776">
        <v>-4.42</v>
      </c>
      <c r="F1776">
        <v>-2.0099999999999998</v>
      </c>
      <c r="G1776">
        <v>-1.21</v>
      </c>
      <c r="H1776">
        <v>17.309999999999999</v>
      </c>
      <c r="I1776">
        <v>-9.7100000000000009</v>
      </c>
      <c r="J1776">
        <v>-0.04</v>
      </c>
      <c r="K1776">
        <v>1.61</v>
      </c>
      <c r="L1776">
        <v>1.32</v>
      </c>
      <c r="M1776">
        <v>7.65</v>
      </c>
      <c r="N1776">
        <v>7.98</v>
      </c>
    </row>
    <row r="1777" spans="1:14">
      <c r="A1777" s="2" t="s">
        <v>1805</v>
      </c>
      <c r="B1777" t="s">
        <v>5598</v>
      </c>
      <c r="C1777">
        <v>-19.37</v>
      </c>
      <c r="D1777">
        <v>-6.6</v>
      </c>
      <c r="E1777">
        <v>7.16</v>
      </c>
      <c r="F1777">
        <v>4.46</v>
      </c>
      <c r="G1777">
        <v>18.420000000000002</v>
      </c>
      <c r="H1777">
        <v>-18.760000000000002</v>
      </c>
      <c r="I1777">
        <v>4.58</v>
      </c>
      <c r="J1777">
        <v>17.7</v>
      </c>
      <c r="K1777">
        <v>13.42</v>
      </c>
      <c r="L1777">
        <v>11.84</v>
      </c>
      <c r="M1777">
        <v>27.7</v>
      </c>
      <c r="N1777">
        <v>41.35</v>
      </c>
    </row>
    <row r="1778" spans="1:14">
      <c r="A1778" s="2" t="s">
        <v>1806</v>
      </c>
      <c r="B1778" t="s">
        <v>5599</v>
      </c>
      <c r="C1778">
        <v>-1.77</v>
      </c>
      <c r="D1778">
        <v>-5.29</v>
      </c>
      <c r="E1778">
        <v>9.68</v>
      </c>
      <c r="F1778">
        <v>54.72</v>
      </c>
      <c r="G1778">
        <v>-1.21</v>
      </c>
      <c r="I1778">
        <v>-18.79</v>
      </c>
      <c r="J1778">
        <v>-29.62</v>
      </c>
      <c r="K1778">
        <v>-30.69</v>
      </c>
      <c r="L1778">
        <v>-30.23</v>
      </c>
      <c r="M1778">
        <v>-38.64</v>
      </c>
    </row>
    <row r="1779" spans="1:14">
      <c r="A1779" s="2" t="s">
        <v>1807</v>
      </c>
      <c r="B1779" t="s">
        <v>5600</v>
      </c>
      <c r="C1779">
        <v>-1.47</v>
      </c>
      <c r="D1779">
        <v>21.14</v>
      </c>
      <c r="E1779">
        <v>-7.37</v>
      </c>
      <c r="F1779">
        <v>8.44</v>
      </c>
      <c r="G1779">
        <v>-6.93</v>
      </c>
      <c r="H1779">
        <v>38.17</v>
      </c>
      <c r="I1779">
        <v>-15.34</v>
      </c>
      <c r="J1779">
        <v>27.86</v>
      </c>
      <c r="K1779">
        <v>18.36</v>
      </c>
      <c r="L1779">
        <v>12.02</v>
      </c>
      <c r="M1779">
        <v>28.53</v>
      </c>
      <c r="N1779">
        <v>35.68</v>
      </c>
    </row>
    <row r="1780" spans="1:14">
      <c r="A1780" s="2" t="s">
        <v>1808</v>
      </c>
      <c r="B1780" t="s">
        <v>5601</v>
      </c>
      <c r="C1780">
        <v>5.93</v>
      </c>
      <c r="D1780">
        <v>3.88</v>
      </c>
      <c r="E1780">
        <v>5.52</v>
      </c>
      <c r="F1780">
        <v>2.25</v>
      </c>
      <c r="G1780">
        <v>0.73</v>
      </c>
      <c r="H1780">
        <v>-1.29</v>
      </c>
      <c r="I1780">
        <v>-0.03</v>
      </c>
      <c r="J1780">
        <v>22.23</v>
      </c>
      <c r="K1780">
        <v>62.7</v>
      </c>
      <c r="L1780">
        <v>66.790000000000006</v>
      </c>
      <c r="M1780">
        <v>65.22</v>
      </c>
      <c r="N1780">
        <v>90.17</v>
      </c>
    </row>
    <row r="1781" spans="1:14">
      <c r="A1781" s="2" t="s">
        <v>1809</v>
      </c>
      <c r="B1781" t="s">
        <v>5602</v>
      </c>
      <c r="C1781">
        <v>121.92</v>
      </c>
      <c r="D1781">
        <v>94.79</v>
      </c>
      <c r="E1781">
        <v>-75.58</v>
      </c>
      <c r="F1781">
        <v>-45.69</v>
      </c>
      <c r="G1781">
        <v>111.72</v>
      </c>
      <c r="I1781">
        <v>27.86</v>
      </c>
      <c r="J1781">
        <v>38.409999999999997</v>
      </c>
      <c r="K1781">
        <v>-54.78</v>
      </c>
      <c r="L1781">
        <v>-76.959999999999994</v>
      </c>
      <c r="M1781">
        <v>-82.29</v>
      </c>
    </row>
    <row r="1782" spans="1:14">
      <c r="A1782" s="2" t="s">
        <v>1810</v>
      </c>
      <c r="B1782" t="s">
        <v>5603</v>
      </c>
      <c r="C1782">
        <v>-10.77</v>
      </c>
      <c r="D1782">
        <v>4.62</v>
      </c>
      <c r="E1782">
        <v>27.46</v>
      </c>
      <c r="F1782">
        <v>7.66</v>
      </c>
      <c r="G1782">
        <v>46.5</v>
      </c>
      <c r="I1782">
        <v>33.4</v>
      </c>
      <c r="J1782">
        <v>66.58</v>
      </c>
      <c r="K1782">
        <v>103.49</v>
      </c>
      <c r="L1782">
        <v>37.47</v>
      </c>
      <c r="M1782">
        <v>159.66</v>
      </c>
    </row>
    <row r="1783" spans="1:14">
      <c r="A1783" s="2" t="s">
        <v>1811</v>
      </c>
      <c r="B1783" t="s">
        <v>5604</v>
      </c>
      <c r="C1783">
        <v>-22.64</v>
      </c>
      <c r="D1783">
        <v>22.11</v>
      </c>
      <c r="E1783">
        <v>10.34</v>
      </c>
      <c r="F1783">
        <v>-28.99</v>
      </c>
      <c r="G1783">
        <v>68.13</v>
      </c>
      <c r="H1783">
        <v>-61.2</v>
      </c>
      <c r="I1783">
        <v>-93.29</v>
      </c>
      <c r="J1783">
        <v>-88.51</v>
      </c>
      <c r="K1783">
        <v>-89.5</v>
      </c>
      <c r="L1783">
        <v>-81.3</v>
      </c>
      <c r="M1783">
        <v>-72.510000000000005</v>
      </c>
      <c r="N1783">
        <v>-53.15</v>
      </c>
    </row>
    <row r="1784" spans="1:14">
      <c r="A1784" s="2" t="s">
        <v>1812</v>
      </c>
      <c r="B1784" t="s">
        <v>5605</v>
      </c>
      <c r="C1784">
        <v>-1.67</v>
      </c>
      <c r="D1784">
        <v>13.02</v>
      </c>
      <c r="E1784">
        <v>-8.1999999999999993</v>
      </c>
      <c r="F1784">
        <v>2.0499999999999998</v>
      </c>
      <c r="G1784">
        <v>-1.1299999999999999</v>
      </c>
      <c r="H1784">
        <v>13.24</v>
      </c>
      <c r="I1784">
        <v>8.59</v>
      </c>
      <c r="J1784">
        <v>14.68</v>
      </c>
      <c r="K1784">
        <v>15.99</v>
      </c>
      <c r="L1784">
        <v>6.14</v>
      </c>
      <c r="M1784">
        <v>22.72</v>
      </c>
      <c r="N1784">
        <v>39.5</v>
      </c>
    </row>
    <row r="1785" spans="1:14">
      <c r="A1785" s="2" t="s">
        <v>1813</v>
      </c>
      <c r="B1785" t="s">
        <v>5606</v>
      </c>
      <c r="C1785">
        <v>-31.61</v>
      </c>
      <c r="D1785">
        <v>11.44</v>
      </c>
      <c r="E1785">
        <v>-27.87</v>
      </c>
      <c r="F1785">
        <v>-49.91</v>
      </c>
      <c r="G1785">
        <v>-10.09</v>
      </c>
      <c r="H1785">
        <v>38.78</v>
      </c>
      <c r="I1785">
        <v>14.9</v>
      </c>
      <c r="J1785">
        <v>155.37</v>
      </c>
      <c r="K1785">
        <v>22.92</v>
      </c>
      <c r="L1785">
        <v>-28.65</v>
      </c>
      <c r="M1785">
        <v>13.51</v>
      </c>
      <c r="N1785">
        <v>5.69</v>
      </c>
    </row>
    <row r="1786" spans="1:14">
      <c r="A1786" s="2" t="s">
        <v>1814</v>
      </c>
      <c r="B1786" t="s">
        <v>5607</v>
      </c>
      <c r="C1786">
        <v>-5.1100000000000003</v>
      </c>
      <c r="D1786">
        <v>0.64</v>
      </c>
      <c r="E1786">
        <v>16.190000000000001</v>
      </c>
      <c r="F1786">
        <v>148.51</v>
      </c>
      <c r="G1786">
        <v>9.0299999999999994</v>
      </c>
      <c r="H1786">
        <v>-11.63</v>
      </c>
      <c r="I1786">
        <v>-41.97</v>
      </c>
      <c r="J1786">
        <v>-42.16</v>
      </c>
      <c r="K1786">
        <v>-37.72</v>
      </c>
      <c r="L1786">
        <v>24.42</v>
      </c>
      <c r="M1786">
        <v>26.92</v>
      </c>
      <c r="N1786">
        <v>16.91</v>
      </c>
    </row>
    <row r="1787" spans="1:14">
      <c r="A1787" s="2" t="s">
        <v>1815</v>
      </c>
      <c r="B1787" t="s">
        <v>5608</v>
      </c>
      <c r="C1787">
        <v>17.809999999999999</v>
      </c>
      <c r="D1787">
        <v>-5.05</v>
      </c>
      <c r="E1787">
        <v>18.23</v>
      </c>
      <c r="F1787">
        <v>8.2899999999999991</v>
      </c>
      <c r="G1787">
        <v>35.380000000000003</v>
      </c>
      <c r="H1787">
        <v>-12.57</v>
      </c>
      <c r="I1787">
        <v>-3.53</v>
      </c>
      <c r="J1787">
        <v>-22.4</v>
      </c>
      <c r="K1787">
        <v>38.659999999999997</v>
      </c>
      <c r="L1787">
        <v>6.38</v>
      </c>
      <c r="M1787">
        <v>9.6999999999999993</v>
      </c>
      <c r="N1787">
        <v>-41.94</v>
      </c>
    </row>
    <row r="1788" spans="1:14">
      <c r="A1788" s="2" t="s">
        <v>1816</v>
      </c>
      <c r="B1788" t="s">
        <v>5609</v>
      </c>
      <c r="C1788">
        <v>13.15</v>
      </c>
      <c r="D1788">
        <v>238.51</v>
      </c>
      <c r="E1788">
        <v>-35.299999999999997</v>
      </c>
      <c r="F1788">
        <v>76.12</v>
      </c>
      <c r="G1788">
        <v>158.44</v>
      </c>
      <c r="I1788">
        <v>-87.25</v>
      </c>
      <c r="J1788">
        <v>-39.840000000000003</v>
      </c>
      <c r="K1788">
        <v>-72.819999999999993</v>
      </c>
      <c r="L1788">
        <v>-60.49</v>
      </c>
      <c r="M1788">
        <v>71.650000000000006</v>
      </c>
    </row>
    <row r="1789" spans="1:14">
      <c r="A1789" s="2" t="s">
        <v>1817</v>
      </c>
      <c r="B1789" t="s">
        <v>5610</v>
      </c>
      <c r="C1789">
        <v>243.94</v>
      </c>
      <c r="D1789">
        <v>-67.510000000000005</v>
      </c>
      <c r="E1789">
        <v>-7.0000000000000007E-2</v>
      </c>
      <c r="F1789">
        <v>63.57</v>
      </c>
      <c r="G1789">
        <v>29.44</v>
      </c>
      <c r="H1789">
        <v>-38.21</v>
      </c>
      <c r="I1789">
        <v>225.03</v>
      </c>
      <c r="J1789">
        <v>-21.97</v>
      </c>
      <c r="K1789">
        <v>3.01</v>
      </c>
      <c r="L1789">
        <v>47.1</v>
      </c>
      <c r="M1789">
        <v>49.6</v>
      </c>
      <c r="N1789">
        <v>19.09</v>
      </c>
    </row>
    <row r="1790" spans="1:14">
      <c r="A1790" s="2" t="s">
        <v>1818</v>
      </c>
      <c r="B1790" t="s">
        <v>5611</v>
      </c>
      <c r="C1790">
        <v>92.24</v>
      </c>
      <c r="D1790">
        <v>-65.28</v>
      </c>
      <c r="E1790">
        <v>-4.5</v>
      </c>
      <c r="F1790">
        <v>24.63</v>
      </c>
      <c r="G1790">
        <v>-22.46</v>
      </c>
      <c r="H1790">
        <v>77.81</v>
      </c>
      <c r="I1790">
        <v>471.98</v>
      </c>
      <c r="J1790">
        <v>19.39</v>
      </c>
      <c r="K1790">
        <v>217.28</v>
      </c>
      <c r="L1790">
        <v>5.49</v>
      </c>
      <c r="M1790">
        <v>-44.42</v>
      </c>
      <c r="N1790">
        <v>31.75</v>
      </c>
    </row>
    <row r="1791" spans="1:14">
      <c r="A1791" s="2" t="s">
        <v>1819</v>
      </c>
      <c r="B1791" t="s">
        <v>5612</v>
      </c>
      <c r="C1791">
        <v>-28.34</v>
      </c>
      <c r="D1791">
        <v>-3.08</v>
      </c>
      <c r="E1791">
        <v>0.27</v>
      </c>
      <c r="F1791">
        <v>13.58</v>
      </c>
      <c r="G1791">
        <v>17.14</v>
      </c>
      <c r="H1791">
        <v>-33.25</v>
      </c>
      <c r="I1791">
        <v>-34.99</v>
      </c>
      <c r="J1791">
        <v>-0.22</v>
      </c>
      <c r="K1791">
        <v>-24.73</v>
      </c>
      <c r="L1791">
        <v>-13.43</v>
      </c>
      <c r="M1791">
        <v>-54.3</v>
      </c>
      <c r="N1791">
        <v>-45.02</v>
      </c>
    </row>
    <row r="1792" spans="1:14">
      <c r="A1792" s="2" t="s">
        <v>1820</v>
      </c>
      <c r="B1792" t="s">
        <v>5613</v>
      </c>
      <c r="C1792">
        <v>-9.6999999999999993</v>
      </c>
      <c r="D1792">
        <v>18.12</v>
      </c>
      <c r="E1792">
        <v>-15.73</v>
      </c>
      <c r="F1792">
        <v>11.49</v>
      </c>
      <c r="G1792">
        <v>12.57</v>
      </c>
      <c r="H1792">
        <v>9.3000000000000007</v>
      </c>
      <c r="I1792">
        <v>-11.16</v>
      </c>
      <c r="J1792">
        <v>11.31</v>
      </c>
      <c r="K1792">
        <v>17.04</v>
      </c>
      <c r="L1792">
        <v>1.0900000000000001</v>
      </c>
      <c r="M1792">
        <v>6.73</v>
      </c>
      <c r="N1792">
        <v>43.57</v>
      </c>
    </row>
    <row r="1793" spans="1:14">
      <c r="A1793" s="2" t="s">
        <v>1821</v>
      </c>
      <c r="B1793" t="s">
        <v>5614</v>
      </c>
      <c r="C1793">
        <v>-56.15</v>
      </c>
      <c r="D1793">
        <v>-0.26</v>
      </c>
      <c r="E1793">
        <v>-11.18</v>
      </c>
      <c r="F1793">
        <v>-5.87</v>
      </c>
      <c r="G1793">
        <v>-14.3</v>
      </c>
      <c r="H1793">
        <v>-15.38</v>
      </c>
      <c r="I1793">
        <v>17.170000000000002</v>
      </c>
      <c r="J1793">
        <v>7.25</v>
      </c>
      <c r="K1793">
        <v>-4.76</v>
      </c>
      <c r="L1793">
        <v>21.39</v>
      </c>
      <c r="M1793">
        <v>-17.22</v>
      </c>
      <c r="N1793">
        <v>-27.45</v>
      </c>
    </row>
    <row r="1794" spans="1:14">
      <c r="A1794" s="2" t="s">
        <v>1822</v>
      </c>
      <c r="B1794" t="s">
        <v>5615</v>
      </c>
      <c r="C1794">
        <v>24.52</v>
      </c>
      <c r="D1794">
        <v>-3.06</v>
      </c>
      <c r="E1794">
        <v>-8.6</v>
      </c>
      <c r="F1794">
        <v>3.06</v>
      </c>
      <c r="G1794">
        <v>-1.81</v>
      </c>
      <c r="H1794">
        <v>9.5</v>
      </c>
      <c r="I1794">
        <v>3</v>
      </c>
      <c r="J1794">
        <v>-6.61</v>
      </c>
      <c r="K1794">
        <v>-17.309999999999999</v>
      </c>
      <c r="L1794">
        <v>-5.99</v>
      </c>
      <c r="M1794">
        <v>-10.62</v>
      </c>
      <c r="N1794">
        <v>19.48</v>
      </c>
    </row>
    <row r="1795" spans="1:14">
      <c r="A1795" s="2" t="s">
        <v>1823</v>
      </c>
      <c r="B1795" t="s">
        <v>5616</v>
      </c>
      <c r="C1795">
        <v>-23.18</v>
      </c>
      <c r="D1795">
        <v>3.34</v>
      </c>
      <c r="E1795">
        <v>-7.12</v>
      </c>
      <c r="F1795">
        <v>-9.6</v>
      </c>
      <c r="G1795">
        <v>-11.68</v>
      </c>
      <c r="I1795">
        <v>-9.26</v>
      </c>
      <c r="J1795">
        <v>-14.33</v>
      </c>
      <c r="K1795">
        <v>-17.829999999999998</v>
      </c>
      <c r="L1795">
        <v>-6.8</v>
      </c>
      <c r="M1795">
        <v>-20.38</v>
      </c>
    </row>
    <row r="1796" spans="1:14">
      <c r="A1796" s="2" t="s">
        <v>1824</v>
      </c>
      <c r="B1796" t="s">
        <v>5617</v>
      </c>
      <c r="C1796">
        <v>-0.01</v>
      </c>
      <c r="D1796">
        <v>7.63</v>
      </c>
      <c r="E1796">
        <v>-3.24</v>
      </c>
      <c r="F1796">
        <v>-7.19</v>
      </c>
      <c r="G1796">
        <v>23.82</v>
      </c>
      <c r="H1796">
        <v>-2.0499999999999998</v>
      </c>
      <c r="I1796">
        <v>13.21</v>
      </c>
      <c r="J1796">
        <v>29.81</v>
      </c>
      <c r="K1796">
        <v>27.87</v>
      </c>
      <c r="L1796">
        <v>18.170000000000002</v>
      </c>
      <c r="M1796">
        <v>62.82</v>
      </c>
      <c r="N1796">
        <v>41.05</v>
      </c>
    </row>
    <row r="1797" spans="1:14">
      <c r="A1797" s="2" t="s">
        <v>1825</v>
      </c>
      <c r="B1797" t="s">
        <v>5618</v>
      </c>
      <c r="C1797">
        <v>10.17</v>
      </c>
      <c r="D1797">
        <v>2.0299999999999998</v>
      </c>
      <c r="E1797">
        <v>-0.74</v>
      </c>
      <c r="F1797">
        <v>-2.97</v>
      </c>
      <c r="G1797">
        <v>13.62</v>
      </c>
      <c r="H1797">
        <v>-4.3499999999999996</v>
      </c>
      <c r="I1797">
        <v>-2.95</v>
      </c>
      <c r="J1797">
        <v>1.87</v>
      </c>
      <c r="K1797">
        <v>-13.54</v>
      </c>
      <c r="L1797">
        <v>2.13</v>
      </c>
      <c r="M1797">
        <v>10.94</v>
      </c>
      <c r="N1797">
        <v>11.19</v>
      </c>
    </row>
    <row r="1798" spans="1:14">
      <c r="A1798" s="2" t="s">
        <v>1826</v>
      </c>
      <c r="B1798" t="s">
        <v>5619</v>
      </c>
      <c r="C1798">
        <v>-3.22</v>
      </c>
      <c r="D1798">
        <v>-2.2799999999999998</v>
      </c>
      <c r="E1798">
        <v>-1.22</v>
      </c>
      <c r="F1798">
        <v>0.68</v>
      </c>
      <c r="G1798">
        <v>0.5</v>
      </c>
      <c r="H1798">
        <v>-3.13</v>
      </c>
      <c r="I1798">
        <v>11.21</v>
      </c>
      <c r="J1798">
        <v>3.12</v>
      </c>
      <c r="K1798">
        <v>14.17</v>
      </c>
      <c r="L1798">
        <v>-13.7</v>
      </c>
      <c r="M1798">
        <v>1.22</v>
      </c>
      <c r="N1798">
        <v>13.41</v>
      </c>
    </row>
    <row r="1799" spans="1:14">
      <c r="A1799" s="2" t="s">
        <v>1827</v>
      </c>
      <c r="B1799" t="s">
        <v>5620</v>
      </c>
      <c r="C1799">
        <v>-9.85</v>
      </c>
      <c r="D1799">
        <v>23.84</v>
      </c>
      <c r="E1799">
        <v>-10.78</v>
      </c>
      <c r="F1799">
        <v>43.6</v>
      </c>
      <c r="G1799">
        <v>7.63</v>
      </c>
      <c r="H1799">
        <v>-6.12</v>
      </c>
      <c r="I1799">
        <v>0.1</v>
      </c>
      <c r="J1799">
        <v>-19.48</v>
      </c>
      <c r="K1799">
        <v>10.19</v>
      </c>
      <c r="L1799">
        <v>81.25</v>
      </c>
      <c r="M1799">
        <v>32.28</v>
      </c>
      <c r="N1799">
        <v>72.510000000000005</v>
      </c>
    </row>
    <row r="1800" spans="1:14">
      <c r="A1800" s="2" t="s">
        <v>1828</v>
      </c>
      <c r="B1800" t="s">
        <v>5621</v>
      </c>
      <c r="C1800">
        <v>-20.12</v>
      </c>
      <c r="D1800">
        <v>-10.38</v>
      </c>
      <c r="E1800">
        <v>-4</v>
      </c>
      <c r="F1800">
        <v>-9.42</v>
      </c>
      <c r="G1800">
        <v>23.98</v>
      </c>
      <c r="H1800">
        <v>-2.3199999999999998</v>
      </c>
      <c r="I1800">
        <v>-9.07</v>
      </c>
      <c r="J1800">
        <v>-17.3</v>
      </c>
      <c r="K1800">
        <v>-25.35</v>
      </c>
      <c r="L1800">
        <v>-49.23</v>
      </c>
      <c r="M1800">
        <v>-43.48</v>
      </c>
      <c r="N1800">
        <v>-24.27</v>
      </c>
    </row>
    <row r="1801" spans="1:14">
      <c r="A1801" s="2" t="s">
        <v>1829</v>
      </c>
      <c r="B1801" t="s">
        <v>5622</v>
      </c>
      <c r="C1801">
        <v>2.64</v>
      </c>
      <c r="D1801">
        <v>20.94</v>
      </c>
      <c r="E1801">
        <v>-17.690000000000001</v>
      </c>
      <c r="F1801">
        <v>25.25</v>
      </c>
      <c r="G1801">
        <v>-0.69</v>
      </c>
      <c r="H1801">
        <v>4.55</v>
      </c>
      <c r="I1801">
        <v>-12.14</v>
      </c>
      <c r="J1801">
        <v>8</v>
      </c>
      <c r="K1801">
        <v>2.35</v>
      </c>
      <c r="L1801">
        <v>21.61</v>
      </c>
      <c r="M1801">
        <v>33.51</v>
      </c>
      <c r="N1801">
        <v>43.91</v>
      </c>
    </row>
    <row r="1802" spans="1:14">
      <c r="A1802" s="2" t="s">
        <v>1830</v>
      </c>
      <c r="B1802" t="s">
        <v>5623</v>
      </c>
      <c r="C1802">
        <v>4.03</v>
      </c>
      <c r="D1802">
        <v>3.93</v>
      </c>
      <c r="E1802">
        <v>-1.84</v>
      </c>
      <c r="F1802">
        <v>11.99</v>
      </c>
      <c r="G1802">
        <v>5.13</v>
      </c>
      <c r="H1802">
        <v>-2.25</v>
      </c>
      <c r="I1802">
        <v>18.98</v>
      </c>
      <c r="J1802">
        <v>43.47</v>
      </c>
      <c r="K1802">
        <v>25.51</v>
      </c>
      <c r="L1802">
        <v>46.62</v>
      </c>
      <c r="M1802">
        <v>39.380000000000003</v>
      </c>
      <c r="N1802">
        <v>38.07</v>
      </c>
    </row>
    <row r="1803" spans="1:14">
      <c r="A1803" s="2" t="s">
        <v>1831</v>
      </c>
      <c r="B1803" t="s">
        <v>5624</v>
      </c>
      <c r="C1803">
        <v>-7.11</v>
      </c>
      <c r="D1803">
        <v>38.81</v>
      </c>
      <c r="E1803">
        <v>-34.69</v>
      </c>
      <c r="F1803">
        <v>18.940000000000001</v>
      </c>
      <c r="G1803">
        <v>17.91</v>
      </c>
      <c r="H1803">
        <v>8.91</v>
      </c>
      <c r="I1803">
        <v>-3.3</v>
      </c>
      <c r="J1803">
        <v>42.9</v>
      </c>
      <c r="K1803">
        <v>2.1800000000000002</v>
      </c>
      <c r="L1803">
        <v>14.4</v>
      </c>
      <c r="M1803">
        <v>79.790000000000006</v>
      </c>
      <c r="N1803">
        <v>43.88</v>
      </c>
    </row>
    <row r="1804" spans="1:14">
      <c r="A1804" s="2" t="s">
        <v>1832</v>
      </c>
      <c r="B1804" t="s">
        <v>5625</v>
      </c>
      <c r="C1804">
        <v>6.33</v>
      </c>
      <c r="D1804">
        <v>-0.14000000000000001</v>
      </c>
      <c r="E1804">
        <v>4.3099999999999996</v>
      </c>
      <c r="F1804">
        <v>-1.7</v>
      </c>
      <c r="G1804">
        <v>2.94</v>
      </c>
      <c r="H1804">
        <v>3.95</v>
      </c>
      <c r="I1804">
        <v>-1.2</v>
      </c>
      <c r="J1804">
        <v>10.51</v>
      </c>
      <c r="K1804">
        <v>21.99</v>
      </c>
      <c r="L1804">
        <v>16.670000000000002</v>
      </c>
      <c r="M1804">
        <v>23.78</v>
      </c>
      <c r="N1804">
        <v>31.23</v>
      </c>
    </row>
    <row r="1805" spans="1:14">
      <c r="A1805" s="2" t="s">
        <v>1833</v>
      </c>
      <c r="B1805" t="s">
        <v>5626</v>
      </c>
      <c r="C1805">
        <v>13.26</v>
      </c>
      <c r="D1805">
        <v>3.91</v>
      </c>
      <c r="E1805">
        <v>1.38</v>
      </c>
      <c r="F1805">
        <v>2.2200000000000002</v>
      </c>
      <c r="G1805">
        <v>13.89</v>
      </c>
      <c r="H1805">
        <v>1.75</v>
      </c>
      <c r="I1805">
        <v>32.6</v>
      </c>
      <c r="J1805">
        <v>24.17</v>
      </c>
      <c r="K1805">
        <v>42.8</v>
      </c>
      <c r="L1805">
        <v>37.43</v>
      </c>
      <c r="M1805">
        <v>46.8</v>
      </c>
      <c r="N1805">
        <v>48.32</v>
      </c>
    </row>
    <row r="1806" spans="1:14">
      <c r="A1806" s="2" t="s">
        <v>1834</v>
      </c>
      <c r="B1806" t="s">
        <v>5627</v>
      </c>
      <c r="C1806">
        <v>-1.27</v>
      </c>
      <c r="D1806">
        <v>-10.46</v>
      </c>
      <c r="E1806">
        <v>-11.87</v>
      </c>
      <c r="F1806">
        <v>1.52</v>
      </c>
      <c r="G1806">
        <v>1.18</v>
      </c>
      <c r="H1806">
        <v>-3.96</v>
      </c>
      <c r="I1806">
        <v>28.46</v>
      </c>
      <c r="J1806">
        <v>14.34</v>
      </c>
      <c r="K1806">
        <v>-9.41</v>
      </c>
      <c r="L1806">
        <v>3.76</v>
      </c>
      <c r="M1806">
        <v>-0.99</v>
      </c>
      <c r="N1806">
        <v>2.36</v>
      </c>
    </row>
    <row r="1807" spans="1:14">
      <c r="A1807" s="2" t="s">
        <v>1835</v>
      </c>
      <c r="B1807" t="s">
        <v>5628</v>
      </c>
      <c r="C1807">
        <v>-4.18</v>
      </c>
      <c r="D1807">
        <v>7.49</v>
      </c>
      <c r="E1807">
        <v>0.99</v>
      </c>
      <c r="F1807">
        <v>-14.42</v>
      </c>
      <c r="G1807">
        <v>2.65</v>
      </c>
      <c r="H1807">
        <v>-6.87</v>
      </c>
      <c r="I1807">
        <v>14.99</v>
      </c>
      <c r="J1807">
        <v>26.97</v>
      </c>
      <c r="K1807">
        <v>8.2100000000000009</v>
      </c>
      <c r="L1807">
        <v>-4</v>
      </c>
      <c r="M1807">
        <v>2.0299999999999998</v>
      </c>
      <c r="N1807">
        <v>-2.92</v>
      </c>
    </row>
    <row r="1808" spans="1:14">
      <c r="A1808" s="2" t="s">
        <v>1836</v>
      </c>
      <c r="B1808" t="s">
        <v>5629</v>
      </c>
      <c r="C1808">
        <v>-43.18</v>
      </c>
      <c r="D1808">
        <v>119.09</v>
      </c>
      <c r="E1808">
        <v>12.14</v>
      </c>
      <c r="F1808">
        <v>21.1</v>
      </c>
      <c r="G1808">
        <v>31.12</v>
      </c>
      <c r="H1808">
        <v>-1.1299999999999999</v>
      </c>
      <c r="I1808">
        <v>-89.13</v>
      </c>
      <c r="J1808">
        <v>-70.099999999999994</v>
      </c>
      <c r="K1808">
        <v>-55.5</v>
      </c>
      <c r="L1808">
        <v>35.85</v>
      </c>
      <c r="M1808">
        <v>94.14</v>
      </c>
      <c r="N1808">
        <v>-13.76</v>
      </c>
    </row>
    <row r="1809" spans="1:14">
      <c r="A1809" s="2" t="s">
        <v>1837</v>
      </c>
      <c r="B1809" t="s">
        <v>5630</v>
      </c>
      <c r="C1809">
        <v>-74.63</v>
      </c>
      <c r="D1809">
        <v>434.62</v>
      </c>
      <c r="E1809">
        <v>-75.86</v>
      </c>
      <c r="F1809">
        <v>283.72000000000003</v>
      </c>
      <c r="G1809">
        <v>40.700000000000003</v>
      </c>
      <c r="I1809">
        <v>-83.47</v>
      </c>
      <c r="J1809">
        <v>-58.2</v>
      </c>
      <c r="K1809">
        <v>-88.56</v>
      </c>
      <c r="L1809">
        <v>-56.65</v>
      </c>
      <c r="M1809">
        <v>-38.049999999999997</v>
      </c>
    </row>
    <row r="1810" spans="1:14">
      <c r="A1810" s="2" t="s">
        <v>1838</v>
      </c>
      <c r="B1810" t="s">
        <v>5631</v>
      </c>
      <c r="C1810">
        <v>-0.85</v>
      </c>
      <c r="D1810">
        <v>16.79</v>
      </c>
      <c r="E1810">
        <v>-7.9</v>
      </c>
      <c r="F1810">
        <v>8.9700000000000006</v>
      </c>
      <c r="G1810">
        <v>-13.39</v>
      </c>
      <c r="H1810">
        <v>0.9</v>
      </c>
      <c r="I1810">
        <v>-13.09</v>
      </c>
      <c r="J1810">
        <v>-1.64</v>
      </c>
      <c r="K1810">
        <v>-1.23</v>
      </c>
      <c r="L1810">
        <v>10.78</v>
      </c>
      <c r="M1810">
        <v>-3.83</v>
      </c>
      <c r="N1810">
        <v>3.96</v>
      </c>
    </row>
    <row r="1811" spans="1:14">
      <c r="A1811" s="2" t="s">
        <v>1839</v>
      </c>
      <c r="B1811" t="s">
        <v>5632</v>
      </c>
      <c r="C1811">
        <v>7.24</v>
      </c>
      <c r="D1811">
        <v>23.46</v>
      </c>
      <c r="E1811">
        <v>-2.96</v>
      </c>
      <c r="F1811">
        <v>-1.0900000000000001</v>
      </c>
      <c r="G1811">
        <v>6.93</v>
      </c>
      <c r="H1811">
        <v>-7.1</v>
      </c>
      <c r="I1811">
        <v>-7.71</v>
      </c>
      <c r="J1811">
        <v>-4.59</v>
      </c>
      <c r="K1811">
        <v>-14.2</v>
      </c>
      <c r="L1811">
        <v>-19.239999999999998</v>
      </c>
      <c r="M1811">
        <v>-9.58</v>
      </c>
      <c r="N1811">
        <v>17.22</v>
      </c>
    </row>
    <row r="1812" spans="1:14">
      <c r="A1812" s="2" t="s">
        <v>1840</v>
      </c>
      <c r="B1812" t="s">
        <v>5633</v>
      </c>
      <c r="C1812">
        <v>-40.18</v>
      </c>
      <c r="D1812">
        <v>58.84</v>
      </c>
      <c r="E1812">
        <v>41.09</v>
      </c>
      <c r="F1812">
        <v>-43.83</v>
      </c>
      <c r="G1812">
        <v>48.39</v>
      </c>
      <c r="H1812">
        <v>17.64</v>
      </c>
      <c r="I1812">
        <v>-44.63</v>
      </c>
      <c r="J1812">
        <v>8.49</v>
      </c>
      <c r="K1812">
        <v>135.69</v>
      </c>
      <c r="L1812">
        <v>-32.28</v>
      </c>
      <c r="M1812">
        <v>57.77</v>
      </c>
      <c r="N1812">
        <v>48.05</v>
      </c>
    </row>
    <row r="1813" spans="1:14">
      <c r="A1813" s="2" t="s">
        <v>1841</v>
      </c>
      <c r="B1813" t="s">
        <v>5634</v>
      </c>
      <c r="C1813">
        <v>0.47</v>
      </c>
      <c r="D1813">
        <v>24.5</v>
      </c>
      <c r="E1813">
        <v>-8.43</v>
      </c>
      <c r="F1813">
        <v>2.1800000000000002</v>
      </c>
      <c r="G1813">
        <v>33.1</v>
      </c>
      <c r="H1813">
        <v>-2.2200000000000002</v>
      </c>
      <c r="I1813">
        <v>34.11</v>
      </c>
      <c r="J1813">
        <v>48.55</v>
      </c>
      <c r="K1813">
        <v>90.5</v>
      </c>
      <c r="L1813">
        <v>68.44</v>
      </c>
      <c r="M1813">
        <v>68.38</v>
      </c>
      <c r="N1813">
        <v>137.01</v>
      </c>
    </row>
    <row r="1814" spans="1:14">
      <c r="A1814" s="2" t="s">
        <v>1842</v>
      </c>
      <c r="B1814" t="s">
        <v>5635</v>
      </c>
      <c r="C1814">
        <v>-1.67</v>
      </c>
      <c r="D1814">
        <v>-6.32</v>
      </c>
      <c r="E1814">
        <v>2.95</v>
      </c>
      <c r="F1814">
        <v>3.5</v>
      </c>
      <c r="G1814">
        <v>-0.28000000000000003</v>
      </c>
      <c r="I1814">
        <v>-0.66</v>
      </c>
      <c r="J1814">
        <v>5.29</v>
      </c>
      <c r="K1814">
        <v>-1.86</v>
      </c>
      <c r="L1814">
        <v>7.83</v>
      </c>
      <c r="M1814">
        <v>32.08</v>
      </c>
    </row>
    <row r="1815" spans="1:14">
      <c r="A1815" s="2" t="s">
        <v>1843</v>
      </c>
      <c r="B1815" t="s">
        <v>5636</v>
      </c>
      <c r="C1815">
        <v>2.02</v>
      </c>
      <c r="D1815">
        <v>-1.51</v>
      </c>
      <c r="E1815">
        <v>-2.64</v>
      </c>
      <c r="F1815">
        <v>-5.37</v>
      </c>
      <c r="G1815">
        <v>7.3</v>
      </c>
      <c r="H1815">
        <v>7.95</v>
      </c>
      <c r="I1815">
        <v>-1.56</v>
      </c>
      <c r="J1815">
        <v>-4.7300000000000004</v>
      </c>
      <c r="K1815">
        <v>-10.5</v>
      </c>
      <c r="L1815">
        <v>-17.579999999999998</v>
      </c>
      <c r="M1815">
        <v>-7.78</v>
      </c>
      <c r="N1815">
        <v>17.559999999999999</v>
      </c>
    </row>
    <row r="1816" spans="1:14">
      <c r="A1816" s="2" t="s">
        <v>1844</v>
      </c>
      <c r="B1816" t="s">
        <v>5637</v>
      </c>
      <c r="C1816">
        <v>20.83</v>
      </c>
      <c r="D1816">
        <v>8.84</v>
      </c>
      <c r="E1816">
        <v>10.6</v>
      </c>
      <c r="F1816">
        <v>-34.770000000000003</v>
      </c>
      <c r="G1816">
        <v>43.69</v>
      </c>
      <c r="H1816">
        <v>-4.5599999999999996</v>
      </c>
      <c r="I1816">
        <v>-18.34</v>
      </c>
      <c r="J1816">
        <v>9.76</v>
      </c>
      <c r="K1816">
        <v>7.97</v>
      </c>
      <c r="L1816">
        <v>-7.2</v>
      </c>
      <c r="M1816">
        <v>59.74</v>
      </c>
      <c r="N1816">
        <v>-6.27</v>
      </c>
    </row>
    <row r="1817" spans="1:14">
      <c r="A1817" s="2" t="s">
        <v>1845</v>
      </c>
      <c r="B1817" t="s">
        <v>5638</v>
      </c>
      <c r="C1817">
        <v>-30.59</v>
      </c>
      <c r="D1817">
        <v>94.56</v>
      </c>
      <c r="E1817">
        <v>-58.16</v>
      </c>
      <c r="F1817">
        <v>150.37</v>
      </c>
      <c r="G1817">
        <v>-46.58</v>
      </c>
      <c r="H1817">
        <v>5.12</v>
      </c>
      <c r="I1817">
        <v>114.26</v>
      </c>
      <c r="J1817">
        <v>307.26</v>
      </c>
      <c r="K1817">
        <v>23.68</v>
      </c>
      <c r="L1817">
        <v>242.82</v>
      </c>
      <c r="M1817">
        <v>67.39</v>
      </c>
      <c r="N1817">
        <v>172.7</v>
      </c>
    </row>
    <row r="1818" spans="1:14">
      <c r="A1818" s="2" t="s">
        <v>1846</v>
      </c>
      <c r="B1818" t="s">
        <v>5639</v>
      </c>
      <c r="C1818">
        <v>-3.94</v>
      </c>
      <c r="D1818">
        <v>-2.97</v>
      </c>
      <c r="E1818">
        <v>21.72</v>
      </c>
      <c r="F1818">
        <v>-22.36</v>
      </c>
      <c r="G1818">
        <v>19.73</v>
      </c>
      <c r="H1818">
        <v>-1.53</v>
      </c>
      <c r="I1818">
        <v>-17.739999999999998</v>
      </c>
      <c r="J1818">
        <v>-15.67</v>
      </c>
      <c r="K1818">
        <v>-1.73</v>
      </c>
      <c r="L1818">
        <v>-32.979999999999997</v>
      </c>
      <c r="M1818">
        <v>-14.32</v>
      </c>
      <c r="N1818">
        <v>-26.69</v>
      </c>
    </row>
    <row r="1819" spans="1:14">
      <c r="A1819" s="2" t="s">
        <v>1847</v>
      </c>
      <c r="B1819" t="s">
        <v>5640</v>
      </c>
      <c r="C1819">
        <v>-2.4</v>
      </c>
      <c r="D1819">
        <v>-0.11</v>
      </c>
      <c r="E1819">
        <v>-6.6</v>
      </c>
      <c r="F1819">
        <v>-0.73</v>
      </c>
      <c r="G1819">
        <v>1.23</v>
      </c>
      <c r="H1819">
        <v>3.83</v>
      </c>
      <c r="I1819">
        <v>-7.11</v>
      </c>
      <c r="J1819">
        <v>-15.33</v>
      </c>
      <c r="K1819">
        <v>-16.489999999999998</v>
      </c>
      <c r="L1819">
        <v>-18.940000000000001</v>
      </c>
      <c r="M1819">
        <v>-10.57</v>
      </c>
      <c r="N1819">
        <v>-9.9</v>
      </c>
    </row>
    <row r="1820" spans="1:14">
      <c r="A1820" s="2" t="s">
        <v>1848</v>
      </c>
      <c r="B1820" t="s">
        <v>5641</v>
      </c>
      <c r="C1820">
        <v>18.809999999999999</v>
      </c>
      <c r="D1820">
        <v>0.19</v>
      </c>
      <c r="E1820">
        <v>4.12</v>
      </c>
      <c r="F1820">
        <v>-8.56</v>
      </c>
      <c r="G1820">
        <v>46.77</v>
      </c>
      <c r="H1820">
        <v>3.91</v>
      </c>
      <c r="I1820">
        <v>-40.96</v>
      </c>
      <c r="J1820">
        <v>-24.79</v>
      </c>
      <c r="K1820">
        <v>-29.28</v>
      </c>
      <c r="L1820">
        <v>-41.71</v>
      </c>
      <c r="M1820">
        <v>24.99</v>
      </c>
      <c r="N1820">
        <v>8.41</v>
      </c>
    </row>
    <row r="1821" spans="1:14">
      <c r="A1821" s="2" t="s">
        <v>1849</v>
      </c>
      <c r="B1821" t="s">
        <v>5642</v>
      </c>
      <c r="C1821">
        <v>-6.59</v>
      </c>
      <c r="D1821">
        <v>16.22</v>
      </c>
      <c r="E1821">
        <v>-4.41</v>
      </c>
      <c r="F1821">
        <v>-19.399999999999999</v>
      </c>
      <c r="G1821">
        <v>10.039999999999999</v>
      </c>
      <c r="H1821">
        <v>7.27</v>
      </c>
      <c r="I1821">
        <v>-8.4499999999999993</v>
      </c>
      <c r="J1821">
        <v>11.86</v>
      </c>
      <c r="K1821">
        <v>6.56</v>
      </c>
      <c r="L1821">
        <v>-19.440000000000001</v>
      </c>
      <c r="M1821">
        <v>1.46</v>
      </c>
      <c r="N1821">
        <v>2.36</v>
      </c>
    </row>
    <row r="1822" spans="1:14">
      <c r="A1822" s="2" t="s">
        <v>1850</v>
      </c>
      <c r="B1822" t="s">
        <v>5643</v>
      </c>
      <c r="C1822">
        <v>10.77</v>
      </c>
      <c r="D1822">
        <v>-8.08</v>
      </c>
      <c r="E1822">
        <v>-3.75</v>
      </c>
      <c r="F1822">
        <v>-4.2300000000000004</v>
      </c>
      <c r="G1822">
        <v>-7.42</v>
      </c>
      <c r="H1822">
        <v>25.21</v>
      </c>
      <c r="I1822">
        <v>-0.7</v>
      </c>
      <c r="J1822">
        <v>10.06</v>
      </c>
      <c r="K1822">
        <v>-3.79</v>
      </c>
      <c r="L1822">
        <v>-12.53</v>
      </c>
      <c r="M1822">
        <v>-0.63</v>
      </c>
      <c r="N1822">
        <v>19.34</v>
      </c>
    </row>
    <row r="1823" spans="1:14">
      <c r="A1823" s="2" t="s">
        <v>1851</v>
      </c>
      <c r="B1823" t="s">
        <v>5644</v>
      </c>
      <c r="C1823">
        <v>-4.4400000000000004</v>
      </c>
      <c r="D1823">
        <v>15.7</v>
      </c>
      <c r="E1823">
        <v>6.66</v>
      </c>
      <c r="F1823">
        <v>-15.86</v>
      </c>
      <c r="G1823">
        <v>-18.66</v>
      </c>
      <c r="H1823">
        <v>146.13999999999999</v>
      </c>
      <c r="I1823">
        <v>50.53</v>
      </c>
      <c r="J1823">
        <v>88.63</v>
      </c>
      <c r="K1823">
        <v>76.53</v>
      </c>
      <c r="L1823">
        <v>35.76</v>
      </c>
      <c r="M1823">
        <v>33.85</v>
      </c>
      <c r="N1823">
        <v>233.35</v>
      </c>
    </row>
    <row r="1824" spans="1:14">
      <c r="A1824" s="2" t="s">
        <v>1852</v>
      </c>
      <c r="B1824" t="s">
        <v>5645</v>
      </c>
      <c r="C1824">
        <v>17.78</v>
      </c>
      <c r="D1824">
        <v>35.29</v>
      </c>
      <c r="E1824">
        <v>-30.26</v>
      </c>
      <c r="F1824">
        <v>43.59</v>
      </c>
      <c r="G1824">
        <v>50.74</v>
      </c>
      <c r="H1824">
        <v>-64.64</v>
      </c>
      <c r="I1824">
        <v>13.43</v>
      </c>
      <c r="J1824">
        <v>29.53</v>
      </c>
      <c r="K1824">
        <v>0.12</v>
      </c>
      <c r="L1824">
        <v>2.74</v>
      </c>
      <c r="M1824">
        <v>5.99</v>
      </c>
      <c r="N1824">
        <v>8.67</v>
      </c>
    </row>
    <row r="1825" spans="1:14">
      <c r="A1825" s="2" t="s">
        <v>1853</v>
      </c>
      <c r="B1825" t="s">
        <v>5646</v>
      </c>
      <c r="C1825">
        <v>-10.75</v>
      </c>
      <c r="D1825">
        <v>33.22</v>
      </c>
      <c r="E1825">
        <v>-41.68</v>
      </c>
      <c r="F1825">
        <v>7.0000000000000007E-2</v>
      </c>
      <c r="G1825">
        <v>51.22</v>
      </c>
      <c r="H1825">
        <v>-41.39</v>
      </c>
      <c r="I1825">
        <v>-32.22</v>
      </c>
      <c r="J1825">
        <v>11.74</v>
      </c>
      <c r="K1825">
        <v>-69.59</v>
      </c>
      <c r="L1825">
        <v>-60.96</v>
      </c>
      <c r="M1825">
        <v>-34.770000000000003</v>
      </c>
      <c r="N1825">
        <v>-19.86</v>
      </c>
    </row>
    <row r="1826" spans="1:14">
      <c r="A1826" s="2" t="s">
        <v>1854</v>
      </c>
      <c r="B1826" t="s">
        <v>5647</v>
      </c>
      <c r="C1826">
        <v>6.4</v>
      </c>
      <c r="D1826">
        <v>22.97</v>
      </c>
      <c r="E1826">
        <v>-21.19</v>
      </c>
      <c r="F1826">
        <v>-18.739999999999998</v>
      </c>
      <c r="G1826">
        <v>19.82</v>
      </c>
      <c r="H1826">
        <v>-22.79</v>
      </c>
      <c r="I1826">
        <v>-9.36</v>
      </c>
      <c r="J1826">
        <v>17.5</v>
      </c>
      <c r="K1826">
        <v>14.78</v>
      </c>
      <c r="L1826">
        <v>-17.690000000000001</v>
      </c>
      <c r="M1826">
        <v>8.34</v>
      </c>
      <c r="N1826">
        <v>6.62</v>
      </c>
    </row>
    <row r="1827" spans="1:14">
      <c r="A1827" s="2" t="s">
        <v>1855</v>
      </c>
      <c r="B1827" t="s">
        <v>5648</v>
      </c>
      <c r="C1827">
        <v>-5.93</v>
      </c>
      <c r="D1827">
        <v>4.26</v>
      </c>
      <c r="E1827">
        <v>0.7</v>
      </c>
      <c r="F1827">
        <v>4.3600000000000003</v>
      </c>
      <c r="G1827">
        <v>3.86</v>
      </c>
      <c r="H1827">
        <v>-7.57</v>
      </c>
      <c r="I1827">
        <v>2.73</v>
      </c>
      <c r="J1827">
        <v>14</v>
      </c>
      <c r="K1827">
        <v>5.28</v>
      </c>
      <c r="L1827">
        <v>5.93</v>
      </c>
      <c r="M1827">
        <v>7.47</v>
      </c>
      <c r="N1827">
        <v>15.47</v>
      </c>
    </row>
    <row r="1828" spans="1:14">
      <c r="A1828" s="2" t="s">
        <v>1856</v>
      </c>
      <c r="B1828" t="s">
        <v>5649</v>
      </c>
      <c r="C1828">
        <v>-4.75</v>
      </c>
      <c r="D1828">
        <v>5.92</v>
      </c>
      <c r="E1828">
        <v>5.3</v>
      </c>
      <c r="F1828">
        <v>-3.06</v>
      </c>
      <c r="G1828">
        <v>0.36</v>
      </c>
      <c r="H1828">
        <v>19.100000000000001</v>
      </c>
      <c r="I1828">
        <v>17.760000000000002</v>
      </c>
      <c r="J1828">
        <v>12.92</v>
      </c>
      <c r="K1828">
        <v>15.53</v>
      </c>
      <c r="L1828">
        <v>11.54</v>
      </c>
      <c r="M1828">
        <v>1.79</v>
      </c>
      <c r="N1828">
        <v>18.350000000000001</v>
      </c>
    </row>
    <row r="1829" spans="1:14">
      <c r="A1829" s="2" t="s">
        <v>1857</v>
      </c>
      <c r="B1829" t="s">
        <v>5650</v>
      </c>
      <c r="C1829">
        <v>1181.3599999999999</v>
      </c>
      <c r="D1829">
        <v>-85.19</v>
      </c>
      <c r="E1829">
        <v>158.93</v>
      </c>
      <c r="F1829">
        <v>-58.28</v>
      </c>
      <c r="G1829">
        <v>449.59</v>
      </c>
      <c r="H1829">
        <v>-80</v>
      </c>
      <c r="I1829">
        <v>183.15</v>
      </c>
      <c r="J1829">
        <v>-4.2699999999999996</v>
      </c>
      <c r="K1829">
        <v>-30.95</v>
      </c>
      <c r="L1829">
        <v>6.14</v>
      </c>
      <c r="M1829">
        <v>68.78</v>
      </c>
      <c r="N1829">
        <v>0.76</v>
      </c>
    </row>
    <row r="1830" spans="1:14">
      <c r="A1830" s="2" t="s">
        <v>1858</v>
      </c>
      <c r="B1830" t="s">
        <v>5651</v>
      </c>
      <c r="C1830">
        <v>4.33</v>
      </c>
      <c r="D1830">
        <v>9.8000000000000007</v>
      </c>
      <c r="E1830">
        <v>8.44</v>
      </c>
      <c r="F1830">
        <v>-0.62</v>
      </c>
      <c r="G1830">
        <v>24.07</v>
      </c>
      <c r="H1830">
        <v>19.97</v>
      </c>
      <c r="I1830">
        <v>23.48</v>
      </c>
      <c r="J1830">
        <v>47.04</v>
      </c>
      <c r="K1830">
        <v>90.08</v>
      </c>
      <c r="L1830">
        <v>62.02</v>
      </c>
      <c r="M1830">
        <v>92.68</v>
      </c>
      <c r="N1830">
        <v>189.25</v>
      </c>
    </row>
    <row r="1831" spans="1:14">
      <c r="A1831" s="2" t="s">
        <v>1859</v>
      </c>
      <c r="B1831" t="s">
        <v>5652</v>
      </c>
      <c r="C1831">
        <v>17.010000000000002</v>
      </c>
      <c r="D1831">
        <v>2.27</v>
      </c>
      <c r="E1831">
        <v>-1.48</v>
      </c>
      <c r="F1831">
        <v>-8.26</v>
      </c>
      <c r="G1831">
        <v>-5.72</v>
      </c>
      <c r="H1831">
        <v>19.91</v>
      </c>
      <c r="I1831">
        <v>20.94</v>
      </c>
      <c r="J1831">
        <v>8.99</v>
      </c>
      <c r="K1831">
        <v>18.170000000000002</v>
      </c>
      <c r="L1831">
        <v>0.02</v>
      </c>
      <c r="M1831">
        <v>-3.54</v>
      </c>
      <c r="N1831">
        <v>25.76</v>
      </c>
    </row>
    <row r="1832" spans="1:14">
      <c r="A1832" s="2" t="s">
        <v>1860</v>
      </c>
      <c r="B1832" t="s">
        <v>5653</v>
      </c>
      <c r="C1832">
        <v>-8.2200000000000006</v>
      </c>
      <c r="D1832">
        <v>-17.57</v>
      </c>
      <c r="E1832">
        <v>17.14</v>
      </c>
      <c r="F1832">
        <v>23.45</v>
      </c>
      <c r="G1832">
        <v>5.45</v>
      </c>
      <c r="H1832">
        <v>-17.03</v>
      </c>
      <c r="I1832">
        <v>-13.02</v>
      </c>
      <c r="J1832">
        <v>-15.91</v>
      </c>
      <c r="K1832">
        <v>-18.920000000000002</v>
      </c>
      <c r="L1832">
        <v>-9.9499999999999993</v>
      </c>
      <c r="M1832">
        <v>-10.9</v>
      </c>
      <c r="N1832">
        <v>20.66</v>
      </c>
    </row>
    <row r="1833" spans="1:14">
      <c r="A1833" s="2" t="s">
        <v>1861</v>
      </c>
      <c r="B1833" t="s">
        <v>5654</v>
      </c>
      <c r="C1833">
        <v>2.69</v>
      </c>
      <c r="D1833">
        <v>14.11</v>
      </c>
      <c r="E1833">
        <v>-1.81</v>
      </c>
      <c r="F1833">
        <v>5.87</v>
      </c>
      <c r="G1833">
        <v>-10.08</v>
      </c>
      <c r="H1833">
        <v>9.18</v>
      </c>
      <c r="I1833">
        <v>-19.57</v>
      </c>
      <c r="J1833">
        <v>-8.1199999999999992</v>
      </c>
      <c r="K1833">
        <v>-7.78</v>
      </c>
      <c r="L1833">
        <v>-2.02</v>
      </c>
      <c r="M1833">
        <v>-25.83</v>
      </c>
      <c r="N1833">
        <v>4.62</v>
      </c>
    </row>
    <row r="1834" spans="1:14">
      <c r="A1834" s="2" t="s">
        <v>1862</v>
      </c>
      <c r="B1834" t="s">
        <v>5655</v>
      </c>
      <c r="C1834">
        <v>3.73</v>
      </c>
      <c r="D1834">
        <v>5.88</v>
      </c>
      <c r="E1834">
        <v>0.31</v>
      </c>
      <c r="F1834">
        <v>-2</v>
      </c>
      <c r="G1834">
        <v>9.67</v>
      </c>
      <c r="H1834">
        <v>5.75</v>
      </c>
      <c r="I1834">
        <v>-19.89</v>
      </c>
      <c r="J1834">
        <v>4.2699999999999996</v>
      </c>
      <c r="K1834">
        <v>10.26</v>
      </c>
      <c r="L1834">
        <v>2.82</v>
      </c>
      <c r="M1834">
        <v>-0.28000000000000003</v>
      </c>
      <c r="N1834">
        <v>17.09</v>
      </c>
    </row>
    <row r="1835" spans="1:14">
      <c r="A1835" s="2" t="s">
        <v>1863</v>
      </c>
      <c r="B1835" t="s">
        <v>5656</v>
      </c>
      <c r="C1835">
        <v>1.54</v>
      </c>
      <c r="D1835">
        <v>1.4</v>
      </c>
      <c r="E1835">
        <v>4.5999999999999996</v>
      </c>
      <c r="F1835">
        <v>2.04</v>
      </c>
      <c r="G1835">
        <v>4.87</v>
      </c>
      <c r="H1835">
        <v>9.2899999999999991</v>
      </c>
      <c r="I1835">
        <v>8.98</v>
      </c>
      <c r="J1835">
        <v>15.3</v>
      </c>
      <c r="K1835">
        <v>34.130000000000003</v>
      </c>
      <c r="L1835">
        <v>27.81</v>
      </c>
      <c r="M1835">
        <v>20.43</v>
      </c>
      <c r="N1835">
        <v>45.92</v>
      </c>
    </row>
    <row r="1836" spans="1:14">
      <c r="A1836" s="2" t="s">
        <v>1864</v>
      </c>
      <c r="B1836" t="s">
        <v>5657</v>
      </c>
      <c r="C1836">
        <v>1.37</v>
      </c>
      <c r="D1836">
        <v>-14.57</v>
      </c>
      <c r="E1836">
        <v>22.29</v>
      </c>
      <c r="F1836">
        <v>-4.2</v>
      </c>
      <c r="G1836">
        <v>1.05</v>
      </c>
      <c r="H1836">
        <v>-6.37</v>
      </c>
      <c r="I1836">
        <v>14.12</v>
      </c>
      <c r="J1836">
        <v>-4.9800000000000004</v>
      </c>
      <c r="K1836">
        <v>37.65</v>
      </c>
      <c r="L1836">
        <v>-3.41</v>
      </c>
      <c r="M1836">
        <v>10.88</v>
      </c>
      <c r="N1836">
        <v>2.9</v>
      </c>
    </row>
    <row r="1837" spans="1:14">
      <c r="A1837" s="2" t="s">
        <v>1865</v>
      </c>
      <c r="B1837" t="s">
        <v>5658</v>
      </c>
      <c r="C1837">
        <v>-1.39</v>
      </c>
      <c r="D1837">
        <v>1.92</v>
      </c>
      <c r="E1837">
        <v>1.04</v>
      </c>
      <c r="F1837">
        <v>-6.74</v>
      </c>
      <c r="G1837">
        <v>8.02</v>
      </c>
      <c r="H1837">
        <v>15.37</v>
      </c>
      <c r="I1837">
        <v>-0.22</v>
      </c>
      <c r="J1837">
        <v>16.940000000000001</v>
      </c>
      <c r="K1837">
        <v>-7.0000000000000007E-2</v>
      </c>
      <c r="L1837">
        <v>-7.52</v>
      </c>
      <c r="M1837">
        <v>6.75</v>
      </c>
      <c r="N1837">
        <v>26.4</v>
      </c>
    </row>
    <row r="1838" spans="1:14">
      <c r="A1838" s="2" t="s">
        <v>1866</v>
      </c>
      <c r="B1838" t="s">
        <v>5659</v>
      </c>
      <c r="C1838">
        <v>5.41</v>
      </c>
      <c r="D1838">
        <v>-13.43</v>
      </c>
      <c r="E1838">
        <v>8.4</v>
      </c>
      <c r="F1838">
        <v>10.51</v>
      </c>
      <c r="G1838">
        <v>27.14</v>
      </c>
      <c r="H1838">
        <v>-19.579999999999998</v>
      </c>
      <c r="I1838">
        <v>25.62</v>
      </c>
      <c r="J1838">
        <v>0.04</v>
      </c>
      <c r="K1838">
        <v>33.4</v>
      </c>
      <c r="L1838">
        <v>-29.29</v>
      </c>
      <c r="M1838">
        <v>36.56</v>
      </c>
      <c r="N1838">
        <v>9.31</v>
      </c>
    </row>
    <row r="1839" spans="1:14">
      <c r="A1839" s="2" t="s">
        <v>1867</v>
      </c>
      <c r="B1839" t="s">
        <v>5660</v>
      </c>
      <c r="C1839">
        <v>4.84</v>
      </c>
      <c r="D1839">
        <v>7.42</v>
      </c>
      <c r="E1839">
        <v>19.46</v>
      </c>
      <c r="F1839">
        <v>7.53</v>
      </c>
      <c r="G1839">
        <v>-18.809999999999999</v>
      </c>
      <c r="H1839">
        <v>47.9</v>
      </c>
      <c r="I1839">
        <v>-33.58</v>
      </c>
      <c r="J1839">
        <v>-26.67</v>
      </c>
      <c r="K1839">
        <v>-8.5399999999999991</v>
      </c>
      <c r="L1839">
        <v>13.9</v>
      </c>
      <c r="M1839">
        <v>-3.7</v>
      </c>
      <c r="N1839">
        <v>60.35</v>
      </c>
    </row>
    <row r="1840" spans="1:14">
      <c r="A1840" s="2" t="s">
        <v>1868</v>
      </c>
      <c r="B1840" t="s">
        <v>5661</v>
      </c>
      <c r="C1840">
        <v>4.62</v>
      </c>
      <c r="D1840">
        <v>0.74</v>
      </c>
      <c r="E1840">
        <v>-6.4</v>
      </c>
      <c r="F1840">
        <v>7.93</v>
      </c>
      <c r="G1840">
        <v>11.91</v>
      </c>
      <c r="H1840">
        <v>-6.99</v>
      </c>
      <c r="I1840">
        <v>2.08</v>
      </c>
      <c r="J1840">
        <v>9.44</v>
      </c>
      <c r="K1840">
        <v>-0.99</v>
      </c>
      <c r="L1840">
        <v>-11.3</v>
      </c>
      <c r="M1840">
        <v>-0.65</v>
      </c>
      <c r="N1840">
        <v>41.32</v>
      </c>
    </row>
    <row r="1841" spans="1:14">
      <c r="A1841" s="2" t="s">
        <v>1869</v>
      </c>
      <c r="B1841" t="s">
        <v>5662</v>
      </c>
      <c r="C1841">
        <v>-1.69</v>
      </c>
      <c r="D1841">
        <v>0.48</v>
      </c>
      <c r="E1841">
        <v>4.71</v>
      </c>
      <c r="F1841">
        <v>-10.72</v>
      </c>
      <c r="G1841">
        <v>15.04</v>
      </c>
      <c r="I1841">
        <v>-4.49</v>
      </c>
      <c r="J1841">
        <v>-2.86</v>
      </c>
      <c r="K1841">
        <v>3.98</v>
      </c>
      <c r="L1841">
        <v>-5.98</v>
      </c>
      <c r="M1841">
        <v>5.73</v>
      </c>
    </row>
    <row r="1842" spans="1:14">
      <c r="A1842" s="2" t="s">
        <v>1870</v>
      </c>
      <c r="B1842" t="s">
        <v>5663</v>
      </c>
      <c r="C1842">
        <v>20.23</v>
      </c>
      <c r="D1842">
        <v>-2.95</v>
      </c>
      <c r="E1842">
        <v>-18.45</v>
      </c>
      <c r="F1842">
        <v>0.89</v>
      </c>
      <c r="G1842">
        <v>17.649999999999999</v>
      </c>
      <c r="H1842">
        <v>9.16</v>
      </c>
      <c r="I1842">
        <v>3.45</v>
      </c>
      <c r="J1842">
        <v>10.27</v>
      </c>
      <c r="K1842">
        <v>1.29</v>
      </c>
      <c r="L1842">
        <v>-8.3699999999999992</v>
      </c>
      <c r="M1842">
        <v>20.48</v>
      </c>
      <c r="N1842">
        <v>23.39</v>
      </c>
    </row>
    <row r="1843" spans="1:14">
      <c r="A1843" s="2" t="s">
        <v>1871</v>
      </c>
      <c r="B1843" t="s">
        <v>5664</v>
      </c>
      <c r="C1843">
        <v>-22.52</v>
      </c>
      <c r="D1843">
        <v>425.3</v>
      </c>
      <c r="E1843">
        <v>-86.89</v>
      </c>
      <c r="F1843">
        <v>8.8699999999999992</v>
      </c>
      <c r="G1843">
        <v>440.68</v>
      </c>
      <c r="H1843">
        <v>-69.349999999999994</v>
      </c>
      <c r="I1843">
        <v>34.99</v>
      </c>
      <c r="J1843">
        <v>580.34</v>
      </c>
      <c r="K1843">
        <v>-86.82</v>
      </c>
      <c r="L1843">
        <v>-16.82</v>
      </c>
      <c r="M1843">
        <v>-28.79</v>
      </c>
      <c r="N1843">
        <v>300.56</v>
      </c>
    </row>
    <row r="1844" spans="1:14">
      <c r="A1844" s="2" t="s">
        <v>1872</v>
      </c>
      <c r="B1844" t="s">
        <v>5665</v>
      </c>
      <c r="C1844">
        <v>-1.63</v>
      </c>
      <c r="D1844">
        <v>-6.83</v>
      </c>
      <c r="E1844">
        <v>-13.48</v>
      </c>
      <c r="F1844">
        <v>-0.57999999999999996</v>
      </c>
      <c r="G1844">
        <v>35.090000000000003</v>
      </c>
      <c r="H1844">
        <v>-23.41</v>
      </c>
      <c r="I1844">
        <v>-16.82</v>
      </c>
      <c r="J1844">
        <v>-3.82</v>
      </c>
      <c r="K1844">
        <v>-20.58</v>
      </c>
      <c r="L1844">
        <v>-15.63</v>
      </c>
      <c r="M1844">
        <v>-8.43</v>
      </c>
      <c r="N1844">
        <v>33.229999999999997</v>
      </c>
    </row>
    <row r="1845" spans="1:14">
      <c r="A1845" s="2" t="s">
        <v>1873</v>
      </c>
      <c r="B1845" t="s">
        <v>5666</v>
      </c>
      <c r="C1845">
        <v>9.2899999999999991</v>
      </c>
      <c r="D1845">
        <v>-0.82</v>
      </c>
      <c r="E1845">
        <v>-30.37</v>
      </c>
      <c r="F1845">
        <v>36.72</v>
      </c>
      <c r="G1845">
        <v>31.02</v>
      </c>
      <c r="H1845">
        <v>16.55</v>
      </c>
      <c r="I1845">
        <v>2.4300000000000002</v>
      </c>
      <c r="J1845">
        <v>18.239999999999998</v>
      </c>
      <c r="K1845">
        <v>-5.27</v>
      </c>
      <c r="L1845">
        <v>-8.9700000000000006</v>
      </c>
      <c r="M1845">
        <v>3.52</v>
      </c>
      <c r="N1845">
        <v>47.31</v>
      </c>
    </row>
    <row r="1846" spans="1:14">
      <c r="A1846" s="2" t="s">
        <v>1874</v>
      </c>
      <c r="B1846" t="s">
        <v>5667</v>
      </c>
      <c r="C1846">
        <v>-3.38</v>
      </c>
      <c r="D1846">
        <v>2.35</v>
      </c>
      <c r="E1846">
        <v>9.9499999999999993</v>
      </c>
      <c r="F1846">
        <v>-19.079999999999998</v>
      </c>
      <c r="G1846">
        <v>-0.23</v>
      </c>
      <c r="H1846">
        <v>24.13</v>
      </c>
      <c r="I1846">
        <v>-5.49</v>
      </c>
      <c r="J1846">
        <v>5.81</v>
      </c>
      <c r="K1846">
        <v>3.67</v>
      </c>
      <c r="L1846">
        <v>-0.97</v>
      </c>
      <c r="M1846">
        <v>5.43</v>
      </c>
      <c r="N1846">
        <v>11.45</v>
      </c>
    </row>
    <row r="1847" spans="1:14">
      <c r="A1847" s="2" t="s">
        <v>1875</v>
      </c>
      <c r="B1847" t="s">
        <v>5668</v>
      </c>
      <c r="C1847">
        <v>22.04</v>
      </c>
      <c r="D1847">
        <v>3.92</v>
      </c>
      <c r="E1847">
        <v>-27.91</v>
      </c>
      <c r="F1847">
        <v>47.03</v>
      </c>
      <c r="G1847">
        <v>72.12</v>
      </c>
      <c r="H1847">
        <v>-49.22</v>
      </c>
      <c r="I1847">
        <v>39.78</v>
      </c>
      <c r="J1847">
        <v>45.2</v>
      </c>
      <c r="K1847">
        <v>5.2</v>
      </c>
      <c r="L1847">
        <v>17.84</v>
      </c>
      <c r="M1847">
        <v>-5.97</v>
      </c>
      <c r="N1847">
        <v>27.46</v>
      </c>
    </row>
    <row r="1848" spans="1:14">
      <c r="A1848" s="2" t="s">
        <v>1876</v>
      </c>
      <c r="B1848" t="s">
        <v>5669</v>
      </c>
      <c r="C1848">
        <v>-1.99</v>
      </c>
      <c r="D1848">
        <v>-1.19</v>
      </c>
      <c r="E1848">
        <v>-1.95</v>
      </c>
      <c r="F1848">
        <v>3.39</v>
      </c>
      <c r="G1848">
        <v>13.73</v>
      </c>
      <c r="H1848">
        <v>-10.84</v>
      </c>
      <c r="I1848">
        <v>-10.55</v>
      </c>
      <c r="J1848">
        <v>-11.32</v>
      </c>
      <c r="K1848">
        <v>1.03</v>
      </c>
      <c r="L1848">
        <v>-17.22</v>
      </c>
      <c r="M1848">
        <v>18.329999999999998</v>
      </c>
      <c r="N1848">
        <v>-1.76</v>
      </c>
    </row>
    <row r="1849" spans="1:14">
      <c r="A1849" s="2" t="s">
        <v>1877</v>
      </c>
      <c r="B1849" t="s">
        <v>5670</v>
      </c>
      <c r="C1849">
        <v>-4.9800000000000004</v>
      </c>
      <c r="D1849">
        <v>5.25</v>
      </c>
      <c r="E1849">
        <v>-4.1500000000000004</v>
      </c>
      <c r="F1849">
        <v>-8.8699999999999992</v>
      </c>
      <c r="G1849">
        <v>10.39</v>
      </c>
      <c r="H1849">
        <v>-4.1399999999999997</v>
      </c>
      <c r="I1849">
        <v>-23.9</v>
      </c>
      <c r="J1849">
        <v>6.19</v>
      </c>
      <c r="K1849">
        <v>5.28</v>
      </c>
      <c r="L1849">
        <v>-36.36</v>
      </c>
      <c r="M1849">
        <v>-27.8</v>
      </c>
      <c r="N1849">
        <v>-30.16</v>
      </c>
    </row>
    <row r="1850" spans="1:14">
      <c r="A1850" s="2" t="s">
        <v>1878</v>
      </c>
      <c r="B1850" t="s">
        <v>5671</v>
      </c>
      <c r="C1850">
        <v>15.75</v>
      </c>
      <c r="D1850">
        <v>-3.53</v>
      </c>
      <c r="E1850">
        <v>2.3199999999999998</v>
      </c>
      <c r="F1850">
        <v>4.78</v>
      </c>
      <c r="G1850">
        <v>2.79</v>
      </c>
      <c r="H1850">
        <v>6.8</v>
      </c>
      <c r="I1850">
        <v>-6.51</v>
      </c>
      <c r="J1850">
        <v>-6.5</v>
      </c>
      <c r="K1850">
        <v>22.39</v>
      </c>
      <c r="L1850">
        <v>-10.1</v>
      </c>
      <c r="M1850">
        <v>18.55</v>
      </c>
      <c r="N1850">
        <v>17.739999999999998</v>
      </c>
    </row>
    <row r="1851" spans="1:14">
      <c r="A1851" s="2" t="s">
        <v>1879</v>
      </c>
      <c r="B1851" t="s">
        <v>5672</v>
      </c>
      <c r="C1851">
        <v>-9.07</v>
      </c>
      <c r="D1851">
        <v>2.91</v>
      </c>
      <c r="E1851">
        <v>0.33</v>
      </c>
      <c r="F1851">
        <v>4.1900000000000004</v>
      </c>
      <c r="G1851">
        <v>6.59</v>
      </c>
      <c r="H1851">
        <v>4.1500000000000004</v>
      </c>
      <c r="I1851">
        <v>1.95</v>
      </c>
      <c r="J1851">
        <v>0.1</v>
      </c>
      <c r="K1851">
        <v>0.1</v>
      </c>
      <c r="L1851">
        <v>1.95</v>
      </c>
      <c r="M1851">
        <v>4.79</v>
      </c>
      <c r="N1851">
        <v>12.56</v>
      </c>
    </row>
    <row r="1852" spans="1:14">
      <c r="A1852" s="2" t="s">
        <v>1880</v>
      </c>
      <c r="B1852" t="s">
        <v>5673</v>
      </c>
      <c r="C1852">
        <v>7.19</v>
      </c>
      <c r="D1852">
        <v>-8.67</v>
      </c>
      <c r="E1852">
        <v>-7.19</v>
      </c>
      <c r="F1852">
        <v>11.23</v>
      </c>
      <c r="G1852">
        <v>17.3</v>
      </c>
      <c r="H1852">
        <v>-21.26</v>
      </c>
      <c r="I1852">
        <v>6.63</v>
      </c>
      <c r="J1852">
        <v>-6.24</v>
      </c>
      <c r="K1852">
        <v>-19.739999999999998</v>
      </c>
      <c r="L1852">
        <v>-19.63</v>
      </c>
      <c r="M1852">
        <v>-18.03</v>
      </c>
      <c r="N1852">
        <v>26.16</v>
      </c>
    </row>
    <row r="1853" spans="1:14">
      <c r="A1853" s="2" t="s">
        <v>1881</v>
      </c>
      <c r="B1853" t="s">
        <v>5674</v>
      </c>
      <c r="C1853">
        <v>5.58</v>
      </c>
      <c r="D1853">
        <v>6.62</v>
      </c>
      <c r="E1853">
        <v>21.03</v>
      </c>
      <c r="F1853">
        <v>2.0499999999999998</v>
      </c>
      <c r="G1853">
        <v>2.42</v>
      </c>
      <c r="I1853">
        <v>-2.61</v>
      </c>
      <c r="J1853">
        <v>-1.28</v>
      </c>
      <c r="K1853">
        <v>-1.28</v>
      </c>
      <c r="L1853">
        <v>-1.37</v>
      </c>
      <c r="M1853">
        <v>-0.7</v>
      </c>
    </row>
    <row r="1854" spans="1:14">
      <c r="A1854" s="2" t="s">
        <v>1882</v>
      </c>
      <c r="B1854" t="s">
        <v>5675</v>
      </c>
      <c r="C1854">
        <v>0.49</v>
      </c>
      <c r="D1854">
        <v>-11.96</v>
      </c>
      <c r="E1854">
        <v>-10.56</v>
      </c>
      <c r="F1854">
        <v>12.83</v>
      </c>
      <c r="G1854">
        <v>3.15</v>
      </c>
      <c r="I1854">
        <v>-5.04</v>
      </c>
      <c r="J1854">
        <v>-4.8</v>
      </c>
      <c r="K1854">
        <v>-13.7</v>
      </c>
      <c r="L1854">
        <v>-19.63</v>
      </c>
      <c r="M1854">
        <v>-20.9</v>
      </c>
    </row>
    <row r="1855" spans="1:14">
      <c r="A1855" s="2" t="s">
        <v>1883</v>
      </c>
      <c r="B1855" t="s">
        <v>5676</v>
      </c>
      <c r="C1855">
        <v>12.81</v>
      </c>
      <c r="D1855">
        <v>154.56</v>
      </c>
      <c r="E1855">
        <v>-41.65</v>
      </c>
      <c r="F1855">
        <v>-16.68</v>
      </c>
      <c r="G1855">
        <v>-10.44</v>
      </c>
      <c r="H1855">
        <v>1.28</v>
      </c>
      <c r="I1855">
        <v>7.41</v>
      </c>
      <c r="J1855">
        <v>8.9700000000000006</v>
      </c>
      <c r="K1855">
        <v>44.96</v>
      </c>
      <c r="L1855">
        <v>28.28</v>
      </c>
      <c r="M1855">
        <v>4.2300000000000004</v>
      </c>
      <c r="N1855">
        <v>27.72</v>
      </c>
    </row>
    <row r="1856" spans="1:14">
      <c r="A1856" s="2" t="s">
        <v>1884</v>
      </c>
      <c r="B1856" t="s">
        <v>5677</v>
      </c>
      <c r="C1856">
        <v>0.18</v>
      </c>
      <c r="D1856">
        <v>-7.87</v>
      </c>
      <c r="E1856">
        <v>10.02</v>
      </c>
      <c r="F1856">
        <v>5.77</v>
      </c>
      <c r="G1856">
        <v>30.9</v>
      </c>
      <c r="H1856">
        <v>-18.72</v>
      </c>
      <c r="I1856">
        <v>-0.17</v>
      </c>
      <c r="J1856">
        <v>-7.84</v>
      </c>
      <c r="K1856">
        <v>5.39</v>
      </c>
      <c r="L1856">
        <v>-4.63</v>
      </c>
      <c r="M1856">
        <v>26</v>
      </c>
      <c r="N1856">
        <v>0.06</v>
      </c>
    </row>
    <row r="1857" spans="1:14">
      <c r="A1857" s="2" t="s">
        <v>1885</v>
      </c>
      <c r="B1857" t="s">
        <v>5678</v>
      </c>
      <c r="C1857">
        <v>6.8</v>
      </c>
      <c r="D1857">
        <v>-3.07</v>
      </c>
      <c r="E1857">
        <v>0.97</v>
      </c>
      <c r="F1857">
        <v>10.19</v>
      </c>
      <c r="G1857">
        <v>14.71</v>
      </c>
      <c r="H1857">
        <v>-16.3</v>
      </c>
      <c r="I1857">
        <v>-14.27</v>
      </c>
      <c r="J1857">
        <v>-33.21</v>
      </c>
      <c r="K1857">
        <v>-11.08</v>
      </c>
      <c r="L1857">
        <v>-10.3</v>
      </c>
      <c r="M1857">
        <v>-9.5500000000000007</v>
      </c>
      <c r="N1857">
        <v>11.51</v>
      </c>
    </row>
    <row r="1858" spans="1:14">
      <c r="A1858" s="2" t="s">
        <v>1886</v>
      </c>
      <c r="B1858" t="s">
        <v>5679</v>
      </c>
      <c r="C1858">
        <v>-8.5399999999999991</v>
      </c>
      <c r="D1858">
        <v>16.12</v>
      </c>
      <c r="E1858">
        <v>1.58</v>
      </c>
      <c r="F1858">
        <v>-24.42</v>
      </c>
      <c r="G1858">
        <v>59.2</v>
      </c>
      <c r="H1858">
        <v>-20.85</v>
      </c>
      <c r="I1858">
        <v>0.35</v>
      </c>
      <c r="J1858">
        <v>-4.67</v>
      </c>
      <c r="K1858">
        <v>-5.93</v>
      </c>
      <c r="L1858">
        <v>-24.8</v>
      </c>
      <c r="M1858">
        <v>18.149999999999999</v>
      </c>
      <c r="N1858">
        <v>12.2</v>
      </c>
    </row>
    <row r="1859" spans="1:14">
      <c r="A1859" s="2" t="s">
        <v>1887</v>
      </c>
      <c r="B1859" t="s">
        <v>5680</v>
      </c>
      <c r="C1859">
        <v>-14.26</v>
      </c>
      <c r="D1859">
        <v>123.19</v>
      </c>
      <c r="E1859">
        <v>-27.18</v>
      </c>
      <c r="F1859">
        <v>4.32</v>
      </c>
      <c r="G1859">
        <v>-22.52</v>
      </c>
      <c r="H1859">
        <v>-18.510000000000002</v>
      </c>
      <c r="I1859">
        <v>-33.64</v>
      </c>
      <c r="J1859">
        <v>-33.729999999999997</v>
      </c>
      <c r="K1859">
        <v>-24.21</v>
      </c>
      <c r="L1859">
        <v>-49.01</v>
      </c>
      <c r="M1859">
        <v>-31.49</v>
      </c>
      <c r="N1859">
        <v>13.01</v>
      </c>
    </row>
    <row r="1860" spans="1:14">
      <c r="A1860" s="2" t="s">
        <v>1888</v>
      </c>
      <c r="B1860" t="s">
        <v>5681</v>
      </c>
      <c r="C1860">
        <v>4.1900000000000004</v>
      </c>
      <c r="D1860">
        <v>2.84</v>
      </c>
      <c r="E1860">
        <v>-4.91</v>
      </c>
      <c r="F1860">
        <v>5.27</v>
      </c>
      <c r="G1860">
        <v>8.7899999999999991</v>
      </c>
      <c r="H1860">
        <v>9.35</v>
      </c>
      <c r="I1860">
        <v>12.68</v>
      </c>
      <c r="J1860">
        <v>14.12</v>
      </c>
      <c r="K1860">
        <v>19.95</v>
      </c>
      <c r="L1860">
        <v>17.989999999999998</v>
      </c>
      <c r="M1860">
        <v>23.36</v>
      </c>
      <c r="N1860">
        <v>59.1</v>
      </c>
    </row>
    <row r="1861" spans="1:14">
      <c r="A1861" s="2" t="s">
        <v>1889</v>
      </c>
      <c r="B1861" t="s">
        <v>5682</v>
      </c>
      <c r="C1861">
        <v>-3.01</v>
      </c>
      <c r="D1861">
        <v>-14.32</v>
      </c>
      <c r="E1861">
        <v>0.2</v>
      </c>
      <c r="F1861">
        <v>-6.98</v>
      </c>
      <c r="G1861">
        <v>-4.66</v>
      </c>
      <c r="H1861">
        <v>-1.08</v>
      </c>
      <c r="I1861">
        <v>-3.66</v>
      </c>
      <c r="J1861">
        <v>-7.24</v>
      </c>
      <c r="K1861">
        <v>-22.43</v>
      </c>
      <c r="L1861">
        <v>-24.11</v>
      </c>
      <c r="M1861">
        <v>-32.19</v>
      </c>
      <c r="N1861">
        <v>-12.17</v>
      </c>
    </row>
    <row r="1862" spans="1:14">
      <c r="A1862" s="2" t="s">
        <v>1890</v>
      </c>
      <c r="B1862" t="s">
        <v>5683</v>
      </c>
      <c r="C1862">
        <v>-21.36</v>
      </c>
      <c r="D1862">
        <v>-1.62</v>
      </c>
      <c r="E1862">
        <v>31.74</v>
      </c>
      <c r="F1862">
        <v>-6.35</v>
      </c>
      <c r="G1862">
        <v>-0.41</v>
      </c>
      <c r="H1862">
        <v>-14.01</v>
      </c>
      <c r="I1862">
        <v>-21.71</v>
      </c>
      <c r="J1862">
        <v>-14.52</v>
      </c>
      <c r="K1862">
        <v>8.9600000000000009</v>
      </c>
      <c r="L1862">
        <v>-0.99</v>
      </c>
      <c r="M1862">
        <v>21.66</v>
      </c>
      <c r="N1862">
        <v>-8.83</v>
      </c>
    </row>
    <row r="1863" spans="1:14">
      <c r="A1863" s="2" t="s">
        <v>1891</v>
      </c>
      <c r="B1863" t="s">
        <v>5684</v>
      </c>
      <c r="C1863">
        <v>25.62</v>
      </c>
      <c r="D1863">
        <v>-22.02</v>
      </c>
      <c r="E1863">
        <v>11.75</v>
      </c>
      <c r="F1863">
        <v>18.920000000000002</v>
      </c>
      <c r="G1863">
        <v>-1.47</v>
      </c>
      <c r="H1863">
        <v>-5.26</v>
      </c>
      <c r="I1863">
        <v>14.67</v>
      </c>
      <c r="J1863">
        <v>-31.04</v>
      </c>
      <c r="K1863">
        <v>-4.5999999999999996</v>
      </c>
      <c r="L1863">
        <v>-9.5</v>
      </c>
      <c r="M1863">
        <v>-8.5399999999999991</v>
      </c>
      <c r="N1863">
        <v>-12.35</v>
      </c>
    </row>
    <row r="1864" spans="1:14">
      <c r="A1864" s="2" t="s">
        <v>1892</v>
      </c>
      <c r="B1864" t="s">
        <v>5685</v>
      </c>
      <c r="C1864">
        <v>11.02</v>
      </c>
      <c r="D1864">
        <v>-17.95</v>
      </c>
      <c r="E1864">
        <v>-2.06</v>
      </c>
      <c r="F1864">
        <v>-31.33</v>
      </c>
      <c r="G1864">
        <v>51.9</v>
      </c>
      <c r="H1864">
        <v>-0.13</v>
      </c>
      <c r="I1864">
        <v>-40.18</v>
      </c>
      <c r="J1864">
        <v>-40.78</v>
      </c>
      <c r="K1864">
        <v>-45.72</v>
      </c>
      <c r="L1864">
        <v>-48.63</v>
      </c>
      <c r="M1864">
        <v>-25.1</v>
      </c>
      <c r="N1864">
        <v>-37.56</v>
      </c>
    </row>
    <row r="1865" spans="1:14">
      <c r="A1865" s="2" t="s">
        <v>1893</v>
      </c>
      <c r="B1865" t="s">
        <v>5686</v>
      </c>
      <c r="C1865">
        <v>17</v>
      </c>
      <c r="D1865">
        <v>0.56000000000000005</v>
      </c>
      <c r="E1865">
        <v>33.36</v>
      </c>
      <c r="F1865">
        <v>0.35</v>
      </c>
      <c r="G1865">
        <v>-27.59</v>
      </c>
      <c r="H1865">
        <v>-4.28</v>
      </c>
      <c r="I1865">
        <v>-36.93</v>
      </c>
      <c r="J1865">
        <v>-12.99</v>
      </c>
      <c r="K1865">
        <v>-0.94</v>
      </c>
      <c r="L1865">
        <v>3.91</v>
      </c>
      <c r="M1865">
        <v>-28.92</v>
      </c>
      <c r="N1865">
        <v>3.14</v>
      </c>
    </row>
    <row r="1866" spans="1:14">
      <c r="A1866" s="2" t="s">
        <v>1894</v>
      </c>
      <c r="B1866" t="s">
        <v>5687</v>
      </c>
      <c r="C1866">
        <v>53.04</v>
      </c>
      <c r="D1866">
        <v>6.36</v>
      </c>
      <c r="E1866">
        <v>3.43</v>
      </c>
      <c r="F1866">
        <v>-27.11</v>
      </c>
      <c r="G1866">
        <v>24.93</v>
      </c>
      <c r="I1866">
        <v>-8.6999999999999993</v>
      </c>
      <c r="J1866">
        <v>10.76</v>
      </c>
      <c r="K1866">
        <v>48.37</v>
      </c>
      <c r="L1866">
        <v>-38.74</v>
      </c>
      <c r="M1866">
        <v>-5.59</v>
      </c>
    </row>
    <row r="1867" spans="1:14">
      <c r="A1867" s="2" t="s">
        <v>1895</v>
      </c>
      <c r="B1867" t="s">
        <v>5688</v>
      </c>
      <c r="C1867">
        <v>4.41</v>
      </c>
      <c r="D1867">
        <v>-6.48</v>
      </c>
      <c r="E1867">
        <v>-1.75</v>
      </c>
      <c r="F1867">
        <v>88.21</v>
      </c>
      <c r="G1867">
        <v>-37.35</v>
      </c>
      <c r="H1867">
        <v>1.37</v>
      </c>
      <c r="I1867">
        <v>-3.13</v>
      </c>
      <c r="J1867">
        <v>-3.73</v>
      </c>
      <c r="K1867">
        <v>-4.38</v>
      </c>
      <c r="L1867">
        <v>-5.74</v>
      </c>
      <c r="M1867">
        <v>-5.65</v>
      </c>
      <c r="N1867">
        <v>1.9</v>
      </c>
    </row>
    <row r="1868" spans="1:14">
      <c r="A1868" s="2" t="s">
        <v>1896</v>
      </c>
      <c r="B1868" t="s">
        <v>5689</v>
      </c>
      <c r="C1868">
        <v>-22.03</v>
      </c>
      <c r="D1868">
        <v>25.13</v>
      </c>
      <c r="E1868">
        <v>-1.32</v>
      </c>
      <c r="F1868">
        <v>-14.83</v>
      </c>
      <c r="G1868">
        <v>5.98</v>
      </c>
      <c r="H1868">
        <v>-21.18</v>
      </c>
      <c r="I1868">
        <v>-15.44</v>
      </c>
      <c r="J1868">
        <v>-23.98</v>
      </c>
      <c r="K1868">
        <v>4.13</v>
      </c>
      <c r="L1868">
        <v>-11.44</v>
      </c>
      <c r="M1868">
        <v>1.0900000000000001</v>
      </c>
      <c r="N1868">
        <v>-14.48</v>
      </c>
    </row>
    <row r="1869" spans="1:14">
      <c r="A1869" s="2" t="s">
        <v>1897</v>
      </c>
      <c r="B1869" t="s">
        <v>5690</v>
      </c>
      <c r="C1869">
        <v>0.74</v>
      </c>
      <c r="D1869">
        <v>0.71</v>
      </c>
      <c r="E1869">
        <v>1.38</v>
      </c>
      <c r="F1869">
        <v>-1.17</v>
      </c>
      <c r="G1869">
        <v>3.17</v>
      </c>
      <c r="H1869">
        <v>0.5</v>
      </c>
      <c r="I1869">
        <v>17.59</v>
      </c>
      <c r="J1869">
        <v>20.46</v>
      </c>
      <c r="K1869">
        <v>21.59</v>
      </c>
      <c r="L1869">
        <v>18.170000000000002</v>
      </c>
      <c r="M1869">
        <v>21.76</v>
      </c>
      <c r="N1869">
        <v>30.55</v>
      </c>
    </row>
    <row r="1870" spans="1:14">
      <c r="A1870" s="2" t="s">
        <v>1898</v>
      </c>
      <c r="B1870" t="s">
        <v>5691</v>
      </c>
      <c r="C1870">
        <v>-3.15</v>
      </c>
      <c r="D1870">
        <v>3.54</v>
      </c>
      <c r="E1870">
        <v>-5.34</v>
      </c>
      <c r="F1870">
        <v>-1.44</v>
      </c>
      <c r="G1870">
        <v>13.48</v>
      </c>
      <c r="H1870">
        <v>-2.91</v>
      </c>
      <c r="I1870">
        <v>-1.79</v>
      </c>
      <c r="J1870">
        <v>5.51</v>
      </c>
      <c r="K1870">
        <v>1.84</v>
      </c>
      <c r="L1870">
        <v>-4.3099999999999996</v>
      </c>
      <c r="M1870">
        <v>0.03</v>
      </c>
      <c r="N1870">
        <v>17.79</v>
      </c>
    </row>
    <row r="1871" spans="1:14">
      <c r="A1871" s="2" t="s">
        <v>1899</v>
      </c>
      <c r="B1871" t="s">
        <v>5692</v>
      </c>
      <c r="C1871">
        <v>-7.33</v>
      </c>
      <c r="D1871">
        <v>-1.88</v>
      </c>
      <c r="E1871">
        <v>9.83</v>
      </c>
      <c r="F1871">
        <v>-3.84</v>
      </c>
      <c r="G1871">
        <v>5.66</v>
      </c>
      <c r="H1871">
        <v>-9.6300000000000008</v>
      </c>
      <c r="I1871">
        <v>-9.08</v>
      </c>
      <c r="J1871">
        <v>-7.17</v>
      </c>
      <c r="K1871">
        <v>-2.4500000000000002</v>
      </c>
      <c r="L1871">
        <v>-5.32</v>
      </c>
      <c r="M1871">
        <v>-2.71</v>
      </c>
      <c r="N1871">
        <v>-6.31</v>
      </c>
    </row>
    <row r="1872" spans="1:14">
      <c r="A1872" s="2" t="s">
        <v>1900</v>
      </c>
      <c r="B1872" t="s">
        <v>5693</v>
      </c>
      <c r="C1872">
        <v>-18.989999999999998</v>
      </c>
      <c r="D1872">
        <v>-10.32</v>
      </c>
      <c r="E1872">
        <v>-8.56</v>
      </c>
      <c r="F1872">
        <v>-3.41</v>
      </c>
      <c r="G1872">
        <v>49.79</v>
      </c>
      <c r="H1872">
        <v>9</v>
      </c>
      <c r="I1872">
        <v>-37.130000000000003</v>
      </c>
      <c r="J1872">
        <v>-45.61</v>
      </c>
      <c r="K1872">
        <v>-46.46</v>
      </c>
      <c r="L1872">
        <v>-41.42</v>
      </c>
      <c r="M1872">
        <v>-18.27</v>
      </c>
      <c r="N1872">
        <v>2.17</v>
      </c>
    </row>
    <row r="1873" spans="1:14">
      <c r="A1873" s="2" t="s">
        <v>1901</v>
      </c>
      <c r="B1873" t="s">
        <v>5694</v>
      </c>
      <c r="C1873">
        <v>16.3</v>
      </c>
      <c r="D1873">
        <v>-24.76</v>
      </c>
      <c r="E1873">
        <v>-25.09</v>
      </c>
      <c r="F1873">
        <v>-7.49</v>
      </c>
      <c r="G1873">
        <v>-3.35</v>
      </c>
      <c r="H1873">
        <v>92.96</v>
      </c>
      <c r="I1873">
        <v>26.87</v>
      </c>
      <c r="J1873">
        <v>0</v>
      </c>
      <c r="K1873">
        <v>-15.25</v>
      </c>
      <c r="L1873">
        <v>-38.880000000000003</v>
      </c>
      <c r="M1873">
        <v>-45.28</v>
      </c>
      <c r="N1873">
        <v>33.69</v>
      </c>
    </row>
    <row r="1874" spans="1:14">
      <c r="A1874" s="2" t="s">
        <v>1902</v>
      </c>
      <c r="B1874" t="s">
        <v>5695</v>
      </c>
      <c r="C1874">
        <v>-44.85</v>
      </c>
      <c r="D1874">
        <v>150.37</v>
      </c>
      <c r="E1874">
        <v>-18.95</v>
      </c>
      <c r="F1874">
        <v>-39.42</v>
      </c>
      <c r="G1874">
        <v>33.57</v>
      </c>
      <c r="I1874">
        <v>-15.84</v>
      </c>
      <c r="J1874">
        <v>134.28</v>
      </c>
      <c r="K1874">
        <v>128.13</v>
      </c>
      <c r="L1874">
        <v>-4.83</v>
      </c>
      <c r="M1874">
        <v>39.78</v>
      </c>
    </row>
    <row r="1875" spans="1:14">
      <c r="A1875" s="2" t="s">
        <v>1903</v>
      </c>
      <c r="B1875" t="s">
        <v>5696</v>
      </c>
      <c r="C1875">
        <v>9.99</v>
      </c>
      <c r="D1875">
        <v>143.01</v>
      </c>
      <c r="E1875">
        <v>-46.79</v>
      </c>
      <c r="F1875">
        <v>13.14</v>
      </c>
      <c r="G1875">
        <v>16.059999999999999</v>
      </c>
      <c r="H1875">
        <v>-34.729999999999997</v>
      </c>
      <c r="I1875">
        <v>-7.23</v>
      </c>
      <c r="J1875">
        <v>357.34</v>
      </c>
      <c r="K1875">
        <v>81.08</v>
      </c>
      <c r="L1875">
        <v>-7.7</v>
      </c>
      <c r="M1875">
        <v>48.92</v>
      </c>
      <c r="N1875">
        <v>24.33</v>
      </c>
    </row>
    <row r="1876" spans="1:14">
      <c r="A1876" s="2" t="s">
        <v>1904</v>
      </c>
      <c r="B1876" t="s">
        <v>5697</v>
      </c>
      <c r="C1876">
        <v>35.79</v>
      </c>
      <c r="D1876">
        <v>-1.89</v>
      </c>
      <c r="E1876">
        <v>-12.47</v>
      </c>
      <c r="F1876">
        <v>-24.16</v>
      </c>
      <c r="G1876">
        <v>103.88</v>
      </c>
      <c r="H1876">
        <v>-13.43</v>
      </c>
      <c r="I1876">
        <v>-30.42</v>
      </c>
      <c r="J1876">
        <v>-0.93</v>
      </c>
      <c r="K1876">
        <v>1.02</v>
      </c>
      <c r="L1876">
        <v>-19.18</v>
      </c>
      <c r="M1876">
        <v>167.52</v>
      </c>
      <c r="N1876">
        <v>126.49</v>
      </c>
    </row>
    <row r="1877" spans="1:14">
      <c r="A1877" s="2" t="s">
        <v>1905</v>
      </c>
      <c r="B1877" t="s">
        <v>5698</v>
      </c>
      <c r="C1877">
        <v>-15.25</v>
      </c>
      <c r="D1877">
        <v>6.85</v>
      </c>
      <c r="E1877">
        <v>-11.97</v>
      </c>
      <c r="F1877">
        <v>6.98</v>
      </c>
      <c r="G1877">
        <v>1.1200000000000001</v>
      </c>
      <c r="H1877">
        <v>18.55</v>
      </c>
      <c r="I1877">
        <v>-58.19</v>
      </c>
      <c r="J1877">
        <v>-47.25</v>
      </c>
      <c r="K1877">
        <v>-61.73</v>
      </c>
      <c r="L1877">
        <v>-59.97</v>
      </c>
      <c r="M1877">
        <v>-51.35</v>
      </c>
      <c r="N1877">
        <v>-36</v>
      </c>
    </row>
    <row r="1878" spans="1:14">
      <c r="A1878" s="2" t="s">
        <v>1906</v>
      </c>
      <c r="B1878" t="s">
        <v>5699</v>
      </c>
      <c r="C1878">
        <v>128.38999999999999</v>
      </c>
      <c r="D1878">
        <v>-3.53</v>
      </c>
      <c r="E1878">
        <v>-46.37</v>
      </c>
      <c r="F1878">
        <v>7.57</v>
      </c>
      <c r="G1878">
        <v>5.93</v>
      </c>
      <c r="I1878">
        <v>131.83000000000001</v>
      </c>
      <c r="J1878">
        <v>-1.92</v>
      </c>
      <c r="K1878">
        <v>-21.15</v>
      </c>
      <c r="L1878">
        <v>1955.2</v>
      </c>
      <c r="M1878">
        <v>941.48</v>
      </c>
    </row>
    <row r="1879" spans="1:14">
      <c r="A1879" s="2" t="s">
        <v>1907</v>
      </c>
      <c r="B1879" t="s">
        <v>5700</v>
      </c>
      <c r="C1879">
        <v>7.4</v>
      </c>
      <c r="D1879">
        <v>-4.9000000000000004</v>
      </c>
      <c r="E1879">
        <v>-10.66</v>
      </c>
      <c r="F1879">
        <v>12.72</v>
      </c>
      <c r="G1879">
        <v>-1.01</v>
      </c>
      <c r="H1879">
        <v>12.57</v>
      </c>
      <c r="I1879">
        <v>3.74</v>
      </c>
      <c r="J1879">
        <v>-0.7</v>
      </c>
      <c r="K1879">
        <v>-13.46</v>
      </c>
      <c r="L1879">
        <v>-8.27</v>
      </c>
      <c r="M1879">
        <v>5.91</v>
      </c>
      <c r="N1879">
        <v>8.69</v>
      </c>
    </row>
    <row r="1880" spans="1:14">
      <c r="A1880" s="2" t="s">
        <v>1908</v>
      </c>
      <c r="B1880" t="s">
        <v>5701</v>
      </c>
      <c r="C1880">
        <v>9.77</v>
      </c>
      <c r="D1880">
        <v>-16.399999999999999</v>
      </c>
      <c r="E1880">
        <v>-22.18</v>
      </c>
      <c r="F1880">
        <v>37.630000000000003</v>
      </c>
      <c r="G1880">
        <v>13.27</v>
      </c>
      <c r="H1880">
        <v>-0.8</v>
      </c>
      <c r="I1880">
        <v>-3.4</v>
      </c>
      <c r="J1880">
        <v>-9.23</v>
      </c>
      <c r="K1880">
        <v>-36.270000000000003</v>
      </c>
      <c r="L1880">
        <v>11.08</v>
      </c>
      <c r="M1880">
        <v>-12.19</v>
      </c>
      <c r="N1880">
        <v>19.61</v>
      </c>
    </row>
    <row r="1881" spans="1:14">
      <c r="A1881" s="2" t="s">
        <v>1909</v>
      </c>
      <c r="B1881" t="s">
        <v>5702</v>
      </c>
      <c r="C1881">
        <v>0.04</v>
      </c>
      <c r="D1881">
        <v>-1.8</v>
      </c>
      <c r="E1881">
        <v>-6.3</v>
      </c>
      <c r="F1881">
        <v>-11.67</v>
      </c>
      <c r="G1881">
        <v>-13.28</v>
      </c>
      <c r="H1881">
        <v>-22.73</v>
      </c>
      <c r="I1881">
        <v>-79.88</v>
      </c>
      <c r="J1881">
        <v>16.72</v>
      </c>
      <c r="K1881">
        <v>-6.05</v>
      </c>
      <c r="L1881">
        <v>-43.93</v>
      </c>
      <c r="M1881">
        <v>-24.55</v>
      </c>
      <c r="N1881">
        <v>-23.05</v>
      </c>
    </row>
    <row r="1882" spans="1:14">
      <c r="A1882" s="2" t="s">
        <v>1910</v>
      </c>
      <c r="B1882" t="s">
        <v>5703</v>
      </c>
      <c r="C1882">
        <v>35.06</v>
      </c>
      <c r="D1882">
        <v>-8.6199999999999992</v>
      </c>
      <c r="E1882">
        <v>-12.63</v>
      </c>
      <c r="F1882">
        <v>16.309999999999999</v>
      </c>
      <c r="G1882">
        <v>36.21</v>
      </c>
      <c r="H1882">
        <v>-5.74</v>
      </c>
      <c r="I1882">
        <v>19.149999999999999</v>
      </c>
      <c r="J1882">
        <v>0.17</v>
      </c>
      <c r="K1882">
        <v>14.59</v>
      </c>
      <c r="L1882">
        <v>-16.739999999999998</v>
      </c>
      <c r="M1882">
        <v>-6.26</v>
      </c>
      <c r="N1882">
        <v>56.5</v>
      </c>
    </row>
    <row r="1883" spans="1:14">
      <c r="A1883" s="2" t="s">
        <v>1911</v>
      </c>
      <c r="B1883" t="s">
        <v>5704</v>
      </c>
      <c r="C1883">
        <v>-0.35</v>
      </c>
      <c r="D1883">
        <v>-9.2799999999999994</v>
      </c>
      <c r="E1883">
        <v>4.0599999999999996</v>
      </c>
      <c r="F1883">
        <v>39.159999999999997</v>
      </c>
      <c r="G1883">
        <v>11.68</v>
      </c>
      <c r="I1883">
        <v>0.79</v>
      </c>
      <c r="J1883">
        <v>-3.65</v>
      </c>
      <c r="K1883">
        <v>6.21</v>
      </c>
      <c r="L1883">
        <v>44.94</v>
      </c>
      <c r="M1883">
        <v>69.180000000000007</v>
      </c>
    </row>
    <row r="1884" spans="1:14">
      <c r="A1884" s="2" t="s">
        <v>1912</v>
      </c>
      <c r="B1884" t="s">
        <v>5705</v>
      </c>
      <c r="C1884">
        <v>21.89</v>
      </c>
      <c r="D1884">
        <v>101.23</v>
      </c>
      <c r="E1884">
        <v>-8.83</v>
      </c>
      <c r="F1884">
        <v>10.64</v>
      </c>
      <c r="G1884">
        <v>-1.89</v>
      </c>
      <c r="H1884">
        <v>-11.27</v>
      </c>
      <c r="I1884">
        <v>0.46</v>
      </c>
      <c r="J1884">
        <v>129.01</v>
      </c>
      <c r="K1884">
        <v>98.69</v>
      </c>
      <c r="L1884">
        <v>141.63999999999999</v>
      </c>
      <c r="M1884">
        <v>83.13</v>
      </c>
      <c r="N1884">
        <v>83.71</v>
      </c>
    </row>
    <row r="1885" spans="1:14">
      <c r="A1885" s="2" t="s">
        <v>1913</v>
      </c>
      <c r="B1885" t="s">
        <v>5706</v>
      </c>
      <c r="C1885">
        <v>14.22</v>
      </c>
      <c r="D1885">
        <v>38.15</v>
      </c>
      <c r="E1885">
        <v>-23.41</v>
      </c>
      <c r="F1885">
        <v>-19.43</v>
      </c>
      <c r="G1885">
        <v>11.06</v>
      </c>
      <c r="H1885">
        <v>2.57</v>
      </c>
      <c r="I1885">
        <v>4.72</v>
      </c>
      <c r="J1885">
        <v>50.01</v>
      </c>
      <c r="K1885">
        <v>27.37</v>
      </c>
      <c r="L1885">
        <v>-15.6</v>
      </c>
      <c r="M1885">
        <v>-16.329999999999998</v>
      </c>
      <c r="N1885">
        <v>-8.3000000000000007</v>
      </c>
    </row>
    <row r="1886" spans="1:14">
      <c r="A1886" s="2" t="s">
        <v>1914</v>
      </c>
      <c r="B1886" t="s">
        <v>5707</v>
      </c>
      <c r="C1886">
        <v>7.68</v>
      </c>
      <c r="D1886">
        <v>3.85</v>
      </c>
      <c r="E1886">
        <v>-47.64</v>
      </c>
      <c r="F1886">
        <v>87.39</v>
      </c>
      <c r="G1886">
        <v>6.72</v>
      </c>
      <c r="I1886">
        <v>-25.89</v>
      </c>
      <c r="J1886">
        <v>-13.32</v>
      </c>
      <c r="K1886">
        <v>-46.9</v>
      </c>
      <c r="L1886">
        <v>-7.59</v>
      </c>
      <c r="M1886">
        <v>-15.17</v>
      </c>
    </row>
    <row r="1887" spans="1:14">
      <c r="A1887" s="2" t="s">
        <v>1915</v>
      </c>
      <c r="B1887" t="s">
        <v>5708</v>
      </c>
      <c r="C1887">
        <v>-2.39</v>
      </c>
      <c r="D1887">
        <v>2.88</v>
      </c>
      <c r="E1887">
        <v>-5.01</v>
      </c>
      <c r="F1887">
        <v>4.37</v>
      </c>
      <c r="G1887">
        <v>1.2</v>
      </c>
      <c r="H1887">
        <v>-2.76</v>
      </c>
      <c r="I1887">
        <v>22.12</v>
      </c>
      <c r="J1887">
        <v>18.12</v>
      </c>
      <c r="K1887">
        <v>8.33</v>
      </c>
      <c r="L1887">
        <v>6.86</v>
      </c>
      <c r="M1887">
        <v>-27.47</v>
      </c>
      <c r="N1887">
        <v>7.31</v>
      </c>
    </row>
    <row r="1888" spans="1:14">
      <c r="A1888" s="2" t="s">
        <v>1916</v>
      </c>
      <c r="B1888" t="s">
        <v>5709</v>
      </c>
      <c r="C1888">
        <v>-31.79</v>
      </c>
      <c r="D1888">
        <v>19.29</v>
      </c>
      <c r="E1888">
        <v>-12.14</v>
      </c>
      <c r="F1888">
        <v>51.84</v>
      </c>
      <c r="G1888">
        <v>-17.850000000000001</v>
      </c>
      <c r="H1888">
        <v>-37.04</v>
      </c>
      <c r="I1888">
        <v>-17.22</v>
      </c>
      <c r="J1888">
        <v>6.02</v>
      </c>
      <c r="K1888">
        <v>14.13</v>
      </c>
      <c r="L1888">
        <v>65.52</v>
      </c>
      <c r="M1888">
        <v>44.89</v>
      </c>
      <c r="N1888">
        <v>-6.7</v>
      </c>
    </row>
    <row r="1889" spans="1:14">
      <c r="A1889" s="2" t="s">
        <v>1917</v>
      </c>
      <c r="B1889" t="s">
        <v>5710</v>
      </c>
      <c r="C1889">
        <v>1.64</v>
      </c>
      <c r="D1889">
        <v>-3.08</v>
      </c>
      <c r="E1889">
        <v>3.04</v>
      </c>
      <c r="F1889">
        <v>5.97</v>
      </c>
      <c r="G1889">
        <v>15.76</v>
      </c>
      <c r="H1889">
        <v>-3.32</v>
      </c>
      <c r="I1889">
        <v>15.61</v>
      </c>
      <c r="J1889">
        <v>2.02</v>
      </c>
      <c r="K1889">
        <v>0.14000000000000001</v>
      </c>
      <c r="L1889">
        <v>-6.62</v>
      </c>
      <c r="M1889">
        <v>6.81</v>
      </c>
      <c r="N1889">
        <v>7.99</v>
      </c>
    </row>
    <row r="1890" spans="1:14">
      <c r="A1890" s="2" t="s">
        <v>1918</v>
      </c>
      <c r="B1890" t="s">
        <v>5711</v>
      </c>
      <c r="C1890">
        <v>1.51</v>
      </c>
      <c r="D1890">
        <v>8.2899999999999991</v>
      </c>
      <c r="E1890">
        <v>10.48</v>
      </c>
      <c r="F1890">
        <v>-6.57</v>
      </c>
      <c r="G1890">
        <v>25.8</v>
      </c>
      <c r="H1890">
        <v>-22.55</v>
      </c>
      <c r="I1890">
        <v>-0.83</v>
      </c>
      <c r="J1890">
        <v>5.47</v>
      </c>
      <c r="K1890">
        <v>-5.35</v>
      </c>
      <c r="L1890">
        <v>-5.68</v>
      </c>
      <c r="M1890">
        <v>8.08</v>
      </c>
      <c r="N1890">
        <v>9.5399999999999991</v>
      </c>
    </row>
    <row r="1891" spans="1:14">
      <c r="A1891" s="2" t="s">
        <v>1919</v>
      </c>
      <c r="B1891" t="s">
        <v>5712</v>
      </c>
      <c r="C1891">
        <v>-16.66</v>
      </c>
      <c r="D1891">
        <v>62.63</v>
      </c>
      <c r="E1891">
        <v>-12.07</v>
      </c>
      <c r="F1891">
        <v>30.85</v>
      </c>
      <c r="G1891">
        <v>-20.21</v>
      </c>
      <c r="I1891">
        <v>-29.1</v>
      </c>
      <c r="J1891">
        <v>12.04</v>
      </c>
      <c r="K1891">
        <v>-15.36</v>
      </c>
      <c r="L1891">
        <v>-12.4</v>
      </c>
      <c r="M1891">
        <v>-7.63</v>
      </c>
    </row>
    <row r="1892" spans="1:14">
      <c r="A1892" s="2" t="s">
        <v>1920</v>
      </c>
      <c r="B1892" t="s">
        <v>5713</v>
      </c>
      <c r="C1892">
        <v>14.77</v>
      </c>
      <c r="D1892">
        <v>-7.39</v>
      </c>
      <c r="E1892">
        <v>5.55</v>
      </c>
      <c r="F1892">
        <v>2.83</v>
      </c>
      <c r="G1892">
        <v>-12.92</v>
      </c>
      <c r="H1892">
        <v>-3.65</v>
      </c>
      <c r="I1892">
        <v>27.95</v>
      </c>
      <c r="J1892">
        <v>43.64</v>
      </c>
      <c r="K1892">
        <v>41.75</v>
      </c>
      <c r="L1892">
        <v>28.76</v>
      </c>
      <c r="M1892">
        <v>60.63</v>
      </c>
      <c r="N1892">
        <v>32.71</v>
      </c>
    </row>
    <row r="1893" spans="1:14">
      <c r="A1893" s="2" t="s">
        <v>1921</v>
      </c>
      <c r="B1893" t="s">
        <v>5714</v>
      </c>
      <c r="C1893">
        <v>30.83</v>
      </c>
      <c r="D1893">
        <v>-4.9400000000000004</v>
      </c>
      <c r="E1893">
        <v>56.93</v>
      </c>
      <c r="F1893">
        <v>-14.88</v>
      </c>
      <c r="G1893">
        <v>-16.53</v>
      </c>
      <c r="H1893">
        <v>904.02</v>
      </c>
      <c r="I1893">
        <v>-29.83</v>
      </c>
      <c r="J1893">
        <v>-30.05</v>
      </c>
      <c r="K1893">
        <v>1.58</v>
      </c>
      <c r="L1893">
        <v>-23.2</v>
      </c>
      <c r="M1893">
        <v>-43.84</v>
      </c>
      <c r="N1893">
        <v>1067.24</v>
      </c>
    </row>
    <row r="1894" spans="1:14">
      <c r="A1894" s="2" t="s">
        <v>1922</v>
      </c>
      <c r="B1894" t="s">
        <v>5715</v>
      </c>
      <c r="C1894">
        <v>-3</v>
      </c>
      <c r="D1894">
        <v>20.16</v>
      </c>
      <c r="E1894">
        <v>18.12</v>
      </c>
      <c r="F1894">
        <v>20.32</v>
      </c>
      <c r="G1894">
        <v>-36.76</v>
      </c>
      <c r="I1894">
        <v>-22.3</v>
      </c>
      <c r="J1894">
        <v>14.82</v>
      </c>
      <c r="K1894">
        <v>57.76</v>
      </c>
      <c r="L1894">
        <v>79.56</v>
      </c>
      <c r="M1894">
        <v>11.81</v>
      </c>
    </row>
    <row r="1895" spans="1:14">
      <c r="A1895" s="2" t="s">
        <v>1923</v>
      </c>
      <c r="B1895" t="s">
        <v>5716</v>
      </c>
      <c r="C1895">
        <v>10.08</v>
      </c>
      <c r="D1895">
        <v>57.07</v>
      </c>
      <c r="E1895">
        <v>33.380000000000003</v>
      </c>
      <c r="F1895">
        <v>-14.41</v>
      </c>
      <c r="G1895">
        <v>1.1000000000000001</v>
      </c>
      <c r="H1895">
        <v>-24.51</v>
      </c>
      <c r="I1895">
        <v>-3.61</v>
      </c>
      <c r="J1895">
        <v>90.6</v>
      </c>
      <c r="K1895">
        <v>23.35</v>
      </c>
      <c r="L1895">
        <v>-15.12</v>
      </c>
      <c r="M1895">
        <v>-6.06</v>
      </c>
      <c r="N1895">
        <v>-29.53</v>
      </c>
    </row>
    <row r="1896" spans="1:14">
      <c r="A1896" s="2" t="s">
        <v>1924</v>
      </c>
      <c r="B1896" t="s">
        <v>5717</v>
      </c>
      <c r="C1896">
        <v>-0.66</v>
      </c>
      <c r="D1896">
        <v>26.5</v>
      </c>
      <c r="E1896">
        <v>-5.75</v>
      </c>
      <c r="F1896">
        <v>-12.29</v>
      </c>
      <c r="G1896">
        <v>18.59</v>
      </c>
      <c r="H1896">
        <v>-5.23</v>
      </c>
      <c r="I1896">
        <v>-22.22</v>
      </c>
      <c r="J1896">
        <v>21.74</v>
      </c>
      <c r="K1896">
        <v>-5.34</v>
      </c>
      <c r="L1896">
        <v>0.69</v>
      </c>
      <c r="M1896">
        <v>-6.3</v>
      </c>
      <c r="N1896">
        <v>8.7100000000000009</v>
      </c>
    </row>
    <row r="1897" spans="1:14">
      <c r="A1897" s="2" t="s">
        <v>1925</v>
      </c>
      <c r="B1897" t="s">
        <v>5718</v>
      </c>
      <c r="C1897">
        <v>4.53</v>
      </c>
      <c r="D1897">
        <v>-2.82</v>
      </c>
      <c r="E1897">
        <v>-6.54</v>
      </c>
      <c r="F1897">
        <v>-3.76</v>
      </c>
      <c r="G1897">
        <v>20.86</v>
      </c>
      <c r="H1897">
        <v>6.25</v>
      </c>
      <c r="I1897">
        <v>-14.88</v>
      </c>
      <c r="J1897">
        <v>-1.93</v>
      </c>
      <c r="K1897">
        <v>-9.58</v>
      </c>
      <c r="L1897">
        <v>-20.94</v>
      </c>
      <c r="M1897">
        <v>-14.89</v>
      </c>
      <c r="N1897">
        <v>58.91</v>
      </c>
    </row>
    <row r="1898" spans="1:14">
      <c r="A1898" s="2" t="s">
        <v>1926</v>
      </c>
      <c r="B1898" t="s">
        <v>5719</v>
      </c>
      <c r="C1898">
        <v>-7.95</v>
      </c>
      <c r="D1898">
        <v>-3.83</v>
      </c>
      <c r="E1898">
        <v>-10.79</v>
      </c>
      <c r="F1898">
        <v>-6.62</v>
      </c>
      <c r="G1898">
        <v>4.8099999999999996</v>
      </c>
      <c r="H1898">
        <v>23.32</v>
      </c>
      <c r="I1898">
        <v>-0.93</v>
      </c>
      <c r="J1898">
        <v>2.23</v>
      </c>
      <c r="K1898">
        <v>-10.73</v>
      </c>
      <c r="L1898">
        <v>-11.19</v>
      </c>
      <c r="M1898">
        <v>-16.79</v>
      </c>
      <c r="N1898">
        <v>26.28</v>
      </c>
    </row>
    <row r="1899" spans="1:14">
      <c r="A1899" s="2" t="s">
        <v>1927</v>
      </c>
      <c r="B1899" t="s">
        <v>5720</v>
      </c>
      <c r="C1899">
        <v>5.37</v>
      </c>
      <c r="D1899">
        <v>14.45</v>
      </c>
      <c r="E1899">
        <v>-11.32</v>
      </c>
      <c r="F1899">
        <v>-2.57</v>
      </c>
      <c r="G1899">
        <v>2.16</v>
      </c>
      <c r="H1899">
        <v>8.2100000000000009</v>
      </c>
      <c r="I1899">
        <v>68.69</v>
      </c>
      <c r="J1899">
        <v>35.869999999999997</v>
      </c>
      <c r="K1899">
        <v>37.01</v>
      </c>
      <c r="L1899">
        <v>28.28</v>
      </c>
      <c r="M1899">
        <v>12.05</v>
      </c>
      <c r="N1899">
        <v>30.79</v>
      </c>
    </row>
    <row r="1900" spans="1:14">
      <c r="A1900" s="2" t="s">
        <v>1928</v>
      </c>
      <c r="B1900" t="s">
        <v>5721</v>
      </c>
      <c r="C1900">
        <v>-11.36</v>
      </c>
      <c r="D1900">
        <v>-1.01</v>
      </c>
      <c r="E1900">
        <v>-51.03</v>
      </c>
      <c r="F1900">
        <v>-9.1</v>
      </c>
      <c r="G1900">
        <v>131.32</v>
      </c>
      <c r="I1900">
        <v>-30.38</v>
      </c>
      <c r="J1900">
        <v>-0.64</v>
      </c>
      <c r="K1900">
        <v>-73.16</v>
      </c>
      <c r="L1900">
        <v>-57.8</v>
      </c>
      <c r="M1900">
        <v>-55.23</v>
      </c>
    </row>
    <row r="1901" spans="1:14">
      <c r="A1901" s="2" t="s">
        <v>1929</v>
      </c>
      <c r="B1901" t="s">
        <v>5722</v>
      </c>
      <c r="C1901">
        <v>1.4</v>
      </c>
      <c r="D1901">
        <v>1.19</v>
      </c>
      <c r="E1901">
        <v>-15.82</v>
      </c>
      <c r="F1901">
        <v>2.11</v>
      </c>
      <c r="G1901">
        <v>3.34</v>
      </c>
      <c r="H1901">
        <v>6.17</v>
      </c>
      <c r="I1901">
        <v>2.5299999999999998</v>
      </c>
      <c r="J1901">
        <v>9.83</v>
      </c>
      <c r="K1901">
        <v>-28.05</v>
      </c>
      <c r="L1901">
        <v>-24.59</v>
      </c>
      <c r="M1901">
        <v>-5.59</v>
      </c>
      <c r="N1901">
        <v>3.2</v>
      </c>
    </row>
    <row r="1902" spans="1:14">
      <c r="A1902" s="2" t="s">
        <v>1930</v>
      </c>
      <c r="B1902" t="s">
        <v>5723</v>
      </c>
      <c r="C1902">
        <v>-2.0299999999999998</v>
      </c>
      <c r="D1902">
        <v>47.93</v>
      </c>
      <c r="E1902">
        <v>-24.91</v>
      </c>
      <c r="F1902">
        <v>10.36</v>
      </c>
      <c r="G1902">
        <v>7.94</v>
      </c>
      <c r="H1902">
        <v>0.25</v>
      </c>
      <c r="I1902">
        <v>55.06</v>
      </c>
      <c r="J1902">
        <v>57.23</v>
      </c>
      <c r="K1902">
        <v>54.69</v>
      </c>
      <c r="L1902">
        <v>38.450000000000003</v>
      </c>
      <c r="M1902">
        <v>2.4900000000000002</v>
      </c>
      <c r="N1902">
        <v>29.8</v>
      </c>
    </row>
    <row r="1903" spans="1:14">
      <c r="A1903" s="2" t="s">
        <v>1931</v>
      </c>
      <c r="B1903" t="s">
        <v>5724</v>
      </c>
      <c r="C1903">
        <v>49.97</v>
      </c>
      <c r="D1903">
        <v>-15.6</v>
      </c>
      <c r="E1903">
        <v>-29.8</v>
      </c>
      <c r="F1903">
        <v>35.369999999999997</v>
      </c>
      <c r="G1903">
        <v>23.88</v>
      </c>
      <c r="H1903">
        <v>-55.54</v>
      </c>
      <c r="I1903">
        <v>32.85</v>
      </c>
      <c r="J1903">
        <v>-56.98</v>
      </c>
      <c r="K1903">
        <v>-73.86</v>
      </c>
      <c r="L1903">
        <v>-18.690000000000001</v>
      </c>
      <c r="M1903">
        <v>-8.3000000000000007</v>
      </c>
      <c r="N1903">
        <v>-75.900000000000006</v>
      </c>
    </row>
    <row r="1904" spans="1:14">
      <c r="A1904" s="2" t="s">
        <v>1932</v>
      </c>
      <c r="B1904" t="s">
        <v>5725</v>
      </c>
      <c r="C1904">
        <v>-8.82</v>
      </c>
      <c r="D1904">
        <v>15.23</v>
      </c>
      <c r="E1904">
        <v>37.08</v>
      </c>
      <c r="F1904">
        <v>23.24</v>
      </c>
      <c r="G1904">
        <v>0.1</v>
      </c>
      <c r="H1904">
        <v>2.4</v>
      </c>
      <c r="I1904">
        <v>-7.93</v>
      </c>
      <c r="J1904">
        <v>7.35</v>
      </c>
      <c r="K1904">
        <v>14.63</v>
      </c>
      <c r="L1904">
        <v>6.21</v>
      </c>
      <c r="M1904">
        <v>3.48</v>
      </c>
      <c r="N1904">
        <v>-1.31</v>
      </c>
    </row>
    <row r="1905" spans="1:14">
      <c r="A1905" s="2" t="s">
        <v>1933</v>
      </c>
      <c r="B1905" t="s">
        <v>5726</v>
      </c>
      <c r="C1905">
        <v>-5.57</v>
      </c>
      <c r="D1905">
        <v>-10.83</v>
      </c>
      <c r="E1905">
        <v>118.01</v>
      </c>
      <c r="F1905">
        <v>38.56</v>
      </c>
      <c r="G1905">
        <v>-13.26</v>
      </c>
      <c r="H1905">
        <v>56.22</v>
      </c>
      <c r="I1905">
        <v>30.2</v>
      </c>
      <c r="J1905">
        <v>-53.87</v>
      </c>
      <c r="K1905">
        <v>31.31</v>
      </c>
      <c r="L1905">
        <v>-0.15</v>
      </c>
      <c r="M1905">
        <v>-7.63</v>
      </c>
      <c r="N1905">
        <v>-24.04</v>
      </c>
    </row>
    <row r="1906" spans="1:14">
      <c r="A1906" s="2" t="s">
        <v>1934</v>
      </c>
      <c r="B1906" t="s">
        <v>5727</v>
      </c>
      <c r="C1906">
        <v>24.14</v>
      </c>
      <c r="D1906">
        <v>5.53</v>
      </c>
      <c r="E1906">
        <v>-15.9</v>
      </c>
      <c r="F1906">
        <v>25.54</v>
      </c>
      <c r="G1906">
        <v>-10.71</v>
      </c>
      <c r="H1906">
        <v>-10.07</v>
      </c>
      <c r="I1906">
        <v>-14.25</v>
      </c>
      <c r="J1906">
        <v>-4.38</v>
      </c>
      <c r="K1906">
        <v>-20.3</v>
      </c>
      <c r="L1906">
        <v>12.93</v>
      </c>
      <c r="M1906">
        <v>-9.5500000000000007</v>
      </c>
      <c r="N1906">
        <v>9.73</v>
      </c>
    </row>
    <row r="1907" spans="1:14">
      <c r="A1907" s="2" t="s">
        <v>1935</v>
      </c>
      <c r="B1907" t="s">
        <v>5728</v>
      </c>
      <c r="C1907">
        <v>-33.04</v>
      </c>
      <c r="D1907">
        <v>-36.020000000000003</v>
      </c>
      <c r="E1907">
        <v>1.21</v>
      </c>
      <c r="F1907">
        <v>1.34</v>
      </c>
      <c r="G1907">
        <v>-12.16</v>
      </c>
      <c r="H1907">
        <v>16.690000000000001</v>
      </c>
      <c r="I1907">
        <v>-33.270000000000003</v>
      </c>
      <c r="J1907">
        <v>-59.86</v>
      </c>
      <c r="K1907">
        <v>-59.47</v>
      </c>
      <c r="L1907">
        <v>-67.08</v>
      </c>
      <c r="M1907">
        <v>-75.89</v>
      </c>
      <c r="N1907">
        <v>-67.819999999999993</v>
      </c>
    </row>
    <row r="1908" spans="1:14">
      <c r="A1908" s="2" t="s">
        <v>1936</v>
      </c>
      <c r="B1908" t="s">
        <v>5729</v>
      </c>
      <c r="C1908">
        <v>-3.36</v>
      </c>
      <c r="D1908">
        <v>12.58</v>
      </c>
      <c r="E1908">
        <v>5.71</v>
      </c>
      <c r="F1908">
        <v>1.32</v>
      </c>
      <c r="G1908">
        <v>37.17</v>
      </c>
      <c r="H1908">
        <v>29.97</v>
      </c>
      <c r="I1908">
        <v>23.28</v>
      </c>
      <c r="J1908">
        <v>66.73</v>
      </c>
      <c r="K1908">
        <v>94.54</v>
      </c>
      <c r="L1908">
        <v>123.09</v>
      </c>
      <c r="M1908">
        <v>172.02</v>
      </c>
      <c r="N1908">
        <v>317.19</v>
      </c>
    </row>
    <row r="1909" spans="1:14">
      <c r="A1909" s="2" t="s">
        <v>1937</v>
      </c>
      <c r="B1909" t="s">
        <v>5730</v>
      </c>
    </row>
    <row r="1910" spans="1:14">
      <c r="A1910" s="2" t="s">
        <v>1938</v>
      </c>
      <c r="B1910" t="s">
        <v>5731</v>
      </c>
    </row>
    <row r="1911" spans="1:14">
      <c r="A1911" s="2" t="s">
        <v>1939</v>
      </c>
      <c r="B1911" t="s">
        <v>5732</v>
      </c>
      <c r="C1911">
        <v>-0.08</v>
      </c>
      <c r="D1911">
        <v>101.3</v>
      </c>
      <c r="E1911">
        <v>-23.15</v>
      </c>
      <c r="F1911">
        <v>-13.95</v>
      </c>
      <c r="G1911">
        <v>-2.21</v>
      </c>
      <c r="H1911">
        <v>3.45</v>
      </c>
      <c r="I1911">
        <v>-23.82</v>
      </c>
      <c r="J1911">
        <v>7.43</v>
      </c>
      <c r="K1911">
        <v>-6.27</v>
      </c>
      <c r="L1911">
        <v>-16.89</v>
      </c>
      <c r="M1911">
        <v>-5.22</v>
      </c>
      <c r="N1911">
        <v>-7.15</v>
      </c>
    </row>
    <row r="1912" spans="1:14">
      <c r="A1912" s="2" t="s">
        <v>1940</v>
      </c>
      <c r="B1912" t="s">
        <v>5733</v>
      </c>
    </row>
    <row r="1913" spans="1:14">
      <c r="A1913" s="2" t="s">
        <v>1941</v>
      </c>
      <c r="B1913" t="s">
        <v>5734</v>
      </c>
    </row>
    <row r="1914" spans="1:14">
      <c r="A1914" s="2" t="s">
        <v>1942</v>
      </c>
      <c r="B1914" t="s">
        <v>5735</v>
      </c>
    </row>
    <row r="1915" spans="1:14">
      <c r="A1915" s="2" t="s">
        <v>1943</v>
      </c>
      <c r="B1915" t="s">
        <v>5736</v>
      </c>
    </row>
    <row r="1916" spans="1:14">
      <c r="A1916" s="2" t="s">
        <v>1944</v>
      </c>
      <c r="B1916" t="s">
        <v>5737</v>
      </c>
    </row>
    <row r="1917" spans="1:14">
      <c r="A1917" s="2" t="s">
        <v>1945</v>
      </c>
      <c r="B1917" t="s">
        <v>5738</v>
      </c>
      <c r="C1917">
        <v>-14.13</v>
      </c>
      <c r="D1917">
        <v>11.29</v>
      </c>
      <c r="E1917">
        <v>39.42</v>
      </c>
      <c r="F1917">
        <v>51.32</v>
      </c>
      <c r="G1917">
        <v>18.84</v>
      </c>
      <c r="H1917">
        <v>-41.28</v>
      </c>
      <c r="I1917">
        <v>-61.02</v>
      </c>
      <c r="J1917">
        <v>-37.75</v>
      </c>
      <c r="K1917">
        <v>-8.76</v>
      </c>
      <c r="L1917">
        <v>15.65</v>
      </c>
      <c r="M1917">
        <v>-26.17</v>
      </c>
      <c r="N1917">
        <v>-29.92</v>
      </c>
    </row>
    <row r="1918" spans="1:14">
      <c r="A1918" s="2" t="s">
        <v>1946</v>
      </c>
      <c r="B1918" t="s">
        <v>5739</v>
      </c>
    </row>
    <row r="1919" spans="1:14">
      <c r="A1919" s="2" t="s">
        <v>1947</v>
      </c>
      <c r="B1919" t="s">
        <v>5740</v>
      </c>
      <c r="C1919">
        <v>-23.58</v>
      </c>
      <c r="D1919">
        <v>-25.82</v>
      </c>
      <c r="E1919">
        <v>52.69</v>
      </c>
      <c r="F1919">
        <v>-0.41</v>
      </c>
      <c r="G1919">
        <v>23.52</v>
      </c>
      <c r="H1919">
        <v>-16.75</v>
      </c>
      <c r="I1919">
        <v>13.87</v>
      </c>
      <c r="J1919">
        <v>-1.38</v>
      </c>
      <c r="K1919">
        <v>10.8</v>
      </c>
      <c r="L1919">
        <v>6.61</v>
      </c>
      <c r="M1919">
        <v>-2.17</v>
      </c>
      <c r="N1919">
        <v>-5.07</v>
      </c>
    </row>
    <row r="1920" spans="1:14">
      <c r="A1920" s="2" t="s">
        <v>1948</v>
      </c>
      <c r="B1920" t="s">
        <v>5741</v>
      </c>
      <c r="C1920">
        <v>396.08</v>
      </c>
      <c r="D1920">
        <v>-43.88</v>
      </c>
      <c r="E1920">
        <v>1127.82</v>
      </c>
      <c r="F1920">
        <v>28.49</v>
      </c>
      <c r="G1920">
        <v>-45.38</v>
      </c>
      <c r="H1920">
        <v>-92.85</v>
      </c>
      <c r="I1920">
        <v>397.11</v>
      </c>
      <c r="J1920">
        <v>178.53</v>
      </c>
      <c r="K1920">
        <v>536.88</v>
      </c>
      <c r="L1920">
        <v>196.13</v>
      </c>
      <c r="M1920">
        <v>169.88</v>
      </c>
      <c r="N1920">
        <v>65.930000000000007</v>
      </c>
    </row>
    <row r="1921" spans="1:14">
      <c r="A1921" s="2" t="s">
        <v>1949</v>
      </c>
      <c r="B1921" t="s">
        <v>5742</v>
      </c>
      <c r="C1921">
        <v>0.39</v>
      </c>
      <c r="D1921">
        <v>-1.96</v>
      </c>
      <c r="E1921">
        <v>11.28</v>
      </c>
      <c r="F1921">
        <v>-3.86</v>
      </c>
      <c r="G1921">
        <v>-1.33</v>
      </c>
      <c r="I1921">
        <v>-14.9</v>
      </c>
      <c r="J1921">
        <v>-9.16</v>
      </c>
      <c r="K1921">
        <v>-9.91</v>
      </c>
      <c r="L1921">
        <v>-6.33</v>
      </c>
      <c r="M1921">
        <v>-8.3699999999999992</v>
      </c>
    </row>
    <row r="1922" spans="1:14">
      <c r="A1922" s="2" t="s">
        <v>1950</v>
      </c>
      <c r="B1922" t="s">
        <v>5743</v>
      </c>
      <c r="C1922">
        <v>0.09</v>
      </c>
      <c r="D1922">
        <v>-8.2899999999999991</v>
      </c>
      <c r="E1922">
        <v>-27.87</v>
      </c>
      <c r="F1922">
        <v>1.23</v>
      </c>
      <c r="G1922">
        <v>53.61</v>
      </c>
      <c r="H1922">
        <v>24.3</v>
      </c>
      <c r="I1922">
        <v>-14.06</v>
      </c>
      <c r="J1922">
        <v>-2.67</v>
      </c>
      <c r="K1922">
        <v>3.08</v>
      </c>
      <c r="L1922">
        <v>-10.74</v>
      </c>
      <c r="M1922">
        <v>12.22</v>
      </c>
      <c r="N1922">
        <v>38.049999999999997</v>
      </c>
    </row>
    <row r="1923" spans="1:14">
      <c r="A1923" s="2" t="s">
        <v>1951</v>
      </c>
      <c r="B1923" t="s">
        <v>5744</v>
      </c>
      <c r="C1923">
        <v>266.62</v>
      </c>
      <c r="D1923">
        <v>-87.97</v>
      </c>
      <c r="E1923">
        <v>-99.92</v>
      </c>
      <c r="F1923">
        <v>1053271</v>
      </c>
      <c r="G1923">
        <v>393.23</v>
      </c>
      <c r="H1923">
        <v>-59.83</v>
      </c>
      <c r="I1923">
        <v>-79.47</v>
      </c>
      <c r="J1923">
        <v>-88.86</v>
      </c>
      <c r="K1923">
        <v>-99.99</v>
      </c>
      <c r="L1923">
        <v>-68.09</v>
      </c>
      <c r="M1923">
        <v>-4.8099999999999996</v>
      </c>
      <c r="N1923">
        <v>647.69000000000005</v>
      </c>
    </row>
    <row r="1924" spans="1:14">
      <c r="A1924" s="2" t="s">
        <v>1952</v>
      </c>
      <c r="B1924" t="s">
        <v>5745</v>
      </c>
      <c r="C1924">
        <v>1.73</v>
      </c>
      <c r="D1924">
        <v>4.46</v>
      </c>
      <c r="E1924">
        <v>-29.56</v>
      </c>
      <c r="F1924">
        <v>-0.94</v>
      </c>
      <c r="G1924">
        <v>40.549999999999997</v>
      </c>
      <c r="H1924">
        <v>8.57</v>
      </c>
      <c r="I1924">
        <v>-8.01</v>
      </c>
      <c r="J1924">
        <v>-1.77</v>
      </c>
      <c r="K1924">
        <v>-19.45</v>
      </c>
      <c r="L1924">
        <v>-15.33</v>
      </c>
      <c r="M1924">
        <v>-11.61</v>
      </c>
      <c r="N1924">
        <v>13.02</v>
      </c>
    </row>
    <row r="1925" spans="1:14">
      <c r="A1925" s="2" t="s">
        <v>1953</v>
      </c>
      <c r="B1925" t="s">
        <v>5746</v>
      </c>
      <c r="C1925">
        <v>0.54</v>
      </c>
      <c r="D1925">
        <v>-1.79</v>
      </c>
      <c r="E1925">
        <v>1.46</v>
      </c>
      <c r="F1925">
        <v>9.7100000000000009</v>
      </c>
      <c r="G1925">
        <v>2.87</v>
      </c>
      <c r="H1925">
        <v>14.45</v>
      </c>
      <c r="I1925">
        <v>4.57</v>
      </c>
      <c r="J1925">
        <v>7.36</v>
      </c>
      <c r="K1925">
        <v>-0.73</v>
      </c>
      <c r="L1925">
        <v>-0.68</v>
      </c>
      <c r="M1925">
        <v>-6.16</v>
      </c>
      <c r="N1925">
        <v>4.57</v>
      </c>
    </row>
    <row r="1926" spans="1:14">
      <c r="A1926" s="2" t="s">
        <v>1954</v>
      </c>
      <c r="B1926" t="s">
        <v>5747</v>
      </c>
      <c r="C1926">
        <v>3.57</v>
      </c>
      <c r="D1926">
        <v>-10.81</v>
      </c>
      <c r="E1926">
        <v>2.02</v>
      </c>
      <c r="F1926">
        <v>3.83</v>
      </c>
      <c r="G1926">
        <v>-7.01</v>
      </c>
      <c r="I1926">
        <v>-3.66</v>
      </c>
      <c r="J1926">
        <v>-0.87</v>
      </c>
      <c r="K1926">
        <v>-2.2599999999999998</v>
      </c>
      <c r="L1926">
        <v>-11.82</v>
      </c>
      <c r="M1926">
        <v>-0.62</v>
      </c>
    </row>
    <row r="1927" spans="1:14">
      <c r="A1927" s="2" t="s">
        <v>1955</v>
      </c>
      <c r="B1927" t="s">
        <v>5748</v>
      </c>
      <c r="C1927">
        <v>-2.04</v>
      </c>
      <c r="D1927">
        <v>11.13</v>
      </c>
      <c r="E1927">
        <v>-9.49</v>
      </c>
      <c r="F1927">
        <v>-2.89</v>
      </c>
      <c r="G1927">
        <v>18.559999999999999</v>
      </c>
      <c r="H1927">
        <v>16.46</v>
      </c>
      <c r="I1927">
        <v>0.79</v>
      </c>
      <c r="J1927">
        <v>6.08</v>
      </c>
      <c r="K1927">
        <v>-1.61</v>
      </c>
      <c r="L1927">
        <v>4</v>
      </c>
      <c r="M1927">
        <v>13.8</v>
      </c>
      <c r="N1927">
        <v>11.09</v>
      </c>
    </row>
    <row r="1928" spans="1:14">
      <c r="A1928" s="2" t="s">
        <v>1956</v>
      </c>
      <c r="B1928" t="s">
        <v>5749</v>
      </c>
      <c r="C1928">
        <v>2.14</v>
      </c>
      <c r="D1928">
        <v>28.03</v>
      </c>
      <c r="E1928">
        <v>-2.58</v>
      </c>
      <c r="F1928">
        <v>11.64</v>
      </c>
      <c r="G1928">
        <v>-9.99</v>
      </c>
      <c r="H1928">
        <v>-12.01</v>
      </c>
      <c r="I1928">
        <v>-23.04</v>
      </c>
      <c r="J1928">
        <v>23.41</v>
      </c>
      <c r="K1928">
        <v>8.83</v>
      </c>
      <c r="L1928">
        <v>15.1</v>
      </c>
      <c r="M1928">
        <v>32.159999999999997</v>
      </c>
      <c r="N1928">
        <v>6.84</v>
      </c>
    </row>
    <row r="1929" spans="1:14">
      <c r="A1929" s="2" t="s">
        <v>1957</v>
      </c>
      <c r="B1929" t="s">
        <v>5750</v>
      </c>
      <c r="C1929">
        <v>-0.52</v>
      </c>
      <c r="D1929">
        <v>-8.14</v>
      </c>
      <c r="E1929">
        <v>-26.19</v>
      </c>
      <c r="F1929">
        <v>-1.0900000000000001</v>
      </c>
      <c r="G1929">
        <v>-3.63</v>
      </c>
      <c r="I1929">
        <v>-15.48</v>
      </c>
      <c r="J1929">
        <v>-11.22</v>
      </c>
      <c r="K1929">
        <v>-16.079999999999998</v>
      </c>
      <c r="L1929">
        <v>-16.29</v>
      </c>
      <c r="M1929">
        <v>-11.17</v>
      </c>
    </row>
    <row r="1930" spans="1:14">
      <c r="A1930" s="2" t="s">
        <v>1958</v>
      </c>
      <c r="B1930" t="s">
        <v>5751</v>
      </c>
      <c r="C1930">
        <v>1.64</v>
      </c>
      <c r="D1930">
        <v>1.28</v>
      </c>
      <c r="E1930">
        <v>-2.98</v>
      </c>
      <c r="F1930">
        <v>7.87</v>
      </c>
      <c r="G1930">
        <v>3.62</v>
      </c>
      <c r="H1930">
        <v>-7.75</v>
      </c>
      <c r="I1930">
        <v>6.31</v>
      </c>
      <c r="J1930">
        <v>5.24</v>
      </c>
      <c r="K1930">
        <v>3.61</v>
      </c>
      <c r="L1930">
        <v>6.21</v>
      </c>
      <c r="M1930">
        <v>0.09</v>
      </c>
      <c r="N1930">
        <v>6.37</v>
      </c>
    </row>
    <row r="1931" spans="1:14">
      <c r="A1931" s="2" t="s">
        <v>1959</v>
      </c>
      <c r="B1931" t="s">
        <v>5752</v>
      </c>
      <c r="C1931">
        <v>0.77</v>
      </c>
      <c r="D1931">
        <v>1.97</v>
      </c>
      <c r="E1931">
        <v>2.0499999999999998</v>
      </c>
      <c r="F1931">
        <v>4.41</v>
      </c>
      <c r="G1931">
        <v>18.510000000000002</v>
      </c>
      <c r="H1931">
        <v>41.92</v>
      </c>
      <c r="I1931">
        <v>5.39</v>
      </c>
      <c r="J1931">
        <v>15.73</v>
      </c>
      <c r="K1931">
        <v>-2.29</v>
      </c>
      <c r="L1931">
        <v>-3.1</v>
      </c>
      <c r="M1931">
        <v>-5.54</v>
      </c>
      <c r="N1931">
        <v>-8.83</v>
      </c>
    </row>
    <row r="1932" spans="1:14">
      <c r="A1932" s="2" t="s">
        <v>1960</v>
      </c>
      <c r="B1932" t="s">
        <v>5753</v>
      </c>
      <c r="C1932">
        <v>-21.27</v>
      </c>
      <c r="D1932">
        <v>14.87</v>
      </c>
      <c r="E1932">
        <v>-4.3</v>
      </c>
      <c r="F1932">
        <v>0.2</v>
      </c>
      <c r="G1932">
        <v>-2.13</v>
      </c>
      <c r="H1932">
        <v>11.25</v>
      </c>
      <c r="I1932">
        <v>-28.52</v>
      </c>
      <c r="J1932">
        <v>-16.78</v>
      </c>
      <c r="K1932">
        <v>0.24</v>
      </c>
      <c r="L1932">
        <v>0.66</v>
      </c>
      <c r="M1932">
        <v>-26.45</v>
      </c>
      <c r="N1932">
        <v>3</v>
      </c>
    </row>
    <row r="1933" spans="1:14">
      <c r="A1933" s="2" t="s">
        <v>1961</v>
      </c>
      <c r="B1933" t="s">
        <v>5754</v>
      </c>
      <c r="C1933">
        <v>-1.62</v>
      </c>
      <c r="D1933">
        <v>3.84</v>
      </c>
      <c r="E1933">
        <v>-12.5</v>
      </c>
      <c r="F1933">
        <v>-9.25</v>
      </c>
      <c r="G1933">
        <v>-13.26</v>
      </c>
      <c r="H1933">
        <v>2.25</v>
      </c>
      <c r="I1933">
        <v>-26.71</v>
      </c>
      <c r="J1933">
        <v>-13.45</v>
      </c>
      <c r="K1933">
        <v>-6.27</v>
      </c>
      <c r="L1933">
        <v>-9.69</v>
      </c>
      <c r="M1933">
        <v>-12.54</v>
      </c>
      <c r="N1933">
        <v>-21.6</v>
      </c>
    </row>
    <row r="1934" spans="1:14">
      <c r="A1934" s="2" t="s">
        <v>1962</v>
      </c>
      <c r="B1934" t="s">
        <v>5755</v>
      </c>
      <c r="C1934">
        <v>-21.02</v>
      </c>
      <c r="D1934">
        <v>3.8</v>
      </c>
      <c r="E1934">
        <v>-13.13</v>
      </c>
      <c r="F1934">
        <v>10.81</v>
      </c>
      <c r="G1934">
        <v>-4.12</v>
      </c>
      <c r="H1934">
        <v>-0.01</v>
      </c>
      <c r="I1934">
        <v>-37.14</v>
      </c>
      <c r="J1934">
        <v>11.89</v>
      </c>
      <c r="K1934">
        <v>-15.43</v>
      </c>
      <c r="L1934">
        <v>-8.24</v>
      </c>
      <c r="M1934">
        <v>-11.39</v>
      </c>
      <c r="N1934">
        <v>-12.43</v>
      </c>
    </row>
    <row r="1935" spans="1:14">
      <c r="A1935" s="2" t="s">
        <v>1963</v>
      </c>
      <c r="B1935" t="s">
        <v>5756</v>
      </c>
      <c r="C1935">
        <v>0.98</v>
      </c>
      <c r="D1935">
        <v>0.28000000000000003</v>
      </c>
      <c r="E1935">
        <v>-1.65</v>
      </c>
      <c r="F1935">
        <v>2.76</v>
      </c>
      <c r="G1935">
        <v>8.67</v>
      </c>
      <c r="H1935">
        <v>-4.99</v>
      </c>
      <c r="I1935">
        <v>1.65</v>
      </c>
      <c r="J1935">
        <v>5.22</v>
      </c>
      <c r="K1935">
        <v>0.5</v>
      </c>
      <c r="L1935">
        <v>4.99</v>
      </c>
      <c r="M1935">
        <v>16.93</v>
      </c>
      <c r="N1935">
        <v>9.0299999999999994</v>
      </c>
    </row>
    <row r="1936" spans="1:14">
      <c r="A1936" s="2" t="s">
        <v>1964</v>
      </c>
      <c r="B1936" t="s">
        <v>5757</v>
      </c>
      <c r="C1936">
        <v>-2.73</v>
      </c>
      <c r="D1936">
        <v>0.9</v>
      </c>
      <c r="E1936">
        <v>-1.97</v>
      </c>
      <c r="F1936">
        <v>11.95</v>
      </c>
      <c r="G1936">
        <v>10.32</v>
      </c>
      <c r="H1936">
        <v>18.53</v>
      </c>
      <c r="I1936">
        <v>0.84</v>
      </c>
      <c r="J1936">
        <v>4.12</v>
      </c>
      <c r="K1936">
        <v>2.92</v>
      </c>
      <c r="L1936">
        <v>10.210000000000001</v>
      </c>
      <c r="M1936">
        <v>3.44</v>
      </c>
      <c r="N1936">
        <v>0.01</v>
      </c>
    </row>
    <row r="1937" spans="1:14">
      <c r="A1937" s="2" t="s">
        <v>1965</v>
      </c>
      <c r="B1937" t="s">
        <v>5758</v>
      </c>
      <c r="C1937">
        <v>2.42</v>
      </c>
      <c r="D1937">
        <v>-3.35</v>
      </c>
      <c r="E1937">
        <v>1.96</v>
      </c>
      <c r="F1937">
        <v>17.62</v>
      </c>
      <c r="G1937">
        <v>7.64</v>
      </c>
      <c r="H1937">
        <v>-5.47</v>
      </c>
      <c r="I1937">
        <v>-9.5500000000000007</v>
      </c>
      <c r="J1937">
        <v>-14.78</v>
      </c>
      <c r="K1937">
        <v>-5.99</v>
      </c>
      <c r="L1937">
        <v>1.34</v>
      </c>
      <c r="M1937">
        <v>16.350000000000001</v>
      </c>
      <c r="N1937">
        <v>12.4</v>
      </c>
    </row>
    <row r="1938" spans="1:14">
      <c r="A1938" s="2" t="s">
        <v>1966</v>
      </c>
      <c r="B1938" t="s">
        <v>5759</v>
      </c>
      <c r="C1938">
        <v>-4.12</v>
      </c>
      <c r="D1938">
        <v>-7.09</v>
      </c>
      <c r="E1938">
        <v>37.82</v>
      </c>
      <c r="F1938">
        <v>-4.47</v>
      </c>
      <c r="G1938">
        <v>46.15</v>
      </c>
      <c r="H1938">
        <v>-18.96</v>
      </c>
      <c r="I1938">
        <v>-0.98</v>
      </c>
      <c r="J1938">
        <v>-11.84</v>
      </c>
      <c r="K1938">
        <v>13.17</v>
      </c>
      <c r="L1938">
        <v>-2.0099999999999998</v>
      </c>
      <c r="M1938">
        <v>39.24</v>
      </c>
      <c r="N1938">
        <v>4.62</v>
      </c>
    </row>
    <row r="1939" spans="1:14">
      <c r="A1939" s="2" t="s">
        <v>1967</v>
      </c>
      <c r="B1939" t="s">
        <v>5760</v>
      </c>
      <c r="C1939">
        <v>-6.36</v>
      </c>
      <c r="D1939">
        <v>-1.66</v>
      </c>
      <c r="E1939">
        <v>5.19</v>
      </c>
      <c r="F1939">
        <v>25.1</v>
      </c>
      <c r="G1939">
        <v>-16.440000000000001</v>
      </c>
      <c r="H1939">
        <v>-7</v>
      </c>
      <c r="I1939">
        <v>-11.63</v>
      </c>
      <c r="J1939">
        <v>-1.18</v>
      </c>
      <c r="K1939">
        <v>12.15</v>
      </c>
      <c r="L1939">
        <v>20.05</v>
      </c>
      <c r="M1939">
        <v>-6.72</v>
      </c>
      <c r="N1939">
        <v>6.03</v>
      </c>
    </row>
    <row r="1940" spans="1:14">
      <c r="A1940" s="2" t="s">
        <v>1968</v>
      </c>
      <c r="B1940" t="s">
        <v>5761</v>
      </c>
      <c r="C1940">
        <v>1.45</v>
      </c>
      <c r="D1940">
        <v>7.55</v>
      </c>
      <c r="E1940">
        <v>-2.44</v>
      </c>
      <c r="F1940">
        <v>0.41</v>
      </c>
      <c r="G1940">
        <v>8.7799999999999994</v>
      </c>
      <c r="H1940">
        <v>-0.13</v>
      </c>
      <c r="I1940">
        <v>-5.98</v>
      </c>
      <c r="J1940">
        <v>2.5299999999999998</v>
      </c>
      <c r="K1940">
        <v>2.3199999999999998</v>
      </c>
      <c r="L1940">
        <v>-1.82</v>
      </c>
      <c r="M1940">
        <v>-2.36</v>
      </c>
      <c r="N1940">
        <v>10.210000000000001</v>
      </c>
    </row>
    <row r="1941" spans="1:14">
      <c r="A1941" s="2" t="s">
        <v>1969</v>
      </c>
      <c r="B1941" t="s">
        <v>5762</v>
      </c>
      <c r="C1941">
        <v>-13.45</v>
      </c>
      <c r="D1941">
        <v>-1.97</v>
      </c>
      <c r="E1941">
        <v>9.39</v>
      </c>
      <c r="F1941">
        <v>8.4499999999999993</v>
      </c>
      <c r="G1941">
        <v>0.11</v>
      </c>
      <c r="I1941">
        <v>26.51</v>
      </c>
      <c r="J1941">
        <v>-0.63</v>
      </c>
      <c r="K1941">
        <v>15.83</v>
      </c>
      <c r="L1941">
        <v>32.26</v>
      </c>
      <c r="M1941">
        <v>14.23</v>
      </c>
    </row>
    <row r="1942" spans="1:14">
      <c r="A1942" s="2" t="s">
        <v>1970</v>
      </c>
      <c r="B1942" t="s">
        <v>5763</v>
      </c>
      <c r="C1942">
        <v>1.51</v>
      </c>
      <c r="D1942">
        <v>20.59</v>
      </c>
      <c r="E1942">
        <v>-26.84</v>
      </c>
      <c r="F1942">
        <v>15.03</v>
      </c>
      <c r="G1942">
        <v>71.36</v>
      </c>
      <c r="H1942">
        <v>-51.5</v>
      </c>
      <c r="I1942">
        <v>-33</v>
      </c>
      <c r="J1942">
        <v>-11.7</v>
      </c>
      <c r="K1942">
        <v>-29.45</v>
      </c>
      <c r="L1942">
        <v>-29.28</v>
      </c>
      <c r="M1942">
        <v>-15.29</v>
      </c>
      <c r="N1942">
        <v>-4.74</v>
      </c>
    </row>
    <row r="1943" spans="1:14">
      <c r="A1943" s="2" t="s">
        <v>1971</v>
      </c>
      <c r="B1943" t="s">
        <v>5764</v>
      </c>
      <c r="C1943">
        <v>1.81</v>
      </c>
      <c r="D1943">
        <v>8.51</v>
      </c>
      <c r="E1943">
        <v>6.56</v>
      </c>
      <c r="F1943">
        <v>-7.7</v>
      </c>
      <c r="G1943">
        <v>-16.61</v>
      </c>
      <c r="H1943">
        <v>21.05</v>
      </c>
      <c r="I1943">
        <v>-10.96</v>
      </c>
      <c r="J1943">
        <v>3.98</v>
      </c>
      <c r="K1943">
        <v>1.47</v>
      </c>
      <c r="L1943">
        <v>2.31</v>
      </c>
      <c r="M1943">
        <v>-7.15</v>
      </c>
      <c r="N1943">
        <v>2.84</v>
      </c>
    </row>
    <row r="1944" spans="1:14">
      <c r="A1944" s="2" t="s">
        <v>1972</v>
      </c>
      <c r="B1944" t="s">
        <v>5765</v>
      </c>
      <c r="C1944">
        <v>4.8899999999999997</v>
      </c>
      <c r="D1944">
        <v>-6.9</v>
      </c>
      <c r="E1944">
        <v>-9.43</v>
      </c>
      <c r="F1944">
        <v>20.81</v>
      </c>
      <c r="G1944">
        <v>-10.41</v>
      </c>
      <c r="H1944">
        <v>0.38</v>
      </c>
      <c r="I1944">
        <v>-12.04</v>
      </c>
      <c r="J1944">
        <v>-18.32</v>
      </c>
      <c r="K1944">
        <v>-26.77</v>
      </c>
      <c r="L1944">
        <v>2.79</v>
      </c>
      <c r="M1944">
        <v>-8.69</v>
      </c>
      <c r="N1944">
        <v>1.03</v>
      </c>
    </row>
    <row r="1945" spans="1:14">
      <c r="A1945" s="2" t="s">
        <v>1973</v>
      </c>
      <c r="B1945" t="s">
        <v>5766</v>
      </c>
      <c r="C1945">
        <v>4.1900000000000004</v>
      </c>
      <c r="D1945">
        <v>-3.28</v>
      </c>
      <c r="E1945">
        <v>2.21</v>
      </c>
      <c r="F1945">
        <v>-5.98</v>
      </c>
      <c r="G1945">
        <v>4.75</v>
      </c>
      <c r="H1945">
        <v>-3.47</v>
      </c>
      <c r="I1945">
        <v>-9.6</v>
      </c>
      <c r="J1945">
        <v>-8.6</v>
      </c>
      <c r="K1945">
        <v>-2.87</v>
      </c>
      <c r="L1945">
        <v>-9.94</v>
      </c>
      <c r="M1945">
        <v>-7.55</v>
      </c>
      <c r="N1945">
        <v>-8.6199999999999992</v>
      </c>
    </row>
    <row r="1946" spans="1:14">
      <c r="A1946" s="2" t="s">
        <v>1974</v>
      </c>
      <c r="B1946" t="s">
        <v>5767</v>
      </c>
      <c r="C1946">
        <v>16.8</v>
      </c>
      <c r="D1946">
        <v>-5.4</v>
      </c>
      <c r="E1946">
        <v>-11.5</v>
      </c>
      <c r="F1946">
        <v>-5.81</v>
      </c>
      <c r="G1946">
        <v>14.92</v>
      </c>
      <c r="H1946">
        <v>16.09</v>
      </c>
      <c r="I1946">
        <v>-4.9800000000000004</v>
      </c>
      <c r="J1946">
        <v>-2.09</v>
      </c>
      <c r="K1946">
        <v>-5.1100000000000003</v>
      </c>
      <c r="L1946">
        <v>-8.65</v>
      </c>
      <c r="M1946">
        <v>6.6</v>
      </c>
      <c r="N1946">
        <v>21.82</v>
      </c>
    </row>
    <row r="1947" spans="1:14">
      <c r="A1947" s="2" t="s">
        <v>1975</v>
      </c>
      <c r="B1947" t="s">
        <v>5768</v>
      </c>
      <c r="C1947">
        <v>-6.06</v>
      </c>
      <c r="D1947">
        <v>-7.81</v>
      </c>
      <c r="E1947">
        <v>-16.63</v>
      </c>
      <c r="F1947">
        <v>-6.25</v>
      </c>
      <c r="G1947">
        <v>5.82</v>
      </c>
      <c r="I1947">
        <v>-4.34</v>
      </c>
      <c r="J1947">
        <v>4.38</v>
      </c>
      <c r="K1947">
        <v>-4.75</v>
      </c>
      <c r="L1947">
        <v>-12.18</v>
      </c>
      <c r="M1947">
        <v>-8.86</v>
      </c>
    </row>
    <row r="1948" spans="1:14">
      <c r="A1948" s="2" t="s">
        <v>1976</v>
      </c>
      <c r="B1948" t="s">
        <v>5769</v>
      </c>
      <c r="C1948">
        <v>5.66</v>
      </c>
      <c r="D1948">
        <v>7.1</v>
      </c>
      <c r="E1948">
        <v>-0.7</v>
      </c>
      <c r="F1948">
        <v>24.06</v>
      </c>
      <c r="G1948">
        <v>180.7</v>
      </c>
      <c r="H1948">
        <v>-62.8</v>
      </c>
      <c r="I1948">
        <v>-11.48</v>
      </c>
      <c r="J1948">
        <v>-2.2000000000000002</v>
      </c>
      <c r="K1948">
        <v>3.14</v>
      </c>
      <c r="L1948">
        <v>38.590000000000003</v>
      </c>
      <c r="M1948">
        <v>219.85</v>
      </c>
      <c r="N1948">
        <v>80.84</v>
      </c>
    </row>
    <row r="1949" spans="1:14">
      <c r="A1949" s="2" t="s">
        <v>1977</v>
      </c>
      <c r="B1949" t="s">
        <v>5770</v>
      </c>
      <c r="C1949">
        <v>-2.97</v>
      </c>
      <c r="D1949">
        <v>-0.5</v>
      </c>
      <c r="E1949">
        <v>-2.58</v>
      </c>
      <c r="F1949">
        <v>2.2200000000000002</v>
      </c>
      <c r="G1949">
        <v>4.53</v>
      </c>
      <c r="H1949">
        <v>-3.55</v>
      </c>
      <c r="I1949">
        <v>-8.8699999999999992</v>
      </c>
      <c r="J1949">
        <v>-4.97</v>
      </c>
      <c r="K1949">
        <v>-4.7</v>
      </c>
      <c r="L1949">
        <v>-1.34</v>
      </c>
      <c r="M1949">
        <v>-3.49</v>
      </c>
      <c r="N1949">
        <v>1.29</v>
      </c>
    </row>
    <row r="1950" spans="1:14">
      <c r="A1950" s="2" t="s">
        <v>1978</v>
      </c>
      <c r="B1950" t="s">
        <v>5771</v>
      </c>
      <c r="C1950">
        <v>-5.88</v>
      </c>
      <c r="D1950">
        <v>0.6</v>
      </c>
      <c r="E1950">
        <v>-5.86</v>
      </c>
      <c r="F1950">
        <v>5.25</v>
      </c>
      <c r="G1950">
        <v>8.0299999999999994</v>
      </c>
      <c r="H1950">
        <v>11.98</v>
      </c>
      <c r="I1950">
        <v>-0.71</v>
      </c>
      <c r="J1950">
        <v>3.87</v>
      </c>
      <c r="K1950">
        <v>-4.3099999999999996</v>
      </c>
      <c r="L1950">
        <v>-2.08</v>
      </c>
      <c r="M1950">
        <v>11.28</v>
      </c>
      <c r="N1950">
        <v>39.94</v>
      </c>
    </row>
    <row r="1951" spans="1:14">
      <c r="A1951" s="2" t="s">
        <v>1979</v>
      </c>
      <c r="B1951" t="s">
        <v>5772</v>
      </c>
      <c r="C1951">
        <v>6.18</v>
      </c>
      <c r="D1951">
        <v>-14.26</v>
      </c>
      <c r="E1951">
        <v>13.95</v>
      </c>
      <c r="F1951">
        <v>-4.07</v>
      </c>
      <c r="G1951">
        <v>10.4</v>
      </c>
      <c r="H1951">
        <v>3.4</v>
      </c>
      <c r="I1951">
        <v>-5.31</v>
      </c>
      <c r="J1951">
        <v>-14.47</v>
      </c>
      <c r="K1951">
        <v>-11.01</v>
      </c>
      <c r="L1951">
        <v>-0.93</v>
      </c>
      <c r="M1951">
        <v>-10.11</v>
      </c>
      <c r="N1951">
        <v>-20.97</v>
      </c>
    </row>
    <row r="1952" spans="1:14">
      <c r="A1952" s="2" t="s">
        <v>1980</v>
      </c>
      <c r="B1952" t="s">
        <v>5773</v>
      </c>
      <c r="C1952">
        <v>-5.01</v>
      </c>
      <c r="D1952">
        <v>2.5099999999999998</v>
      </c>
      <c r="E1952">
        <v>-0.86</v>
      </c>
      <c r="F1952">
        <v>1.87</v>
      </c>
      <c r="G1952">
        <v>11.85</v>
      </c>
      <c r="H1952">
        <v>37.44</v>
      </c>
      <c r="I1952">
        <v>-8.77</v>
      </c>
      <c r="J1952">
        <v>13.38</v>
      </c>
      <c r="K1952">
        <v>9.92</v>
      </c>
      <c r="L1952">
        <v>6.28</v>
      </c>
      <c r="M1952">
        <v>15.27</v>
      </c>
      <c r="N1952">
        <v>40.74</v>
      </c>
    </row>
    <row r="1953" spans="1:14">
      <c r="A1953" s="2" t="s">
        <v>1981</v>
      </c>
      <c r="B1953" t="s">
        <v>5774</v>
      </c>
      <c r="C1953">
        <v>-22.91</v>
      </c>
      <c r="D1953">
        <v>32.69</v>
      </c>
      <c r="E1953">
        <v>-13.62</v>
      </c>
      <c r="F1953">
        <v>32.369999999999997</v>
      </c>
      <c r="G1953">
        <v>83.54</v>
      </c>
      <c r="H1953">
        <v>-49.59</v>
      </c>
      <c r="I1953">
        <v>-25.27</v>
      </c>
      <c r="J1953">
        <v>13.24</v>
      </c>
      <c r="K1953">
        <v>24.61</v>
      </c>
      <c r="L1953">
        <v>46.87</v>
      </c>
      <c r="M1953">
        <v>84.2</v>
      </c>
      <c r="N1953">
        <v>58.08</v>
      </c>
    </row>
    <row r="1954" spans="1:14">
      <c r="A1954" s="2" t="s">
        <v>1982</v>
      </c>
      <c r="B1954" t="s">
        <v>5775</v>
      </c>
      <c r="C1954">
        <v>575.98</v>
      </c>
      <c r="D1954">
        <v>-86.27</v>
      </c>
      <c r="E1954">
        <v>847.16</v>
      </c>
      <c r="F1954">
        <v>-87.53</v>
      </c>
      <c r="G1954">
        <v>35296.04</v>
      </c>
      <c r="H1954">
        <v>-33.21</v>
      </c>
      <c r="I1954">
        <v>-73.87</v>
      </c>
      <c r="J1954">
        <v>-75.7</v>
      </c>
      <c r="K1954">
        <v>59.44</v>
      </c>
      <c r="L1954">
        <v>-98.03</v>
      </c>
      <c r="M1954">
        <v>186.64</v>
      </c>
      <c r="N1954">
        <v>28125.5</v>
      </c>
    </row>
    <row r="1955" spans="1:14">
      <c r="A1955" s="2" t="s">
        <v>1983</v>
      </c>
      <c r="B1955" t="s">
        <v>5776</v>
      </c>
      <c r="C1955">
        <v>12.93</v>
      </c>
      <c r="D1955">
        <v>-24.3</v>
      </c>
      <c r="E1955">
        <v>24.77</v>
      </c>
      <c r="F1955">
        <v>77.13</v>
      </c>
      <c r="G1955">
        <v>-15.69</v>
      </c>
      <c r="I1955">
        <v>17.2</v>
      </c>
      <c r="J1955">
        <v>-13.57</v>
      </c>
      <c r="K1955">
        <v>-40.090000000000003</v>
      </c>
      <c r="L1955">
        <v>15.3</v>
      </c>
      <c r="M1955">
        <v>-10.27</v>
      </c>
    </row>
    <row r="1956" spans="1:14">
      <c r="A1956" s="2" t="s">
        <v>1984</v>
      </c>
      <c r="B1956" t="s">
        <v>5777</v>
      </c>
      <c r="C1956">
        <v>7.04</v>
      </c>
      <c r="D1956">
        <v>-31.25</v>
      </c>
      <c r="E1956">
        <v>25.23</v>
      </c>
      <c r="F1956">
        <v>-12.78</v>
      </c>
      <c r="G1956">
        <v>53.18</v>
      </c>
      <c r="H1956">
        <v>10.94</v>
      </c>
      <c r="I1956">
        <v>-24.92</v>
      </c>
      <c r="J1956">
        <v>-49.08</v>
      </c>
      <c r="K1956">
        <v>-3.42</v>
      </c>
      <c r="L1956">
        <v>-31.36</v>
      </c>
      <c r="M1956">
        <v>14.16</v>
      </c>
      <c r="N1956">
        <v>2.82</v>
      </c>
    </row>
    <row r="1957" spans="1:14">
      <c r="A1957" s="2" t="s">
        <v>1985</v>
      </c>
      <c r="B1957" t="s">
        <v>5778</v>
      </c>
      <c r="C1957">
        <v>-6.75</v>
      </c>
      <c r="D1957">
        <v>9.58</v>
      </c>
      <c r="E1957">
        <v>10.51</v>
      </c>
      <c r="F1957">
        <v>-3.18</v>
      </c>
      <c r="G1957">
        <v>-4.55</v>
      </c>
      <c r="H1957">
        <v>4.63</v>
      </c>
      <c r="I1957">
        <v>4</v>
      </c>
      <c r="J1957">
        <v>22.49</v>
      </c>
      <c r="K1957">
        <v>11.73</v>
      </c>
      <c r="L1957">
        <v>13.33</v>
      </c>
      <c r="M1957">
        <v>-1.74</v>
      </c>
      <c r="N1957">
        <v>13.95</v>
      </c>
    </row>
    <row r="1958" spans="1:14">
      <c r="A1958" s="2" t="s">
        <v>1986</v>
      </c>
      <c r="B1958" t="s">
        <v>5779</v>
      </c>
      <c r="C1958">
        <v>9.4600000000000009</v>
      </c>
      <c r="D1958">
        <v>5.67</v>
      </c>
      <c r="E1958">
        <v>-16</v>
      </c>
      <c r="F1958">
        <v>6.8</v>
      </c>
      <c r="G1958">
        <v>59.69</v>
      </c>
      <c r="H1958">
        <v>-34.22</v>
      </c>
      <c r="I1958">
        <v>32.71</v>
      </c>
      <c r="J1958">
        <v>53.62</v>
      </c>
      <c r="K1958">
        <v>15.27</v>
      </c>
      <c r="L1958">
        <v>42.71</v>
      </c>
      <c r="M1958">
        <v>100.25</v>
      </c>
      <c r="N1958">
        <v>56.54</v>
      </c>
    </row>
    <row r="1959" spans="1:14">
      <c r="A1959" s="2" t="s">
        <v>1987</v>
      </c>
      <c r="B1959" t="s">
        <v>5780</v>
      </c>
      <c r="C1959">
        <v>-6.52</v>
      </c>
      <c r="D1959">
        <v>13.13</v>
      </c>
      <c r="E1959">
        <v>7.56</v>
      </c>
      <c r="F1959">
        <v>0.28999999999999998</v>
      </c>
      <c r="G1959">
        <v>9.1</v>
      </c>
      <c r="I1959">
        <v>2.38</v>
      </c>
      <c r="J1959">
        <v>4.18</v>
      </c>
      <c r="K1959">
        <v>10.88</v>
      </c>
      <c r="L1959">
        <v>12.59</v>
      </c>
      <c r="M1959">
        <v>-7.84</v>
      </c>
    </row>
    <row r="1960" spans="1:14">
      <c r="A1960" s="2" t="s">
        <v>1988</v>
      </c>
      <c r="B1960" t="s">
        <v>5781</v>
      </c>
      <c r="C1960">
        <v>-6.61</v>
      </c>
      <c r="D1960">
        <v>25.22</v>
      </c>
      <c r="E1960">
        <v>-6.27</v>
      </c>
      <c r="F1960">
        <v>-17.25</v>
      </c>
      <c r="G1960">
        <v>46.23</v>
      </c>
      <c r="I1960">
        <v>-10.44</v>
      </c>
      <c r="J1960">
        <v>15.41</v>
      </c>
      <c r="K1960">
        <v>-5.15</v>
      </c>
      <c r="L1960">
        <v>-14.52</v>
      </c>
      <c r="M1960">
        <v>10.8</v>
      </c>
    </row>
    <row r="1961" spans="1:14">
      <c r="A1961" s="2" t="s">
        <v>1989</v>
      </c>
      <c r="B1961" t="s">
        <v>5782</v>
      </c>
      <c r="C1961">
        <v>17.14</v>
      </c>
      <c r="D1961">
        <v>2.0099999999999998</v>
      </c>
      <c r="E1961">
        <v>5.82</v>
      </c>
      <c r="F1961">
        <v>6.47</v>
      </c>
      <c r="G1961">
        <v>15.51</v>
      </c>
      <c r="H1961">
        <v>-22.59</v>
      </c>
      <c r="I1961">
        <v>-38.479999999999997</v>
      </c>
      <c r="J1961">
        <v>-33.24</v>
      </c>
      <c r="K1961">
        <v>-28.09</v>
      </c>
      <c r="L1961">
        <v>-33.26</v>
      </c>
      <c r="M1961">
        <v>-8.11</v>
      </c>
      <c r="N1961">
        <v>-47.2</v>
      </c>
    </row>
  </sheetData>
  <phoneticPr fontId="2" type="noConversion"/>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R1960"/>
  <sheetViews>
    <sheetView workbookViewId="0">
      <selection activeCell="M7" sqref="M7"/>
    </sheetView>
  </sheetViews>
  <sheetFormatPr defaultRowHeight="14.5"/>
  <cols>
    <col min="3" max="3" width="9.09765625" style="5"/>
    <col min="4" max="4" width="13.296875" style="7" customWidth="1"/>
    <col min="5" max="7" width="16.59765625" style="7" customWidth="1"/>
    <col min="8" max="8" width="7.09765625" style="7" customWidth="1"/>
    <col min="9" max="9" width="10.3984375" style="7" customWidth="1"/>
    <col min="10" max="10" width="11.59765625" style="7" customWidth="1"/>
    <col min="11" max="11" width="9.09765625" style="7"/>
    <col min="12" max="12" width="21.09765625" style="7" customWidth="1"/>
    <col min="13" max="13" width="12.8984375" style="7" customWidth="1"/>
    <col min="14" max="14" width="21.09765625" style="7" customWidth="1"/>
    <col min="15" max="15" width="24" style="7" customWidth="1"/>
    <col min="16" max="17" width="7.3984375" style="7" customWidth="1"/>
    <col min="18" max="18" width="16.59765625" style="7" customWidth="1"/>
  </cols>
  <sheetData>
    <row r="1" spans="3:18">
      <c r="D1" s="6">
        <v>2</v>
      </c>
      <c r="E1" s="6">
        <v>3</v>
      </c>
      <c r="F1" s="6">
        <v>4</v>
      </c>
      <c r="G1" s="6">
        <v>5</v>
      </c>
      <c r="H1" s="6">
        <v>6</v>
      </c>
      <c r="I1" s="6">
        <v>7</v>
      </c>
      <c r="K1" s="6">
        <v>2</v>
      </c>
      <c r="N1" s="6">
        <v>11</v>
      </c>
      <c r="O1" s="6">
        <v>12</v>
      </c>
      <c r="R1" s="6">
        <v>5</v>
      </c>
    </row>
    <row r="3" spans="3:18" ht="64">
      <c r="C3" s="8" t="s">
        <v>5813</v>
      </c>
      <c r="D3" s="9" t="s">
        <v>5814</v>
      </c>
      <c r="E3" s="10" t="s">
        <v>5815</v>
      </c>
      <c r="F3" s="11" t="s">
        <v>5816</v>
      </c>
      <c r="G3" s="12" t="s">
        <v>5817</v>
      </c>
      <c r="H3" s="13" t="s">
        <v>5818</v>
      </c>
      <c r="I3" s="13" t="s">
        <v>5819</v>
      </c>
      <c r="J3" s="12" t="s">
        <v>5820</v>
      </c>
      <c r="K3" s="12" t="s">
        <v>5821</v>
      </c>
      <c r="L3" s="14" t="s">
        <v>5822</v>
      </c>
      <c r="M3" s="15" t="s">
        <v>5823</v>
      </c>
      <c r="N3" s="16" t="s">
        <v>5824</v>
      </c>
      <c r="O3" s="16" t="s">
        <v>5825</v>
      </c>
      <c r="P3" s="17" t="s">
        <v>5826</v>
      </c>
      <c r="Q3" s="18" t="s">
        <v>5827</v>
      </c>
      <c r="R3" s="12" t="s">
        <v>5828</v>
      </c>
    </row>
    <row r="4" spans="3:18" ht="16">
      <c r="C4" s="19" t="s">
        <v>5829</v>
      </c>
      <c r="D4" s="20" t="s">
        <v>1990</v>
      </c>
      <c r="E4" s="21" t="s">
        <v>5830</v>
      </c>
      <c r="F4" s="21" t="s">
        <v>5831</v>
      </c>
      <c r="G4" s="22" t="s">
        <v>5833</v>
      </c>
      <c r="H4" s="22" t="s">
        <v>7828</v>
      </c>
      <c r="I4" s="22">
        <v>1860.3</v>
      </c>
      <c r="J4" s="23">
        <v>45526</v>
      </c>
      <c r="K4" s="22" t="s">
        <v>5832</v>
      </c>
      <c r="L4" s="24" t="s">
        <v>5833</v>
      </c>
      <c r="M4" s="15" t="s">
        <v>5833</v>
      </c>
      <c r="N4" s="25" t="s">
        <v>5834</v>
      </c>
      <c r="O4" s="25" t="s">
        <v>5835</v>
      </c>
      <c r="R4" s="22" t="s">
        <v>5833</v>
      </c>
    </row>
    <row r="5" spans="3:18" ht="16">
      <c r="C5" s="19" t="s">
        <v>35</v>
      </c>
      <c r="D5" s="20" t="s">
        <v>1991</v>
      </c>
      <c r="E5" s="21" t="s">
        <v>5830</v>
      </c>
      <c r="F5" s="21" t="s">
        <v>5831</v>
      </c>
      <c r="G5" s="22" t="s">
        <v>5833</v>
      </c>
      <c r="H5" s="22" t="s">
        <v>7828</v>
      </c>
      <c r="I5" s="22">
        <v>1471.8</v>
      </c>
      <c r="K5" s="22" t="s">
        <v>5835</v>
      </c>
      <c r="L5" s="24" t="s">
        <v>5836</v>
      </c>
      <c r="M5" s="15" t="s">
        <v>5836</v>
      </c>
      <c r="N5" s="25" t="s">
        <v>5837</v>
      </c>
      <c r="O5" s="25" t="s">
        <v>5835</v>
      </c>
      <c r="R5" s="22" t="s">
        <v>5833</v>
      </c>
    </row>
    <row r="6" spans="3:18" ht="16">
      <c r="C6" s="19" t="s">
        <v>36</v>
      </c>
      <c r="D6" s="20" t="s">
        <v>1992</v>
      </c>
      <c r="E6" s="21" t="s">
        <v>5830</v>
      </c>
      <c r="F6" s="21" t="s">
        <v>5831</v>
      </c>
      <c r="G6" s="22" t="s">
        <v>5833</v>
      </c>
      <c r="H6" s="22" t="s">
        <v>5835</v>
      </c>
      <c r="I6" s="22">
        <v>113.4</v>
      </c>
      <c r="K6" s="22" t="s">
        <v>5835</v>
      </c>
      <c r="L6" s="24" t="s">
        <v>5838</v>
      </c>
      <c r="M6" s="15" t="s">
        <v>5838</v>
      </c>
      <c r="N6" s="25" t="s">
        <v>5839</v>
      </c>
      <c r="O6" s="25" t="s">
        <v>5835</v>
      </c>
      <c r="R6" s="22" t="s">
        <v>5833</v>
      </c>
    </row>
    <row r="7" spans="3:18" ht="34">
      <c r="C7" s="19" t="s">
        <v>37</v>
      </c>
      <c r="D7" s="20" t="s">
        <v>1993</v>
      </c>
      <c r="E7" s="21" t="s">
        <v>5830</v>
      </c>
      <c r="F7" s="21" t="s">
        <v>5831</v>
      </c>
      <c r="G7" s="22" t="s">
        <v>5833</v>
      </c>
      <c r="H7" s="22" t="s">
        <v>5835</v>
      </c>
      <c r="I7" s="22">
        <v>187.8</v>
      </c>
      <c r="K7" s="22" t="s">
        <v>5835</v>
      </c>
      <c r="L7" s="24" t="s">
        <v>5840</v>
      </c>
      <c r="M7" s="26" t="s">
        <v>5841</v>
      </c>
      <c r="N7" s="25" t="s">
        <v>5842</v>
      </c>
      <c r="O7" s="25" t="s">
        <v>5835</v>
      </c>
      <c r="R7" s="22" t="s">
        <v>5833</v>
      </c>
    </row>
    <row r="8" spans="3:18" ht="29">
      <c r="C8" s="19" t="s">
        <v>38</v>
      </c>
      <c r="D8" s="20" t="s">
        <v>1994</v>
      </c>
      <c r="E8" s="21" t="s">
        <v>5830</v>
      </c>
      <c r="F8" s="21" t="s">
        <v>5831</v>
      </c>
      <c r="G8" s="22" t="s">
        <v>5833</v>
      </c>
      <c r="H8" s="22" t="s">
        <v>5835</v>
      </c>
      <c r="I8" s="22">
        <v>59.7</v>
      </c>
      <c r="K8" s="22" t="s">
        <v>5835</v>
      </c>
      <c r="L8" s="24" t="s">
        <v>5843</v>
      </c>
      <c r="M8" s="27" t="s">
        <v>5844</v>
      </c>
      <c r="N8" s="25" t="s">
        <v>5845</v>
      </c>
      <c r="O8" s="25" t="s">
        <v>5835</v>
      </c>
      <c r="R8" s="22" t="s">
        <v>5833</v>
      </c>
    </row>
    <row r="9" spans="3:18" ht="29">
      <c r="C9" s="19" t="s">
        <v>39</v>
      </c>
      <c r="D9" s="20" t="s">
        <v>1995</v>
      </c>
      <c r="E9" s="21" t="s">
        <v>5830</v>
      </c>
      <c r="F9" s="21" t="s">
        <v>5831</v>
      </c>
      <c r="G9" s="22" t="s">
        <v>5833</v>
      </c>
      <c r="H9" s="22" t="s">
        <v>5835</v>
      </c>
      <c r="I9" s="22">
        <v>56.8</v>
      </c>
      <c r="K9" s="22" t="s">
        <v>5835</v>
      </c>
      <c r="L9" s="24" t="s">
        <v>5846</v>
      </c>
      <c r="M9" s="27" t="s">
        <v>5847</v>
      </c>
      <c r="N9" s="25" t="s">
        <v>5848</v>
      </c>
      <c r="O9" s="25" t="s">
        <v>5835</v>
      </c>
      <c r="R9" s="22" t="s">
        <v>5833</v>
      </c>
    </row>
    <row r="10" spans="3:18" ht="16">
      <c r="C10" s="19" t="s">
        <v>40</v>
      </c>
      <c r="D10" s="20" t="s">
        <v>1996</v>
      </c>
      <c r="E10" s="21" t="s">
        <v>5830</v>
      </c>
      <c r="F10" s="21" t="s">
        <v>5831</v>
      </c>
      <c r="G10" s="22" t="s">
        <v>5833</v>
      </c>
      <c r="H10" s="22" t="s">
        <v>5835</v>
      </c>
      <c r="I10" s="22">
        <v>102.4</v>
      </c>
      <c r="K10" s="22" t="s">
        <v>5835</v>
      </c>
      <c r="L10" s="24" t="s">
        <v>5849</v>
      </c>
      <c r="M10" s="15" t="s">
        <v>5849</v>
      </c>
      <c r="N10" s="25" t="s">
        <v>5850</v>
      </c>
      <c r="O10" s="25" t="s">
        <v>5835</v>
      </c>
      <c r="R10" s="22" t="s">
        <v>5833</v>
      </c>
    </row>
    <row r="11" spans="3:18" ht="16">
      <c r="C11" s="19" t="s">
        <v>41</v>
      </c>
      <c r="D11" s="20" t="s">
        <v>1997</v>
      </c>
      <c r="E11" s="21" t="s">
        <v>5851</v>
      </c>
      <c r="F11" s="21" t="s">
        <v>5852</v>
      </c>
      <c r="G11" s="22" t="s">
        <v>5836</v>
      </c>
      <c r="H11" s="22" t="s">
        <v>5835</v>
      </c>
      <c r="I11" s="22">
        <v>83</v>
      </c>
      <c r="K11" s="22" t="s">
        <v>5835</v>
      </c>
      <c r="L11" s="24" t="s">
        <v>5853</v>
      </c>
      <c r="M11" s="15" t="s">
        <v>5853</v>
      </c>
      <c r="N11" s="25" t="s">
        <v>5854</v>
      </c>
      <c r="O11" s="25" t="s">
        <v>5835</v>
      </c>
      <c r="R11" s="22" t="s">
        <v>5836</v>
      </c>
    </row>
    <row r="12" spans="3:18" ht="16">
      <c r="C12" s="19" t="s">
        <v>42</v>
      </c>
      <c r="D12" s="20" t="s">
        <v>1998</v>
      </c>
      <c r="E12" s="21" t="s">
        <v>5851</v>
      </c>
      <c r="F12" s="21" t="s">
        <v>5852</v>
      </c>
      <c r="G12" s="22" t="s">
        <v>5836</v>
      </c>
      <c r="H12" s="22" t="s">
        <v>5835</v>
      </c>
      <c r="I12" s="22">
        <v>96.7</v>
      </c>
      <c r="K12" s="22" t="s">
        <v>5835</v>
      </c>
      <c r="L12" s="24" t="s">
        <v>5855</v>
      </c>
      <c r="M12" s="15" t="s">
        <v>5855</v>
      </c>
      <c r="N12" s="25" t="s">
        <v>5856</v>
      </c>
      <c r="O12" s="25" t="s">
        <v>5835</v>
      </c>
      <c r="Q12" s="5"/>
      <c r="R12" s="22" t="s">
        <v>5836</v>
      </c>
    </row>
    <row r="13" spans="3:18" ht="16">
      <c r="C13" s="19" t="s">
        <v>43</v>
      </c>
      <c r="D13" s="20" t="s">
        <v>1999</v>
      </c>
      <c r="E13" s="21" t="s">
        <v>5851</v>
      </c>
      <c r="F13" s="21" t="s">
        <v>5852</v>
      </c>
      <c r="G13" s="22" t="s">
        <v>5836</v>
      </c>
      <c r="H13" s="22" t="s">
        <v>7828</v>
      </c>
      <c r="I13" s="22">
        <v>569.1</v>
      </c>
      <c r="K13" s="22" t="s">
        <v>5835</v>
      </c>
      <c r="L13" s="24" t="s">
        <v>5857</v>
      </c>
      <c r="M13" s="15" t="s">
        <v>5857</v>
      </c>
      <c r="N13" s="25" t="s">
        <v>5858</v>
      </c>
      <c r="O13" s="25" t="s">
        <v>5835</v>
      </c>
      <c r="R13" s="22" t="s">
        <v>5836</v>
      </c>
    </row>
    <row r="14" spans="3:18" ht="29">
      <c r="C14" s="19" t="s">
        <v>44</v>
      </c>
      <c r="D14" s="20" t="s">
        <v>2000</v>
      </c>
      <c r="E14" s="21" t="s">
        <v>5851</v>
      </c>
      <c r="F14" s="21" t="s">
        <v>5852</v>
      </c>
      <c r="G14" s="22" t="s">
        <v>5836</v>
      </c>
      <c r="H14" s="22" t="s">
        <v>5835</v>
      </c>
      <c r="I14" s="22">
        <v>7.2</v>
      </c>
      <c r="K14" s="22" t="s">
        <v>5835</v>
      </c>
      <c r="L14" s="24" t="s">
        <v>5859</v>
      </c>
      <c r="M14" s="27" t="s">
        <v>5860</v>
      </c>
      <c r="N14" s="25" t="s">
        <v>5861</v>
      </c>
      <c r="O14" s="25" t="s">
        <v>5835</v>
      </c>
      <c r="R14" s="22" t="s">
        <v>5836</v>
      </c>
    </row>
    <row r="15" spans="3:18" ht="29">
      <c r="C15" s="19" t="s">
        <v>45</v>
      </c>
      <c r="D15" s="20" t="s">
        <v>2001</v>
      </c>
      <c r="E15" s="21" t="s">
        <v>5851</v>
      </c>
      <c r="F15" s="21" t="s">
        <v>5852</v>
      </c>
      <c r="G15" s="22" t="s">
        <v>5836</v>
      </c>
      <c r="H15" s="22" t="s">
        <v>7828</v>
      </c>
      <c r="I15" s="22">
        <v>377.3</v>
      </c>
      <c r="K15" s="22" t="s">
        <v>5835</v>
      </c>
      <c r="L15" s="24" t="s">
        <v>5862</v>
      </c>
      <c r="M15" s="27" t="s">
        <v>5863</v>
      </c>
      <c r="N15" s="25" t="s">
        <v>5864</v>
      </c>
      <c r="O15" s="25" t="s">
        <v>5835</v>
      </c>
      <c r="R15" s="22" t="s">
        <v>5836</v>
      </c>
    </row>
    <row r="16" spans="3:18" ht="16">
      <c r="C16" s="19" t="s">
        <v>46</v>
      </c>
      <c r="D16" s="20" t="s">
        <v>2002</v>
      </c>
      <c r="E16" s="21" t="s">
        <v>5851</v>
      </c>
      <c r="F16" s="21" t="s">
        <v>5852</v>
      </c>
      <c r="G16" s="22" t="s">
        <v>5836</v>
      </c>
      <c r="H16" s="22" t="s">
        <v>7828</v>
      </c>
      <c r="I16" s="22">
        <v>4772.8999999999996</v>
      </c>
      <c r="K16" s="22" t="s">
        <v>5832</v>
      </c>
      <c r="L16" s="24" t="s">
        <v>5865</v>
      </c>
      <c r="M16" s="15" t="s">
        <v>5865</v>
      </c>
      <c r="N16" s="25" t="s">
        <v>5866</v>
      </c>
      <c r="O16" s="25" t="s">
        <v>5835</v>
      </c>
      <c r="R16" s="22" t="s">
        <v>5836</v>
      </c>
    </row>
    <row r="17" spans="3:18" ht="29">
      <c r="C17" s="19" t="s">
        <v>47</v>
      </c>
      <c r="D17" s="20" t="s">
        <v>2003</v>
      </c>
      <c r="E17" s="21" t="s">
        <v>5851</v>
      </c>
      <c r="F17" s="21" t="s">
        <v>5852</v>
      </c>
      <c r="G17" s="22" t="s">
        <v>5836</v>
      </c>
      <c r="H17" s="22" t="s">
        <v>5835</v>
      </c>
      <c r="I17" s="22">
        <v>51.9</v>
      </c>
      <c r="K17" s="22" t="s">
        <v>5835</v>
      </c>
      <c r="L17" s="24" t="s">
        <v>5867</v>
      </c>
      <c r="M17" s="27" t="s">
        <v>5868</v>
      </c>
      <c r="N17" s="25" t="s">
        <v>5836</v>
      </c>
      <c r="O17" s="25" t="s">
        <v>5835</v>
      </c>
      <c r="R17" s="22" t="s">
        <v>5836</v>
      </c>
    </row>
    <row r="18" spans="3:18" ht="16">
      <c r="C18" s="19" t="s">
        <v>48</v>
      </c>
      <c r="D18" s="20" t="s">
        <v>2004</v>
      </c>
      <c r="E18" s="21" t="s">
        <v>5851</v>
      </c>
      <c r="F18" s="21" t="s">
        <v>5852</v>
      </c>
      <c r="G18" s="22" t="s">
        <v>5836</v>
      </c>
      <c r="H18" s="22" t="s">
        <v>5835</v>
      </c>
      <c r="I18" s="22">
        <v>97.8</v>
      </c>
      <c r="K18" s="22" t="s">
        <v>5835</v>
      </c>
      <c r="L18" s="24" t="s">
        <v>5869</v>
      </c>
      <c r="M18" s="15" t="s">
        <v>5869</v>
      </c>
      <c r="N18" s="25" t="s">
        <v>5870</v>
      </c>
      <c r="O18" s="25" t="s">
        <v>5835</v>
      </c>
      <c r="R18" s="22" t="s">
        <v>5836</v>
      </c>
    </row>
    <row r="19" spans="3:18" ht="34">
      <c r="C19" s="19" t="s">
        <v>49</v>
      </c>
      <c r="D19" s="20" t="s">
        <v>2005</v>
      </c>
      <c r="E19" s="21" t="s">
        <v>5851</v>
      </c>
      <c r="F19" s="21" t="s">
        <v>5852</v>
      </c>
      <c r="G19" s="22" t="s">
        <v>5836</v>
      </c>
      <c r="H19" s="22" t="s">
        <v>5835</v>
      </c>
      <c r="I19" s="22">
        <v>49.3</v>
      </c>
      <c r="K19" s="22" t="s">
        <v>5835</v>
      </c>
      <c r="L19" s="24" t="s">
        <v>12</v>
      </c>
      <c r="M19" s="26" t="s">
        <v>5871</v>
      </c>
      <c r="N19" s="25" t="s">
        <v>5872</v>
      </c>
      <c r="O19" s="25" t="s">
        <v>5835</v>
      </c>
      <c r="R19" s="22" t="s">
        <v>5836</v>
      </c>
    </row>
    <row r="20" spans="3:18" ht="16">
      <c r="C20" s="19" t="s">
        <v>50</v>
      </c>
      <c r="D20" s="20" t="s">
        <v>2006</v>
      </c>
      <c r="E20" s="21" t="s">
        <v>5851</v>
      </c>
      <c r="F20" s="21" t="s">
        <v>5852</v>
      </c>
      <c r="G20" s="22" t="s">
        <v>5836</v>
      </c>
      <c r="H20" s="22" t="s">
        <v>5835</v>
      </c>
      <c r="I20" s="22">
        <v>24.7</v>
      </c>
      <c r="K20" s="22" t="s">
        <v>5835</v>
      </c>
      <c r="L20" s="24" t="s">
        <v>5873</v>
      </c>
      <c r="M20" s="15" t="s">
        <v>5873</v>
      </c>
      <c r="N20" s="25" t="s">
        <v>5874</v>
      </c>
      <c r="O20" s="25" t="s">
        <v>5835</v>
      </c>
      <c r="R20" s="22" t="s">
        <v>5836</v>
      </c>
    </row>
    <row r="21" spans="3:18" ht="16">
      <c r="C21" s="19" t="s">
        <v>51</v>
      </c>
      <c r="D21" s="20" t="s">
        <v>2007</v>
      </c>
      <c r="E21" s="21" t="s">
        <v>5851</v>
      </c>
      <c r="F21" s="21" t="s">
        <v>5852</v>
      </c>
      <c r="G21" s="22" t="s">
        <v>5836</v>
      </c>
      <c r="H21" s="22" t="s">
        <v>5835</v>
      </c>
      <c r="I21" s="22">
        <v>69</v>
      </c>
      <c r="K21" s="22" t="s">
        <v>5835</v>
      </c>
      <c r="L21" s="24" t="s">
        <v>5875</v>
      </c>
      <c r="M21" s="27" t="s">
        <v>5875</v>
      </c>
      <c r="N21" s="25" t="s">
        <v>5876</v>
      </c>
      <c r="O21" s="25" t="s">
        <v>5835</v>
      </c>
      <c r="R21" s="22" t="s">
        <v>5836</v>
      </c>
    </row>
    <row r="22" spans="3:18" ht="16">
      <c r="C22" s="19" t="s">
        <v>52</v>
      </c>
      <c r="D22" s="20" t="s">
        <v>2008</v>
      </c>
      <c r="E22" s="21" t="s">
        <v>5851</v>
      </c>
      <c r="F22" s="21" t="s">
        <v>5852</v>
      </c>
      <c r="G22" s="22" t="s">
        <v>5836</v>
      </c>
      <c r="H22" s="22" t="s">
        <v>7828</v>
      </c>
      <c r="I22" s="22">
        <v>297.89999999999998</v>
      </c>
      <c r="K22" s="22" t="s">
        <v>5835</v>
      </c>
      <c r="L22" s="24" t="s">
        <v>5877</v>
      </c>
      <c r="M22" s="15" t="s">
        <v>5877</v>
      </c>
      <c r="N22" s="25" t="s">
        <v>5878</v>
      </c>
      <c r="O22" s="25" t="s">
        <v>5835</v>
      </c>
      <c r="R22" s="22" t="s">
        <v>5836</v>
      </c>
    </row>
    <row r="23" spans="3:18" ht="16">
      <c r="C23" s="19" t="s">
        <v>53</v>
      </c>
      <c r="D23" s="20" t="s">
        <v>2009</v>
      </c>
      <c r="E23" s="21" t="s">
        <v>5851</v>
      </c>
      <c r="F23" s="21" t="s">
        <v>5852</v>
      </c>
      <c r="G23" s="22" t="s">
        <v>5836</v>
      </c>
      <c r="H23" s="22" t="s">
        <v>7828</v>
      </c>
      <c r="I23" s="22">
        <v>792.8</v>
      </c>
      <c r="K23" s="22" t="s">
        <v>5835</v>
      </c>
      <c r="L23" s="24" t="s">
        <v>5879</v>
      </c>
      <c r="M23" s="15" t="s">
        <v>5879</v>
      </c>
      <c r="N23" s="25" t="s">
        <v>5880</v>
      </c>
      <c r="O23" s="25" t="s">
        <v>5835</v>
      </c>
      <c r="R23" s="22" t="s">
        <v>5836</v>
      </c>
    </row>
    <row r="24" spans="3:18" ht="16">
      <c r="C24" s="19" t="s">
        <v>54</v>
      </c>
      <c r="D24" s="20" t="s">
        <v>2010</v>
      </c>
      <c r="E24" s="21" t="s">
        <v>5851</v>
      </c>
      <c r="F24" s="21" t="s">
        <v>5852</v>
      </c>
      <c r="G24" s="22" t="s">
        <v>5836</v>
      </c>
      <c r="H24" s="22" t="s">
        <v>7828</v>
      </c>
      <c r="I24" s="22">
        <v>382.5</v>
      </c>
      <c r="K24" s="22" t="s">
        <v>5835</v>
      </c>
      <c r="L24" s="24" t="s">
        <v>5881</v>
      </c>
      <c r="M24" s="15" t="s">
        <v>5881</v>
      </c>
      <c r="N24" s="25" t="s">
        <v>5836</v>
      </c>
      <c r="O24" s="25" t="s">
        <v>5835</v>
      </c>
      <c r="R24" s="22" t="s">
        <v>5836</v>
      </c>
    </row>
    <row r="25" spans="3:18" ht="16">
      <c r="C25" s="19" t="s">
        <v>55</v>
      </c>
      <c r="D25" s="20" t="s">
        <v>2011</v>
      </c>
      <c r="E25" s="21" t="s">
        <v>5851</v>
      </c>
      <c r="F25" s="21" t="s">
        <v>5852</v>
      </c>
      <c r="G25" s="22" t="s">
        <v>5836</v>
      </c>
      <c r="H25" s="22" t="s">
        <v>5835</v>
      </c>
      <c r="I25" s="22">
        <v>241.6</v>
      </c>
      <c r="K25" s="22" t="s">
        <v>5835</v>
      </c>
      <c r="L25" s="24" t="s">
        <v>5882</v>
      </c>
      <c r="M25" s="15" t="s">
        <v>5882</v>
      </c>
      <c r="N25" s="25" t="s">
        <v>5883</v>
      </c>
      <c r="O25" s="25" t="s">
        <v>5835</v>
      </c>
      <c r="R25" s="22" t="s">
        <v>5836</v>
      </c>
    </row>
    <row r="26" spans="3:18" ht="29">
      <c r="C26" s="19" t="s">
        <v>56</v>
      </c>
      <c r="D26" s="20" t="s">
        <v>2012</v>
      </c>
      <c r="E26" s="21" t="s">
        <v>5851</v>
      </c>
      <c r="F26" s="21" t="s">
        <v>5852</v>
      </c>
      <c r="G26" s="22" t="s">
        <v>5836</v>
      </c>
      <c r="H26" s="22" t="s">
        <v>5835</v>
      </c>
      <c r="I26" s="22">
        <v>28.3</v>
      </c>
      <c r="K26" s="22" t="s">
        <v>5835</v>
      </c>
      <c r="L26" s="24" t="s">
        <v>5884</v>
      </c>
      <c r="M26" s="27" t="s">
        <v>5885</v>
      </c>
      <c r="N26" s="25" t="s">
        <v>5886</v>
      </c>
      <c r="O26" s="25" t="s">
        <v>5835</v>
      </c>
      <c r="R26" s="22" t="s">
        <v>5836</v>
      </c>
    </row>
    <row r="27" spans="3:18" ht="16">
      <c r="C27" s="19" t="s">
        <v>57</v>
      </c>
      <c r="D27" s="20" t="s">
        <v>2013</v>
      </c>
      <c r="E27" s="21" t="s">
        <v>5851</v>
      </c>
      <c r="F27" s="21" t="s">
        <v>5852</v>
      </c>
      <c r="G27" s="22" t="s">
        <v>5836</v>
      </c>
      <c r="H27" s="22" t="s">
        <v>5835</v>
      </c>
      <c r="I27" s="22">
        <v>161.6</v>
      </c>
      <c r="K27" s="22" t="s">
        <v>5835</v>
      </c>
      <c r="L27" s="24" t="s">
        <v>5887</v>
      </c>
      <c r="M27" s="15" t="s">
        <v>5887</v>
      </c>
      <c r="N27" s="25" t="s">
        <v>5888</v>
      </c>
      <c r="O27" s="25" t="s">
        <v>5835</v>
      </c>
      <c r="R27" s="22" t="s">
        <v>5836</v>
      </c>
    </row>
    <row r="28" spans="3:18" ht="16">
      <c r="C28" s="19" t="s">
        <v>58</v>
      </c>
      <c r="D28" s="20" t="s">
        <v>2014</v>
      </c>
      <c r="E28" s="21" t="s">
        <v>5851</v>
      </c>
      <c r="F28" s="21" t="s">
        <v>5852</v>
      </c>
      <c r="G28" s="22" t="s">
        <v>5836</v>
      </c>
      <c r="H28" s="22" t="s">
        <v>5835</v>
      </c>
      <c r="I28" s="22">
        <v>106.8</v>
      </c>
      <c r="K28" s="22" t="s">
        <v>5835</v>
      </c>
      <c r="L28" s="24" t="s">
        <v>5889</v>
      </c>
      <c r="M28" s="15" t="s">
        <v>5889</v>
      </c>
      <c r="N28" s="25" t="s">
        <v>5890</v>
      </c>
      <c r="O28" s="25" t="s">
        <v>5835</v>
      </c>
      <c r="R28" s="22" t="s">
        <v>5836</v>
      </c>
    </row>
    <row r="29" spans="3:18" ht="16">
      <c r="C29" s="19" t="s">
        <v>59</v>
      </c>
      <c r="D29" s="20" t="s">
        <v>2015</v>
      </c>
      <c r="E29" s="21" t="s">
        <v>5851</v>
      </c>
      <c r="F29" s="21" t="s">
        <v>5852</v>
      </c>
      <c r="G29" s="22" t="s">
        <v>5836</v>
      </c>
      <c r="H29" s="22" t="s">
        <v>5835</v>
      </c>
      <c r="I29" s="22">
        <v>18.7</v>
      </c>
      <c r="K29" s="22" t="s">
        <v>5835</v>
      </c>
      <c r="L29" s="24" t="s">
        <v>5891</v>
      </c>
      <c r="M29" s="15" t="s">
        <v>5891</v>
      </c>
      <c r="N29" s="25" t="s">
        <v>5892</v>
      </c>
      <c r="O29" s="25" t="s">
        <v>5835</v>
      </c>
      <c r="R29" s="22" t="s">
        <v>5836</v>
      </c>
    </row>
    <row r="30" spans="3:18" ht="16">
      <c r="C30" s="19" t="s">
        <v>61</v>
      </c>
      <c r="D30" s="20" t="s">
        <v>2017</v>
      </c>
      <c r="E30" s="21" t="s">
        <v>5851</v>
      </c>
      <c r="F30" s="21" t="s">
        <v>5852</v>
      </c>
      <c r="G30" s="22" t="s">
        <v>5836</v>
      </c>
      <c r="H30" s="22" t="s">
        <v>5835</v>
      </c>
      <c r="I30" s="22">
        <v>39.9</v>
      </c>
      <c r="K30" s="22" t="s">
        <v>5835</v>
      </c>
      <c r="L30" s="24" t="s">
        <v>5893</v>
      </c>
      <c r="M30" s="15" t="s">
        <v>5893</v>
      </c>
      <c r="N30" s="25" t="s">
        <v>5894</v>
      </c>
      <c r="O30" s="25" t="s">
        <v>5835</v>
      </c>
      <c r="R30" s="22" t="s">
        <v>5836</v>
      </c>
    </row>
    <row r="31" spans="3:18" ht="16">
      <c r="C31" s="19" t="s">
        <v>67</v>
      </c>
      <c r="D31" s="20" t="s">
        <v>2021</v>
      </c>
      <c r="E31" s="21" t="s">
        <v>5895</v>
      </c>
      <c r="F31" s="21" t="s">
        <v>5896</v>
      </c>
      <c r="G31" s="22" t="s">
        <v>5838</v>
      </c>
      <c r="H31" s="22" t="s">
        <v>7828</v>
      </c>
      <c r="I31" s="22">
        <v>2196.1999999999998</v>
      </c>
      <c r="K31" s="22" t="s">
        <v>5832</v>
      </c>
      <c r="L31" s="24" t="s">
        <v>5897</v>
      </c>
      <c r="M31" s="15" t="s">
        <v>5897</v>
      </c>
      <c r="N31" s="25" t="s">
        <v>5898</v>
      </c>
      <c r="O31" s="25" t="s">
        <v>5835</v>
      </c>
      <c r="R31" s="22" t="s">
        <v>5838</v>
      </c>
    </row>
    <row r="32" spans="3:18" ht="29">
      <c r="C32" s="19" t="s">
        <v>68</v>
      </c>
      <c r="D32" s="20" t="s">
        <v>2022</v>
      </c>
      <c r="E32" s="21" t="s">
        <v>5895</v>
      </c>
      <c r="F32" s="21" t="s">
        <v>5896</v>
      </c>
      <c r="G32" s="22" t="s">
        <v>5838</v>
      </c>
      <c r="H32" s="22" t="s">
        <v>7828</v>
      </c>
      <c r="I32" s="22">
        <v>2165.1</v>
      </c>
      <c r="K32" s="22" t="s">
        <v>5832</v>
      </c>
      <c r="L32" s="24" t="s">
        <v>5899</v>
      </c>
      <c r="M32" s="27" t="s">
        <v>5900</v>
      </c>
      <c r="N32" s="25" t="s">
        <v>5901</v>
      </c>
      <c r="O32" s="25" t="s">
        <v>5835</v>
      </c>
      <c r="R32" s="22" t="s">
        <v>5838</v>
      </c>
    </row>
    <row r="33" spans="3:18" ht="16">
      <c r="C33" s="19" t="s">
        <v>69</v>
      </c>
      <c r="D33" s="20" t="s">
        <v>2023</v>
      </c>
      <c r="E33" s="21" t="s">
        <v>5895</v>
      </c>
      <c r="F33" s="21" t="s">
        <v>5896</v>
      </c>
      <c r="G33" s="22" t="s">
        <v>5838</v>
      </c>
      <c r="H33" s="22" t="s">
        <v>5835</v>
      </c>
      <c r="I33" s="22">
        <v>109.6</v>
      </c>
      <c r="K33" s="22" t="s">
        <v>5835</v>
      </c>
      <c r="L33" s="24" t="s">
        <v>5902</v>
      </c>
      <c r="M33" s="15" t="s">
        <v>5902</v>
      </c>
      <c r="N33" s="25" t="s">
        <v>5903</v>
      </c>
      <c r="O33" s="25" t="s">
        <v>5835</v>
      </c>
      <c r="R33" s="22" t="s">
        <v>5838</v>
      </c>
    </row>
    <row r="34" spans="3:18" ht="16">
      <c r="C34" s="19" t="s">
        <v>70</v>
      </c>
      <c r="D34" s="20" t="s">
        <v>2024</v>
      </c>
      <c r="E34" s="21" t="s">
        <v>5895</v>
      </c>
      <c r="F34" s="21" t="s">
        <v>5896</v>
      </c>
      <c r="G34" s="22" t="s">
        <v>5838</v>
      </c>
      <c r="H34" s="22" t="s">
        <v>5835</v>
      </c>
      <c r="I34" s="22">
        <v>56.5</v>
      </c>
      <c r="K34" s="22" t="s">
        <v>5835</v>
      </c>
      <c r="L34" s="24" t="s">
        <v>5904</v>
      </c>
      <c r="M34" s="15" t="s">
        <v>5904</v>
      </c>
      <c r="N34" s="25" t="s">
        <v>5905</v>
      </c>
      <c r="O34" s="25" t="s">
        <v>5835</v>
      </c>
      <c r="R34" s="22" t="s">
        <v>5838</v>
      </c>
    </row>
    <row r="35" spans="3:18" ht="29">
      <c r="C35" s="19" t="s">
        <v>71</v>
      </c>
      <c r="D35" s="20" t="s">
        <v>2025</v>
      </c>
      <c r="E35" s="21" t="s">
        <v>5895</v>
      </c>
      <c r="F35" s="21" t="s">
        <v>5896</v>
      </c>
      <c r="G35" s="22" t="s">
        <v>5838</v>
      </c>
      <c r="H35" s="22" t="s">
        <v>5835</v>
      </c>
      <c r="I35" s="22">
        <v>128.30000000000001</v>
      </c>
      <c r="K35" s="22" t="s">
        <v>5835</v>
      </c>
      <c r="L35" s="24" t="s">
        <v>5906</v>
      </c>
      <c r="M35" s="27" t="s">
        <v>5907</v>
      </c>
      <c r="N35" s="25" t="s">
        <v>5908</v>
      </c>
      <c r="O35" s="25" t="s">
        <v>5835</v>
      </c>
      <c r="R35" s="22" t="s">
        <v>5838</v>
      </c>
    </row>
    <row r="36" spans="3:18" ht="16">
      <c r="C36" s="19" t="s">
        <v>72</v>
      </c>
      <c r="D36" s="20" t="s">
        <v>2026</v>
      </c>
      <c r="E36" s="21" t="s">
        <v>5895</v>
      </c>
      <c r="F36" s="21" t="s">
        <v>5896</v>
      </c>
      <c r="G36" s="22" t="s">
        <v>5838</v>
      </c>
      <c r="H36" s="22" t="s">
        <v>5835</v>
      </c>
      <c r="I36" s="22">
        <v>66.2</v>
      </c>
      <c r="K36" s="22" t="s">
        <v>5835</v>
      </c>
      <c r="L36" s="24" t="s">
        <v>5909</v>
      </c>
      <c r="M36" s="15" t="s">
        <v>5909</v>
      </c>
      <c r="N36" s="25" t="s">
        <v>5910</v>
      </c>
      <c r="O36" s="25" t="s">
        <v>5835</v>
      </c>
      <c r="R36" s="22" t="s">
        <v>5838</v>
      </c>
    </row>
    <row r="37" spans="3:18" ht="16">
      <c r="C37" s="19" t="s">
        <v>73</v>
      </c>
      <c r="D37" s="20" t="s">
        <v>2027</v>
      </c>
      <c r="E37" s="21" t="s">
        <v>5895</v>
      </c>
      <c r="F37" s="21" t="s">
        <v>5896</v>
      </c>
      <c r="G37" s="22" t="s">
        <v>5838</v>
      </c>
      <c r="H37" s="22" t="s">
        <v>5835</v>
      </c>
      <c r="I37" s="22">
        <v>39.700000000000003</v>
      </c>
      <c r="K37" s="22" t="s">
        <v>5835</v>
      </c>
      <c r="L37" s="24" t="s">
        <v>5911</v>
      </c>
      <c r="M37" s="15" t="s">
        <v>5911</v>
      </c>
      <c r="N37" s="25" t="s">
        <v>5912</v>
      </c>
      <c r="O37" s="25" t="s">
        <v>5835</v>
      </c>
      <c r="R37" s="22" t="s">
        <v>5838</v>
      </c>
    </row>
    <row r="38" spans="3:18" ht="16">
      <c r="C38" s="19" t="s">
        <v>74</v>
      </c>
      <c r="D38" s="20" t="s">
        <v>2028</v>
      </c>
      <c r="E38" s="21" t="s">
        <v>5895</v>
      </c>
      <c r="F38" s="21" t="s">
        <v>5896</v>
      </c>
      <c r="G38" s="22" t="s">
        <v>5838</v>
      </c>
      <c r="H38" s="22" t="s">
        <v>5835</v>
      </c>
      <c r="I38" s="22">
        <v>40.200000000000003</v>
      </c>
      <c r="K38" s="22" t="s">
        <v>5835</v>
      </c>
      <c r="L38" s="24" t="s">
        <v>5913</v>
      </c>
      <c r="M38" s="15" t="s">
        <v>5913</v>
      </c>
      <c r="N38" s="25" t="s">
        <v>5914</v>
      </c>
      <c r="O38" s="25" t="s">
        <v>5835</v>
      </c>
      <c r="R38" s="22" t="s">
        <v>5838</v>
      </c>
    </row>
    <row r="39" spans="3:18" ht="16">
      <c r="C39" s="19" t="s">
        <v>75</v>
      </c>
      <c r="D39" s="20" t="s">
        <v>2029</v>
      </c>
      <c r="E39" s="21" t="s">
        <v>5895</v>
      </c>
      <c r="F39" s="21" t="s">
        <v>5896</v>
      </c>
      <c r="G39" s="22" t="s">
        <v>5838</v>
      </c>
      <c r="H39" s="22" t="s">
        <v>5835</v>
      </c>
      <c r="I39" s="22">
        <v>102.6</v>
      </c>
      <c r="K39" s="22" t="s">
        <v>5835</v>
      </c>
      <c r="L39" s="24" t="s">
        <v>5915</v>
      </c>
      <c r="M39" s="15" t="s">
        <v>5916</v>
      </c>
      <c r="N39" s="25" t="s">
        <v>5917</v>
      </c>
      <c r="O39" s="25" t="s">
        <v>5835</v>
      </c>
      <c r="R39" s="22" t="s">
        <v>5838</v>
      </c>
    </row>
    <row r="40" spans="3:18" ht="16">
      <c r="C40" s="19" t="s">
        <v>76</v>
      </c>
      <c r="D40" s="20" t="s">
        <v>2030</v>
      </c>
      <c r="E40" s="21" t="s">
        <v>5895</v>
      </c>
      <c r="F40" s="21" t="s">
        <v>5896</v>
      </c>
      <c r="G40" s="22" t="s">
        <v>5838</v>
      </c>
      <c r="H40" s="22" t="s">
        <v>7828</v>
      </c>
      <c r="I40" s="22">
        <v>107.1</v>
      </c>
      <c r="K40" s="22" t="s">
        <v>5835</v>
      </c>
      <c r="L40" s="24" t="s">
        <v>5918</v>
      </c>
      <c r="M40" s="15" t="s">
        <v>5918</v>
      </c>
      <c r="N40" s="25" t="s">
        <v>5919</v>
      </c>
      <c r="O40" s="25" t="s">
        <v>5835</v>
      </c>
      <c r="R40" s="22" t="s">
        <v>5838</v>
      </c>
    </row>
    <row r="41" spans="3:18" ht="16">
      <c r="C41" s="19" t="s">
        <v>77</v>
      </c>
      <c r="D41" s="20" t="s">
        <v>2031</v>
      </c>
      <c r="E41" s="21" t="s">
        <v>5895</v>
      </c>
      <c r="F41" s="21" t="s">
        <v>5896</v>
      </c>
      <c r="G41" s="22" t="s">
        <v>5838</v>
      </c>
      <c r="H41" s="22" t="s">
        <v>5835</v>
      </c>
      <c r="I41" s="22">
        <v>250.6</v>
      </c>
      <c r="K41" s="22" t="s">
        <v>5835</v>
      </c>
      <c r="L41" s="24" t="s">
        <v>5920</v>
      </c>
      <c r="M41" s="15" t="s">
        <v>5920</v>
      </c>
      <c r="N41" s="25" t="s">
        <v>5921</v>
      </c>
      <c r="O41" s="25" t="s">
        <v>5835</v>
      </c>
      <c r="R41" s="22" t="s">
        <v>5838</v>
      </c>
    </row>
    <row r="42" spans="3:18" ht="16">
      <c r="C42" s="19" t="s">
        <v>78</v>
      </c>
      <c r="D42" s="20" t="s">
        <v>2032</v>
      </c>
      <c r="E42" s="21" t="s">
        <v>5895</v>
      </c>
      <c r="F42" s="21" t="s">
        <v>5896</v>
      </c>
      <c r="G42" s="22" t="s">
        <v>5838</v>
      </c>
      <c r="H42" s="22" t="s">
        <v>5835</v>
      </c>
      <c r="I42" s="22">
        <v>65.599999999999994</v>
      </c>
      <c r="K42" s="22" t="s">
        <v>5835</v>
      </c>
      <c r="L42" s="24" t="s">
        <v>14</v>
      </c>
      <c r="M42" s="15" t="s">
        <v>14</v>
      </c>
      <c r="N42" s="25" t="s">
        <v>5922</v>
      </c>
      <c r="O42" s="25" t="s">
        <v>5835</v>
      </c>
      <c r="R42" s="22" t="s">
        <v>5838</v>
      </c>
    </row>
    <row r="43" spans="3:18" ht="16">
      <c r="C43" s="19" t="s">
        <v>79</v>
      </c>
      <c r="D43" s="20" t="s">
        <v>2033</v>
      </c>
      <c r="E43" s="21" t="s">
        <v>5923</v>
      </c>
      <c r="F43" s="21" t="s">
        <v>5831</v>
      </c>
      <c r="G43" s="22" t="s">
        <v>5840</v>
      </c>
      <c r="H43" s="22" t="s">
        <v>5835</v>
      </c>
      <c r="I43" s="22">
        <v>49.4</v>
      </c>
      <c r="K43" s="22" t="s">
        <v>5835</v>
      </c>
      <c r="L43" s="24" t="s">
        <v>5924</v>
      </c>
      <c r="M43" s="15" t="s">
        <v>5924</v>
      </c>
      <c r="N43" s="25" t="s">
        <v>5925</v>
      </c>
      <c r="O43" s="25" t="s">
        <v>5835</v>
      </c>
      <c r="R43" s="22" t="s">
        <v>5840</v>
      </c>
    </row>
    <row r="44" spans="3:18" ht="16">
      <c r="C44" s="19" t="s">
        <v>80</v>
      </c>
      <c r="D44" s="20" t="s">
        <v>2034</v>
      </c>
      <c r="E44" s="21" t="s">
        <v>5926</v>
      </c>
      <c r="F44" s="21" t="s">
        <v>5927</v>
      </c>
      <c r="G44" s="22" t="s">
        <v>5843</v>
      </c>
      <c r="H44" s="22" t="s">
        <v>7828</v>
      </c>
      <c r="I44" s="22">
        <v>554.79999999999995</v>
      </c>
      <c r="K44" s="22" t="s">
        <v>5835</v>
      </c>
      <c r="L44" s="24" t="s">
        <v>5928</v>
      </c>
      <c r="M44" s="27" t="s">
        <v>5928</v>
      </c>
      <c r="N44" s="25" t="s">
        <v>5929</v>
      </c>
      <c r="O44" s="25" t="s">
        <v>5835</v>
      </c>
      <c r="R44" s="22" t="s">
        <v>5843</v>
      </c>
    </row>
    <row r="45" spans="3:18" ht="29">
      <c r="C45" s="19" t="s">
        <v>81</v>
      </c>
      <c r="D45" s="20" t="s">
        <v>2035</v>
      </c>
      <c r="E45" s="21" t="s">
        <v>5895</v>
      </c>
      <c r="F45" s="21" t="s">
        <v>5896</v>
      </c>
      <c r="G45" s="22" t="s">
        <v>5838</v>
      </c>
      <c r="H45" s="22" t="s">
        <v>5835</v>
      </c>
      <c r="I45" s="22">
        <v>80.400000000000006</v>
      </c>
      <c r="K45" s="22" t="s">
        <v>5835</v>
      </c>
      <c r="L45" s="24" t="s">
        <v>5930</v>
      </c>
      <c r="M45" s="27" t="s">
        <v>5931</v>
      </c>
      <c r="N45" s="25" t="s">
        <v>5932</v>
      </c>
      <c r="O45" s="25" t="s">
        <v>5835</v>
      </c>
      <c r="R45" s="22" t="s">
        <v>5838</v>
      </c>
    </row>
    <row r="46" spans="3:18" ht="16">
      <c r="C46" s="19" t="s">
        <v>82</v>
      </c>
      <c r="D46" s="20" t="s">
        <v>2036</v>
      </c>
      <c r="E46" s="21" t="s">
        <v>5895</v>
      </c>
      <c r="F46" s="21" t="s">
        <v>5896</v>
      </c>
      <c r="G46" s="22" t="s">
        <v>5838</v>
      </c>
      <c r="H46" s="22" t="s">
        <v>5835</v>
      </c>
      <c r="I46" s="22">
        <v>18.100000000000001</v>
      </c>
      <c r="K46" s="22" t="s">
        <v>5835</v>
      </c>
      <c r="L46" s="24" t="s">
        <v>5933</v>
      </c>
      <c r="M46" s="15" t="s">
        <v>5933</v>
      </c>
      <c r="N46" s="25" t="s">
        <v>5934</v>
      </c>
      <c r="O46" s="25" t="s">
        <v>5835</v>
      </c>
      <c r="R46" s="22" t="s">
        <v>5838</v>
      </c>
    </row>
    <row r="47" spans="3:18" ht="16">
      <c r="C47" s="19" t="s">
        <v>83</v>
      </c>
      <c r="D47" s="20" t="s">
        <v>2037</v>
      </c>
      <c r="E47" s="21" t="s">
        <v>5895</v>
      </c>
      <c r="F47" s="21" t="s">
        <v>5896</v>
      </c>
      <c r="G47" s="22" t="s">
        <v>5838</v>
      </c>
      <c r="H47" s="22" t="s">
        <v>5835</v>
      </c>
      <c r="I47" s="22">
        <v>8</v>
      </c>
      <c r="K47" s="22" t="s">
        <v>5835</v>
      </c>
      <c r="L47" s="24" t="s">
        <v>5935</v>
      </c>
      <c r="M47" s="15" t="s">
        <v>5935</v>
      </c>
      <c r="N47" s="25" t="s">
        <v>5936</v>
      </c>
      <c r="O47" s="25" t="s">
        <v>5835</v>
      </c>
      <c r="R47" s="22" t="s">
        <v>5838</v>
      </c>
    </row>
    <row r="48" spans="3:18" ht="29">
      <c r="C48" s="19" t="s">
        <v>84</v>
      </c>
      <c r="D48" s="20" t="s">
        <v>2038</v>
      </c>
      <c r="E48" s="21" t="s">
        <v>5895</v>
      </c>
      <c r="F48" s="21" t="s">
        <v>5896</v>
      </c>
      <c r="G48" s="22" t="s">
        <v>7827</v>
      </c>
      <c r="H48" s="22" t="s">
        <v>5835</v>
      </c>
      <c r="I48" s="22">
        <v>24.5</v>
      </c>
      <c r="K48" s="22" t="s">
        <v>5835</v>
      </c>
      <c r="L48" s="24" t="s">
        <v>5937</v>
      </c>
      <c r="M48" s="27" t="s">
        <v>5938</v>
      </c>
      <c r="N48" s="25" t="s">
        <v>5939</v>
      </c>
      <c r="O48" s="25" t="s">
        <v>5835</v>
      </c>
      <c r="R48" s="22" t="s">
        <v>5940</v>
      </c>
    </row>
    <row r="49" spans="3:18" ht="16">
      <c r="C49" s="19" t="s">
        <v>85</v>
      </c>
      <c r="D49" s="20" t="s">
        <v>2039</v>
      </c>
      <c r="E49" s="21" t="s">
        <v>5895</v>
      </c>
      <c r="F49" s="21" t="s">
        <v>5896</v>
      </c>
      <c r="G49" s="22" t="s">
        <v>5838</v>
      </c>
      <c r="H49" s="22" t="s">
        <v>7828</v>
      </c>
      <c r="I49" s="22">
        <v>1330.5</v>
      </c>
      <c r="K49" s="22" t="s">
        <v>5832</v>
      </c>
      <c r="L49" s="24" t="s">
        <v>5941</v>
      </c>
      <c r="M49" s="15" t="s">
        <v>5941</v>
      </c>
      <c r="N49" s="25" t="s">
        <v>5942</v>
      </c>
      <c r="O49" s="25" t="s">
        <v>5835</v>
      </c>
      <c r="R49" s="22" t="s">
        <v>5838</v>
      </c>
    </row>
    <row r="50" spans="3:18" ht="16">
      <c r="C50" s="19" t="s">
        <v>87</v>
      </c>
      <c r="D50" s="20" t="s">
        <v>2041</v>
      </c>
      <c r="E50" s="21" t="s">
        <v>5895</v>
      </c>
      <c r="F50" s="21" t="s">
        <v>5896</v>
      </c>
      <c r="G50" s="22" t="s">
        <v>5838</v>
      </c>
      <c r="H50" s="22" t="s">
        <v>5835</v>
      </c>
      <c r="I50" s="22">
        <v>14.3</v>
      </c>
      <c r="K50" s="22" t="s">
        <v>5835</v>
      </c>
      <c r="L50" s="24" t="s">
        <v>5943</v>
      </c>
      <c r="M50" s="27" t="s">
        <v>5943</v>
      </c>
      <c r="N50" s="25" t="s">
        <v>5944</v>
      </c>
      <c r="O50" s="25" t="s">
        <v>5835</v>
      </c>
      <c r="R50" s="22" t="s">
        <v>5838</v>
      </c>
    </row>
    <row r="51" spans="3:18" ht="16">
      <c r="C51" s="19" t="s">
        <v>88</v>
      </c>
      <c r="D51" s="20" t="s">
        <v>2042</v>
      </c>
      <c r="E51" s="21" t="s">
        <v>5926</v>
      </c>
      <c r="F51" s="21" t="s">
        <v>5927</v>
      </c>
      <c r="G51" s="22" t="s">
        <v>5843</v>
      </c>
      <c r="H51" s="22" t="s">
        <v>5835</v>
      </c>
      <c r="I51" s="22">
        <v>19.7</v>
      </c>
      <c r="K51" s="22" t="s">
        <v>5835</v>
      </c>
      <c r="L51" s="24" t="s">
        <v>5945</v>
      </c>
      <c r="M51" s="27" t="s">
        <v>5945</v>
      </c>
      <c r="N51" s="25" t="s">
        <v>5946</v>
      </c>
      <c r="O51" s="25" t="s">
        <v>5835</v>
      </c>
      <c r="R51" s="22" t="s">
        <v>5843</v>
      </c>
    </row>
    <row r="52" spans="3:18" ht="16">
      <c r="C52" s="19" t="s">
        <v>89</v>
      </c>
      <c r="D52" s="20" t="s">
        <v>2043</v>
      </c>
      <c r="E52" s="21" t="s">
        <v>5926</v>
      </c>
      <c r="F52" s="21" t="s">
        <v>5927</v>
      </c>
      <c r="G52" s="22" t="s">
        <v>5843</v>
      </c>
      <c r="H52" s="22" t="s">
        <v>5835</v>
      </c>
      <c r="I52" s="22">
        <v>36</v>
      </c>
      <c r="K52" s="22" t="s">
        <v>5835</v>
      </c>
      <c r="L52" s="24" t="s">
        <v>5947</v>
      </c>
      <c r="M52" s="27" t="s">
        <v>5947</v>
      </c>
      <c r="N52" s="25" t="s">
        <v>5948</v>
      </c>
      <c r="O52" s="25" t="s">
        <v>5835</v>
      </c>
      <c r="R52" s="22" t="s">
        <v>5843</v>
      </c>
    </row>
    <row r="53" spans="3:18" ht="29">
      <c r="C53" s="19" t="s">
        <v>90</v>
      </c>
      <c r="D53" s="20" t="s">
        <v>2044</v>
      </c>
      <c r="E53" s="21" t="s">
        <v>5895</v>
      </c>
      <c r="F53" s="21" t="s">
        <v>5896</v>
      </c>
      <c r="G53" s="22" t="s">
        <v>5838</v>
      </c>
      <c r="H53" s="22" t="s">
        <v>5835</v>
      </c>
      <c r="I53" s="22">
        <v>9.6</v>
      </c>
      <c r="K53" s="22" t="s">
        <v>5835</v>
      </c>
      <c r="L53" s="24" t="s">
        <v>5949</v>
      </c>
      <c r="M53" s="27" t="s">
        <v>5950</v>
      </c>
      <c r="N53" s="25" t="s">
        <v>5951</v>
      </c>
      <c r="O53" s="25" t="s">
        <v>5835</v>
      </c>
      <c r="R53" s="22" t="s">
        <v>5838</v>
      </c>
    </row>
    <row r="54" spans="3:18" ht="16">
      <c r="C54" s="19" t="s">
        <v>91</v>
      </c>
      <c r="D54" s="20" t="s">
        <v>2045</v>
      </c>
      <c r="E54" s="21" t="s">
        <v>5895</v>
      </c>
      <c r="F54" s="21" t="s">
        <v>5896</v>
      </c>
      <c r="G54" s="22" t="s">
        <v>5838</v>
      </c>
      <c r="H54" s="22" t="s">
        <v>5835</v>
      </c>
      <c r="I54" s="22">
        <v>35.4</v>
      </c>
      <c r="K54" s="22" t="s">
        <v>5835</v>
      </c>
      <c r="L54" s="24" t="s">
        <v>5952</v>
      </c>
      <c r="M54" s="27" t="s">
        <v>5952</v>
      </c>
      <c r="N54" s="25" t="s">
        <v>5953</v>
      </c>
      <c r="O54" s="25" t="s">
        <v>5835</v>
      </c>
      <c r="R54" s="22" t="s">
        <v>5838</v>
      </c>
    </row>
    <row r="55" spans="3:18" ht="16">
      <c r="C55" s="19" t="s">
        <v>92</v>
      </c>
      <c r="D55" s="20" t="s">
        <v>2046</v>
      </c>
      <c r="E55" s="21" t="s">
        <v>5895</v>
      </c>
      <c r="F55" s="21" t="s">
        <v>5896</v>
      </c>
      <c r="G55" s="22" t="s">
        <v>5838</v>
      </c>
      <c r="H55" s="22" t="s">
        <v>5835</v>
      </c>
      <c r="I55" s="22">
        <v>65.599999999999994</v>
      </c>
      <c r="K55" s="22" t="s">
        <v>5835</v>
      </c>
      <c r="L55" s="24" t="s">
        <v>5954</v>
      </c>
      <c r="M55" s="15" t="s">
        <v>5954</v>
      </c>
      <c r="N55" s="25" t="s">
        <v>5955</v>
      </c>
      <c r="O55" s="25" t="s">
        <v>5835</v>
      </c>
      <c r="R55" s="22" t="s">
        <v>5838</v>
      </c>
    </row>
    <row r="56" spans="3:18" ht="16">
      <c r="C56" s="19" t="s">
        <v>93</v>
      </c>
      <c r="D56" s="20" t="s">
        <v>2047</v>
      </c>
      <c r="E56" s="21" t="s">
        <v>5956</v>
      </c>
      <c r="F56" s="21" t="s">
        <v>5957</v>
      </c>
      <c r="G56" s="22" t="s">
        <v>5846</v>
      </c>
      <c r="H56" s="22" t="s">
        <v>7828</v>
      </c>
      <c r="I56" s="22">
        <v>1758.4</v>
      </c>
      <c r="K56" s="22" t="s">
        <v>5835</v>
      </c>
      <c r="L56" s="24" t="s">
        <v>5958</v>
      </c>
      <c r="M56" s="15" t="s">
        <v>5958</v>
      </c>
      <c r="N56" s="25" t="s">
        <v>5959</v>
      </c>
      <c r="O56" s="25" t="s">
        <v>5835</v>
      </c>
      <c r="R56" s="22" t="s">
        <v>5846</v>
      </c>
    </row>
    <row r="57" spans="3:18" ht="16">
      <c r="C57" s="19" t="s">
        <v>94</v>
      </c>
      <c r="D57" s="20" t="s">
        <v>2048</v>
      </c>
      <c r="E57" s="21" t="s">
        <v>5956</v>
      </c>
      <c r="F57" s="21" t="s">
        <v>5957</v>
      </c>
      <c r="G57" s="22" t="s">
        <v>5846</v>
      </c>
      <c r="H57" s="22" t="s">
        <v>5835</v>
      </c>
      <c r="I57" s="22">
        <v>196.6</v>
      </c>
      <c r="K57" s="22" t="s">
        <v>5835</v>
      </c>
      <c r="L57" s="24" t="s">
        <v>5960</v>
      </c>
      <c r="M57" s="15" t="s">
        <v>5960</v>
      </c>
      <c r="N57" s="25" t="s">
        <v>5961</v>
      </c>
      <c r="O57" s="25" t="s">
        <v>5835</v>
      </c>
      <c r="R57" s="22" t="s">
        <v>5846</v>
      </c>
    </row>
    <row r="58" spans="3:18" ht="16">
      <c r="C58" s="19" t="s">
        <v>95</v>
      </c>
      <c r="D58" s="20" t="s">
        <v>2049</v>
      </c>
      <c r="E58" s="21" t="s">
        <v>5956</v>
      </c>
      <c r="F58" s="21" t="s">
        <v>5957</v>
      </c>
      <c r="G58" s="22" t="s">
        <v>5846</v>
      </c>
      <c r="H58" s="22" t="s">
        <v>5835</v>
      </c>
      <c r="I58" s="22">
        <v>21.9</v>
      </c>
      <c r="K58" s="22" t="s">
        <v>5835</v>
      </c>
      <c r="L58" s="24" t="s">
        <v>5962</v>
      </c>
      <c r="M58" s="27" t="s">
        <v>5962</v>
      </c>
      <c r="N58" s="25" t="s">
        <v>5963</v>
      </c>
      <c r="O58" s="25" t="s">
        <v>5835</v>
      </c>
      <c r="R58" s="22" t="s">
        <v>5846</v>
      </c>
    </row>
    <row r="59" spans="3:18" ht="16">
      <c r="C59" s="19" t="s">
        <v>96</v>
      </c>
      <c r="D59" s="20" t="s">
        <v>2050</v>
      </c>
      <c r="E59" s="21" t="s">
        <v>5956</v>
      </c>
      <c r="F59" s="21" t="s">
        <v>5957</v>
      </c>
      <c r="G59" s="22" t="s">
        <v>5846</v>
      </c>
      <c r="H59" s="22" t="s">
        <v>5835</v>
      </c>
      <c r="I59" s="22">
        <v>15.5</v>
      </c>
      <c r="K59" s="22" t="s">
        <v>5835</v>
      </c>
      <c r="L59" s="24" t="s">
        <v>5964</v>
      </c>
      <c r="M59" s="27" t="s">
        <v>5964</v>
      </c>
      <c r="N59" s="25" t="s">
        <v>5965</v>
      </c>
      <c r="O59" s="25" t="s">
        <v>5835</v>
      </c>
      <c r="R59" s="22" t="s">
        <v>5846</v>
      </c>
    </row>
    <row r="60" spans="3:18" ht="16">
      <c r="C60" s="19" t="s">
        <v>97</v>
      </c>
      <c r="D60" s="20" t="s">
        <v>2051</v>
      </c>
      <c r="E60" s="21" t="s">
        <v>5956</v>
      </c>
      <c r="F60" s="21" t="s">
        <v>5957</v>
      </c>
      <c r="G60" s="22" t="s">
        <v>5846</v>
      </c>
      <c r="H60" s="22" t="s">
        <v>5835</v>
      </c>
      <c r="I60" s="22">
        <v>39.9</v>
      </c>
      <c r="K60" s="22" t="s">
        <v>5835</v>
      </c>
      <c r="L60" s="24" t="s">
        <v>5966</v>
      </c>
      <c r="M60" s="15" t="s">
        <v>5966</v>
      </c>
      <c r="N60" s="25" t="s">
        <v>5967</v>
      </c>
      <c r="O60" s="25" t="s">
        <v>5835</v>
      </c>
      <c r="R60" s="22" t="s">
        <v>5846</v>
      </c>
    </row>
    <row r="61" spans="3:18" ht="16">
      <c r="C61" s="19" t="s">
        <v>98</v>
      </c>
      <c r="D61" s="20" t="s">
        <v>2052</v>
      </c>
      <c r="E61" s="21" t="s">
        <v>5968</v>
      </c>
      <c r="F61" s="21" t="s">
        <v>5969</v>
      </c>
      <c r="G61" s="22" t="s">
        <v>5846</v>
      </c>
      <c r="H61" s="22" t="s">
        <v>5835</v>
      </c>
      <c r="I61" s="22">
        <v>21.5</v>
      </c>
      <c r="K61" s="22" t="s">
        <v>5835</v>
      </c>
      <c r="L61" s="24" t="s">
        <v>5970</v>
      </c>
      <c r="M61" s="15" t="s">
        <v>5970</v>
      </c>
      <c r="N61" s="25" t="s">
        <v>5971</v>
      </c>
      <c r="O61" s="25" t="s">
        <v>5835</v>
      </c>
      <c r="R61" s="22" t="s">
        <v>5846</v>
      </c>
    </row>
    <row r="62" spans="3:18" ht="16">
      <c r="C62" s="19" t="s">
        <v>99</v>
      </c>
      <c r="D62" s="20" t="s">
        <v>2053</v>
      </c>
      <c r="E62" s="21" t="s">
        <v>5956</v>
      </c>
      <c r="F62" s="21" t="s">
        <v>5957</v>
      </c>
      <c r="G62" s="22" t="s">
        <v>5846</v>
      </c>
      <c r="H62" s="22" t="s">
        <v>5835</v>
      </c>
      <c r="I62" s="22">
        <v>15.1</v>
      </c>
      <c r="K62" s="22" t="s">
        <v>5835</v>
      </c>
      <c r="L62" s="24" t="s">
        <v>5972</v>
      </c>
      <c r="M62" s="27" t="s">
        <v>5972</v>
      </c>
      <c r="N62" s="25" t="s">
        <v>5973</v>
      </c>
      <c r="O62" s="25" t="s">
        <v>5835</v>
      </c>
      <c r="R62" s="22" t="s">
        <v>5846</v>
      </c>
    </row>
    <row r="63" spans="3:18" ht="16">
      <c r="C63" s="19" t="s">
        <v>100</v>
      </c>
      <c r="D63" s="20" t="s">
        <v>2054</v>
      </c>
      <c r="E63" s="21" t="s">
        <v>5956</v>
      </c>
      <c r="F63" s="21" t="s">
        <v>5957</v>
      </c>
      <c r="G63" s="22" t="s">
        <v>5846</v>
      </c>
      <c r="H63" s="22" t="s">
        <v>5835</v>
      </c>
      <c r="I63" s="22">
        <v>11.5</v>
      </c>
      <c r="K63" s="22" t="s">
        <v>5835</v>
      </c>
      <c r="L63" s="24" t="s">
        <v>5974</v>
      </c>
      <c r="M63" s="15" t="s">
        <v>5974</v>
      </c>
      <c r="N63" s="25" t="s">
        <v>5975</v>
      </c>
      <c r="O63" s="25" t="s">
        <v>5835</v>
      </c>
      <c r="R63" s="22" t="s">
        <v>5846</v>
      </c>
    </row>
    <row r="64" spans="3:18" ht="16">
      <c r="C64" s="19" t="s">
        <v>101</v>
      </c>
      <c r="D64" s="20" t="s">
        <v>2055</v>
      </c>
      <c r="E64" s="21" t="s">
        <v>5956</v>
      </c>
      <c r="F64" s="21" t="s">
        <v>5957</v>
      </c>
      <c r="G64" s="22" t="s">
        <v>7827</v>
      </c>
      <c r="H64" s="22" t="s">
        <v>5835</v>
      </c>
      <c r="I64" s="22">
        <v>171</v>
      </c>
      <c r="K64" s="22" t="s">
        <v>5835</v>
      </c>
      <c r="L64" s="24" t="s">
        <v>5976</v>
      </c>
      <c r="M64" s="27" t="s">
        <v>5976</v>
      </c>
      <c r="N64" s="25" t="s">
        <v>5977</v>
      </c>
      <c r="O64" s="25" t="s">
        <v>5835</v>
      </c>
      <c r="R64" s="22" t="s">
        <v>5940</v>
      </c>
    </row>
    <row r="65" spans="3:18" ht="16">
      <c r="C65" s="19" t="s">
        <v>102</v>
      </c>
      <c r="D65" s="20" t="s">
        <v>2056</v>
      </c>
      <c r="E65" s="21" t="s">
        <v>5956</v>
      </c>
      <c r="F65" s="21" t="s">
        <v>5957</v>
      </c>
      <c r="G65" s="22" t="s">
        <v>5846</v>
      </c>
      <c r="H65" s="22" t="s">
        <v>5835</v>
      </c>
      <c r="I65" s="22">
        <v>36.9</v>
      </c>
      <c r="K65" s="22" t="s">
        <v>5835</v>
      </c>
      <c r="L65" s="24" t="s">
        <v>5978</v>
      </c>
      <c r="M65" s="15" t="s">
        <v>5978</v>
      </c>
      <c r="N65" s="25" t="s">
        <v>5979</v>
      </c>
      <c r="O65" s="25" t="s">
        <v>5835</v>
      </c>
      <c r="R65" s="22" t="s">
        <v>5846</v>
      </c>
    </row>
    <row r="66" spans="3:18" ht="16">
      <c r="C66" s="19" t="s">
        <v>103</v>
      </c>
      <c r="D66" s="20" t="s">
        <v>2057</v>
      </c>
      <c r="E66" s="21" t="s">
        <v>5980</v>
      </c>
      <c r="F66" s="21" t="s">
        <v>5852</v>
      </c>
      <c r="G66" s="22" t="s">
        <v>5849</v>
      </c>
      <c r="H66" s="22" t="s">
        <v>5835</v>
      </c>
      <c r="I66" s="22">
        <v>18.3</v>
      </c>
      <c r="K66" s="22" t="s">
        <v>5835</v>
      </c>
      <c r="L66" s="24" t="s">
        <v>5981</v>
      </c>
      <c r="M66" s="27" t="s">
        <v>5981</v>
      </c>
      <c r="N66" s="25" t="s">
        <v>5982</v>
      </c>
      <c r="O66" s="25" t="s">
        <v>5835</v>
      </c>
      <c r="R66" s="22" t="s">
        <v>5849</v>
      </c>
    </row>
    <row r="67" spans="3:18" ht="16">
      <c r="C67" s="19" t="s">
        <v>104</v>
      </c>
      <c r="D67" s="20" t="s">
        <v>2058</v>
      </c>
      <c r="E67" s="21" t="s">
        <v>5956</v>
      </c>
      <c r="F67" s="21" t="s">
        <v>5957</v>
      </c>
      <c r="G67" s="22" t="s">
        <v>5846</v>
      </c>
      <c r="H67" s="22" t="s">
        <v>7828</v>
      </c>
      <c r="I67" s="22">
        <v>279.7</v>
      </c>
      <c r="K67" s="22" t="s">
        <v>5835</v>
      </c>
      <c r="L67" s="24" t="s">
        <v>5983</v>
      </c>
      <c r="M67" s="27" t="s">
        <v>5983</v>
      </c>
      <c r="N67" s="25" t="s">
        <v>5984</v>
      </c>
      <c r="O67" s="25" t="s">
        <v>5835</v>
      </c>
      <c r="R67" s="22" t="s">
        <v>5846</v>
      </c>
    </row>
    <row r="68" spans="3:18" ht="29">
      <c r="C68" s="19" t="s">
        <v>105</v>
      </c>
      <c r="D68" s="20" t="s">
        <v>2059</v>
      </c>
      <c r="E68" s="21" t="s">
        <v>5968</v>
      </c>
      <c r="F68" s="21" t="s">
        <v>5969</v>
      </c>
      <c r="G68" s="22" t="s">
        <v>5853</v>
      </c>
      <c r="H68" s="22" t="s">
        <v>5835</v>
      </c>
      <c r="I68" s="22">
        <v>45.4</v>
      </c>
      <c r="K68" s="22" t="s">
        <v>5835</v>
      </c>
      <c r="L68" s="24" t="s">
        <v>5985</v>
      </c>
      <c r="M68" s="27" t="s">
        <v>5986</v>
      </c>
      <c r="N68" s="25" t="s">
        <v>5987</v>
      </c>
      <c r="O68" s="25" t="s">
        <v>5835</v>
      </c>
      <c r="R68" s="22" t="s">
        <v>5853</v>
      </c>
    </row>
    <row r="69" spans="3:18" ht="29">
      <c r="C69" s="19" t="s">
        <v>106</v>
      </c>
      <c r="D69" s="20" t="s">
        <v>2060</v>
      </c>
      <c r="E69" s="21" t="s">
        <v>5923</v>
      </c>
      <c r="F69" s="21" t="s">
        <v>5831</v>
      </c>
      <c r="G69" s="22" t="s">
        <v>5840</v>
      </c>
      <c r="H69" s="22" t="s">
        <v>7828</v>
      </c>
      <c r="I69" s="22">
        <v>158.6</v>
      </c>
      <c r="K69" s="22" t="s">
        <v>5835</v>
      </c>
      <c r="L69" s="24" t="s">
        <v>5988</v>
      </c>
      <c r="M69" s="27" t="s">
        <v>5989</v>
      </c>
      <c r="N69" s="25" t="s">
        <v>5990</v>
      </c>
      <c r="O69" s="25" t="s">
        <v>5835</v>
      </c>
      <c r="R69" s="22" t="s">
        <v>5840</v>
      </c>
    </row>
    <row r="70" spans="3:18" ht="16">
      <c r="C70" s="19" t="s">
        <v>107</v>
      </c>
      <c r="D70" s="20" t="s">
        <v>2061</v>
      </c>
      <c r="E70" s="21" t="s">
        <v>5968</v>
      </c>
      <c r="F70" s="21" t="s">
        <v>5969</v>
      </c>
      <c r="G70" s="22" t="s">
        <v>5840</v>
      </c>
      <c r="H70" s="22" t="s">
        <v>5835</v>
      </c>
      <c r="I70" s="22">
        <v>67</v>
      </c>
      <c r="K70" s="22" t="s">
        <v>5835</v>
      </c>
      <c r="L70" s="24" t="s">
        <v>5991</v>
      </c>
      <c r="M70" s="15" t="s">
        <v>5991</v>
      </c>
      <c r="N70" s="25" t="s">
        <v>5992</v>
      </c>
      <c r="O70" s="25" t="s">
        <v>5835</v>
      </c>
      <c r="R70" s="22" t="s">
        <v>5840</v>
      </c>
    </row>
    <row r="71" spans="3:18" ht="16">
      <c r="C71" s="19" t="s">
        <v>108</v>
      </c>
      <c r="D71" s="20" t="s">
        <v>2062</v>
      </c>
      <c r="E71" s="21" t="s">
        <v>5923</v>
      </c>
      <c r="F71" s="21" t="s">
        <v>5831</v>
      </c>
      <c r="G71" s="22" t="s">
        <v>5840</v>
      </c>
      <c r="H71" s="22" t="s">
        <v>5835</v>
      </c>
      <c r="I71" s="22">
        <v>42.9</v>
      </c>
      <c r="K71" s="22" t="s">
        <v>5835</v>
      </c>
      <c r="L71" s="24" t="s">
        <v>5993</v>
      </c>
      <c r="M71" s="15" t="s">
        <v>5993</v>
      </c>
      <c r="N71" s="25" t="s">
        <v>5994</v>
      </c>
      <c r="O71" s="25" t="s">
        <v>5835</v>
      </c>
      <c r="R71" s="22" t="s">
        <v>5840</v>
      </c>
    </row>
    <row r="72" spans="3:18" ht="16">
      <c r="C72" s="19" t="s">
        <v>109</v>
      </c>
      <c r="D72" s="20" t="s">
        <v>2063</v>
      </c>
      <c r="E72" s="21" t="s">
        <v>5956</v>
      </c>
      <c r="F72" s="21" t="s">
        <v>5957</v>
      </c>
      <c r="G72" s="22" t="s">
        <v>5846</v>
      </c>
      <c r="H72" s="22" t="s">
        <v>5835</v>
      </c>
      <c r="I72" s="22">
        <v>27.7</v>
      </c>
      <c r="K72" s="22" t="s">
        <v>5835</v>
      </c>
      <c r="L72" s="24" t="s">
        <v>5995</v>
      </c>
      <c r="M72" s="27" t="s">
        <v>5995</v>
      </c>
      <c r="N72" s="25" t="s">
        <v>5996</v>
      </c>
      <c r="O72" s="25" t="s">
        <v>5835</v>
      </c>
      <c r="R72" s="22" t="s">
        <v>5846</v>
      </c>
    </row>
    <row r="73" spans="3:18" ht="16">
      <c r="C73" s="19" t="s">
        <v>110</v>
      </c>
      <c r="D73" s="20" t="s">
        <v>2064</v>
      </c>
      <c r="E73" s="21" t="s">
        <v>5956</v>
      </c>
      <c r="F73" s="21" t="s">
        <v>5957</v>
      </c>
      <c r="G73" s="22" t="s">
        <v>7827</v>
      </c>
      <c r="H73" s="22" t="s">
        <v>5835</v>
      </c>
      <c r="I73" s="22">
        <v>217</v>
      </c>
      <c r="K73" s="22" t="s">
        <v>5835</v>
      </c>
      <c r="L73" s="24" t="s">
        <v>5997</v>
      </c>
      <c r="M73" s="27" t="s">
        <v>5997</v>
      </c>
      <c r="N73" s="25" t="s">
        <v>5998</v>
      </c>
      <c r="O73" s="25" t="s">
        <v>5835</v>
      </c>
      <c r="R73" s="22" t="s">
        <v>5940</v>
      </c>
    </row>
    <row r="74" spans="3:18" ht="16">
      <c r="C74" s="19" t="s">
        <v>111</v>
      </c>
      <c r="D74" s="20" t="s">
        <v>2065</v>
      </c>
      <c r="E74" s="21" t="s">
        <v>5956</v>
      </c>
      <c r="F74" s="21" t="s">
        <v>5957</v>
      </c>
      <c r="G74" s="22" t="s">
        <v>5846</v>
      </c>
      <c r="H74" s="22" t="s">
        <v>5835</v>
      </c>
      <c r="I74" s="22">
        <v>8.3000000000000007</v>
      </c>
      <c r="K74" s="22" t="s">
        <v>5835</v>
      </c>
      <c r="L74" s="24" t="s">
        <v>5835</v>
      </c>
      <c r="M74" s="27" t="s">
        <v>5835</v>
      </c>
      <c r="N74" s="25" t="s">
        <v>5999</v>
      </c>
      <c r="O74" s="25" t="s">
        <v>5835</v>
      </c>
      <c r="R74" s="22" t="s">
        <v>5846</v>
      </c>
    </row>
    <row r="75" spans="3:18" ht="16">
      <c r="C75" s="19" t="s">
        <v>112</v>
      </c>
      <c r="D75" s="20" t="s">
        <v>2066</v>
      </c>
      <c r="E75" s="21" t="s">
        <v>5923</v>
      </c>
      <c r="F75" s="21" t="s">
        <v>5831</v>
      </c>
      <c r="G75" s="22" t="s">
        <v>5840</v>
      </c>
      <c r="H75" s="22" t="s">
        <v>7828</v>
      </c>
      <c r="I75" s="22">
        <v>261.5</v>
      </c>
      <c r="K75" s="22" t="s">
        <v>5835</v>
      </c>
      <c r="L75" s="24" t="s">
        <v>5835</v>
      </c>
      <c r="M75" s="27" t="s">
        <v>5835</v>
      </c>
      <c r="N75" s="25" t="s">
        <v>6000</v>
      </c>
      <c r="O75" s="25" t="s">
        <v>5835</v>
      </c>
      <c r="R75" s="22" t="s">
        <v>5840</v>
      </c>
    </row>
    <row r="76" spans="3:18" ht="16">
      <c r="C76" s="19" t="s">
        <v>113</v>
      </c>
      <c r="D76" s="20" t="s">
        <v>2067</v>
      </c>
      <c r="E76" s="21" t="s">
        <v>6001</v>
      </c>
      <c r="F76" s="21" t="s">
        <v>5966</v>
      </c>
      <c r="G76" s="22" t="s">
        <v>5846</v>
      </c>
      <c r="H76" s="22" t="s">
        <v>5835</v>
      </c>
      <c r="I76" s="22">
        <v>43</v>
      </c>
      <c r="K76" s="22" t="s">
        <v>5835</v>
      </c>
      <c r="L76" s="24" t="s">
        <v>5835</v>
      </c>
      <c r="M76" s="15" t="s">
        <v>5835</v>
      </c>
      <c r="N76" s="25" t="s">
        <v>6002</v>
      </c>
      <c r="O76" s="25" t="s">
        <v>5835</v>
      </c>
      <c r="R76" s="22" t="s">
        <v>5846</v>
      </c>
    </row>
    <row r="77" spans="3:18" ht="16">
      <c r="C77" s="19" t="s">
        <v>114</v>
      </c>
      <c r="D77" s="20" t="s">
        <v>2068</v>
      </c>
      <c r="E77" s="21" t="s">
        <v>5956</v>
      </c>
      <c r="F77" s="21" t="s">
        <v>5957</v>
      </c>
      <c r="G77" s="22" t="s">
        <v>5846</v>
      </c>
      <c r="H77" s="22" t="s">
        <v>5835</v>
      </c>
      <c r="I77" s="22">
        <v>63.6</v>
      </c>
      <c r="K77" s="22" t="s">
        <v>5835</v>
      </c>
      <c r="L77" s="24" t="s">
        <v>5835</v>
      </c>
      <c r="M77" s="27" t="s">
        <v>5835</v>
      </c>
      <c r="N77" s="25" t="s">
        <v>6003</v>
      </c>
      <c r="O77" s="25" t="s">
        <v>5835</v>
      </c>
      <c r="R77" s="22" t="s">
        <v>5846</v>
      </c>
    </row>
    <row r="78" spans="3:18" ht="16">
      <c r="C78" s="19" t="s">
        <v>115</v>
      </c>
      <c r="D78" s="20" t="s">
        <v>2069</v>
      </c>
      <c r="E78" s="21" t="s">
        <v>5956</v>
      </c>
      <c r="F78" s="21" t="s">
        <v>5957</v>
      </c>
      <c r="G78" s="22" t="s">
        <v>5846</v>
      </c>
      <c r="H78" s="22" t="s">
        <v>5835</v>
      </c>
      <c r="I78" s="22">
        <v>18.3</v>
      </c>
      <c r="K78" s="22" t="s">
        <v>5835</v>
      </c>
      <c r="L78" s="24" t="s">
        <v>5835</v>
      </c>
      <c r="M78" s="27" t="s">
        <v>5835</v>
      </c>
      <c r="N78" s="25" t="s">
        <v>6004</v>
      </c>
      <c r="O78" s="25" t="s">
        <v>5835</v>
      </c>
      <c r="R78" s="22" t="s">
        <v>5846</v>
      </c>
    </row>
    <row r="79" spans="3:18" ht="16">
      <c r="C79" s="19" t="s">
        <v>116</v>
      </c>
      <c r="D79" s="20" t="s">
        <v>2070</v>
      </c>
      <c r="E79" s="21" t="s">
        <v>5956</v>
      </c>
      <c r="F79" s="21" t="s">
        <v>5957</v>
      </c>
      <c r="G79" s="22" t="s">
        <v>5846</v>
      </c>
      <c r="H79" s="22" t="s">
        <v>5835</v>
      </c>
      <c r="I79" s="22">
        <v>32.9</v>
      </c>
      <c r="K79" s="22" t="s">
        <v>5835</v>
      </c>
      <c r="L79" s="24" t="s">
        <v>5835</v>
      </c>
      <c r="M79" s="27" t="s">
        <v>5835</v>
      </c>
      <c r="N79" s="25" t="s">
        <v>6005</v>
      </c>
      <c r="O79" s="25" t="s">
        <v>5835</v>
      </c>
      <c r="R79" s="22" t="s">
        <v>5846</v>
      </c>
    </row>
    <row r="80" spans="3:18" ht="16">
      <c r="C80" s="19" t="s">
        <v>117</v>
      </c>
      <c r="D80" s="20" t="s">
        <v>2071</v>
      </c>
      <c r="E80" s="21" t="s">
        <v>5956</v>
      </c>
      <c r="F80" s="21" t="s">
        <v>5957</v>
      </c>
      <c r="G80" s="22" t="s">
        <v>5846</v>
      </c>
      <c r="H80" s="22" t="s">
        <v>5835</v>
      </c>
      <c r="I80" s="22">
        <v>53.3</v>
      </c>
      <c r="K80" s="22" t="s">
        <v>5835</v>
      </c>
      <c r="L80" s="24" t="s">
        <v>5835</v>
      </c>
      <c r="M80" s="27" t="s">
        <v>5835</v>
      </c>
      <c r="N80" s="25" t="s">
        <v>6006</v>
      </c>
      <c r="O80" s="25" t="s">
        <v>5835</v>
      </c>
      <c r="R80" s="22" t="s">
        <v>5846</v>
      </c>
    </row>
    <row r="81" spans="3:18" ht="16">
      <c r="C81" s="19" t="s">
        <v>118</v>
      </c>
      <c r="D81" s="20" t="s">
        <v>2072</v>
      </c>
      <c r="E81" s="21" t="s">
        <v>5956</v>
      </c>
      <c r="F81" s="21" t="s">
        <v>5957</v>
      </c>
      <c r="G81" s="22" t="s">
        <v>5846</v>
      </c>
      <c r="H81" s="22" t="s">
        <v>5835</v>
      </c>
      <c r="I81" s="22">
        <v>12.4</v>
      </c>
      <c r="K81" s="22" t="s">
        <v>5835</v>
      </c>
      <c r="L81" s="24" t="s">
        <v>5835</v>
      </c>
      <c r="M81" s="27" t="s">
        <v>5835</v>
      </c>
      <c r="N81" s="25" t="s">
        <v>6007</v>
      </c>
      <c r="O81" s="25" t="s">
        <v>5835</v>
      </c>
      <c r="R81" s="22" t="s">
        <v>5846</v>
      </c>
    </row>
    <row r="82" spans="3:18" ht="16">
      <c r="C82" s="19" t="s">
        <v>119</v>
      </c>
      <c r="D82" s="20" t="s">
        <v>2073</v>
      </c>
      <c r="E82" s="21" t="s">
        <v>5956</v>
      </c>
      <c r="F82" s="21" t="s">
        <v>5957</v>
      </c>
      <c r="G82" s="22" t="s">
        <v>5846</v>
      </c>
      <c r="H82" s="22" t="s">
        <v>5835</v>
      </c>
      <c r="I82" s="22">
        <v>37.200000000000003</v>
      </c>
      <c r="K82" s="22" t="s">
        <v>5835</v>
      </c>
      <c r="L82" s="24" t="s">
        <v>5835</v>
      </c>
      <c r="M82" s="15" t="s">
        <v>5835</v>
      </c>
      <c r="N82" s="25" t="s">
        <v>6008</v>
      </c>
      <c r="O82" s="25" t="s">
        <v>5835</v>
      </c>
      <c r="R82" s="22" t="s">
        <v>5846</v>
      </c>
    </row>
    <row r="83" spans="3:18" ht="16">
      <c r="C83" s="19" t="s">
        <v>120</v>
      </c>
      <c r="D83" s="20" t="s">
        <v>2074</v>
      </c>
      <c r="E83" s="21" t="s">
        <v>5956</v>
      </c>
      <c r="F83" s="21" t="s">
        <v>5957</v>
      </c>
      <c r="G83" s="22" t="s">
        <v>5846</v>
      </c>
      <c r="H83" s="22" t="s">
        <v>5835</v>
      </c>
      <c r="I83" s="22">
        <v>15.1</v>
      </c>
      <c r="K83" s="22" t="s">
        <v>5835</v>
      </c>
      <c r="L83" s="24" t="s">
        <v>5835</v>
      </c>
      <c r="M83" s="15" t="s">
        <v>5835</v>
      </c>
      <c r="N83" s="25" t="s">
        <v>6009</v>
      </c>
      <c r="O83" s="25" t="s">
        <v>5835</v>
      </c>
      <c r="R83" s="22" t="s">
        <v>5846</v>
      </c>
    </row>
    <row r="84" spans="3:18" ht="16">
      <c r="C84" s="19" t="s">
        <v>121</v>
      </c>
      <c r="D84" s="20" t="s">
        <v>2075</v>
      </c>
      <c r="E84" s="21" t="s">
        <v>5923</v>
      </c>
      <c r="F84" s="21" t="s">
        <v>5831</v>
      </c>
      <c r="G84" s="22" t="s">
        <v>5846</v>
      </c>
      <c r="H84" s="22" t="s">
        <v>5835</v>
      </c>
      <c r="I84" s="22">
        <v>14.4</v>
      </c>
      <c r="K84" s="22" t="s">
        <v>5835</v>
      </c>
      <c r="L84" s="24" t="s">
        <v>5835</v>
      </c>
      <c r="M84" s="15" t="s">
        <v>5835</v>
      </c>
      <c r="N84" s="25" t="s">
        <v>6010</v>
      </c>
      <c r="O84" s="25" t="s">
        <v>5835</v>
      </c>
      <c r="R84" s="22" t="s">
        <v>5846</v>
      </c>
    </row>
    <row r="85" spans="3:18" ht="16">
      <c r="C85" s="19" t="s">
        <v>122</v>
      </c>
      <c r="D85" s="20" t="s">
        <v>2076</v>
      </c>
      <c r="E85" s="21" t="s">
        <v>5956</v>
      </c>
      <c r="F85" s="21" t="s">
        <v>5957</v>
      </c>
      <c r="G85" s="22" t="s">
        <v>5846</v>
      </c>
      <c r="H85" s="22" t="s">
        <v>5835</v>
      </c>
      <c r="I85" s="22">
        <v>19.3</v>
      </c>
      <c r="K85" s="22" t="s">
        <v>5835</v>
      </c>
      <c r="L85" s="24" t="s">
        <v>5835</v>
      </c>
      <c r="M85" s="15" t="s">
        <v>5835</v>
      </c>
      <c r="N85" s="25" t="s">
        <v>6011</v>
      </c>
      <c r="O85" s="25" t="s">
        <v>5835</v>
      </c>
      <c r="R85" s="22" t="s">
        <v>5846</v>
      </c>
    </row>
    <row r="86" spans="3:18" ht="16">
      <c r="C86" s="19" t="s">
        <v>123</v>
      </c>
      <c r="D86" s="20" t="s">
        <v>2077</v>
      </c>
      <c r="E86" s="21" t="s">
        <v>5956</v>
      </c>
      <c r="F86" s="21" t="s">
        <v>5957</v>
      </c>
      <c r="G86" s="22" t="s">
        <v>5846</v>
      </c>
      <c r="H86" s="22" t="s">
        <v>5835</v>
      </c>
      <c r="I86" s="22">
        <v>47</v>
      </c>
      <c r="K86" s="22" t="s">
        <v>5835</v>
      </c>
      <c r="L86" s="24" t="s">
        <v>5835</v>
      </c>
      <c r="M86" s="15"/>
      <c r="N86" s="25" t="s">
        <v>6012</v>
      </c>
      <c r="O86" s="25" t="s">
        <v>5835</v>
      </c>
      <c r="R86" s="22" t="s">
        <v>5846</v>
      </c>
    </row>
    <row r="87" spans="3:18" ht="16">
      <c r="C87" s="19" t="s">
        <v>124</v>
      </c>
      <c r="D87" s="20" t="s">
        <v>2078</v>
      </c>
      <c r="E87" s="21" t="s">
        <v>5923</v>
      </c>
      <c r="F87" s="21" t="s">
        <v>5831</v>
      </c>
      <c r="G87" s="22" t="s">
        <v>5846</v>
      </c>
      <c r="H87" s="22" t="s">
        <v>5835</v>
      </c>
      <c r="I87" s="22">
        <v>11.7</v>
      </c>
      <c r="K87" s="22" t="s">
        <v>5835</v>
      </c>
      <c r="L87" s="24" t="s">
        <v>5835</v>
      </c>
      <c r="M87" s="15"/>
      <c r="N87" s="25" t="s">
        <v>6013</v>
      </c>
      <c r="O87" s="25" t="s">
        <v>5835</v>
      </c>
      <c r="R87" s="22" t="s">
        <v>5846</v>
      </c>
    </row>
    <row r="88" spans="3:18" ht="16">
      <c r="C88" s="19" t="s">
        <v>125</v>
      </c>
      <c r="D88" s="20" t="s">
        <v>2079</v>
      </c>
      <c r="E88" s="21" t="s">
        <v>5956</v>
      </c>
      <c r="F88" s="21" t="s">
        <v>5957</v>
      </c>
      <c r="G88" s="22" t="s">
        <v>5846</v>
      </c>
      <c r="H88" s="22" t="s">
        <v>5835</v>
      </c>
      <c r="I88" s="22">
        <v>54.9</v>
      </c>
      <c r="K88" s="22" t="s">
        <v>5835</v>
      </c>
      <c r="L88" s="24" t="s">
        <v>5835</v>
      </c>
      <c r="M88" s="15"/>
      <c r="N88" s="25" t="s">
        <v>6014</v>
      </c>
      <c r="O88" s="25" t="s">
        <v>5835</v>
      </c>
      <c r="R88" s="22" t="s">
        <v>5846</v>
      </c>
    </row>
    <row r="89" spans="3:18" ht="16">
      <c r="C89" s="19" t="s">
        <v>126</v>
      </c>
      <c r="D89" s="20" t="s">
        <v>2080</v>
      </c>
      <c r="E89" s="21" t="s">
        <v>5956</v>
      </c>
      <c r="F89" s="21" t="s">
        <v>5957</v>
      </c>
      <c r="G89" s="22" t="s">
        <v>5846</v>
      </c>
      <c r="H89" s="22" t="s">
        <v>5835</v>
      </c>
      <c r="I89" s="22">
        <v>42.1</v>
      </c>
      <c r="K89" s="22" t="s">
        <v>5835</v>
      </c>
      <c r="L89" s="24" t="s">
        <v>5835</v>
      </c>
      <c r="M89" s="15"/>
      <c r="N89" s="25" t="s">
        <v>6015</v>
      </c>
      <c r="O89" s="25" t="s">
        <v>5835</v>
      </c>
      <c r="R89" s="22" t="s">
        <v>5846</v>
      </c>
    </row>
    <row r="90" spans="3:18" ht="16">
      <c r="C90" s="19" t="s">
        <v>127</v>
      </c>
      <c r="D90" s="20" t="s">
        <v>2081</v>
      </c>
      <c r="E90" s="21" t="s">
        <v>5956</v>
      </c>
      <c r="F90" s="21" t="s">
        <v>5957</v>
      </c>
      <c r="G90" s="22" t="s">
        <v>5846</v>
      </c>
      <c r="H90" s="22" t="s">
        <v>5835</v>
      </c>
      <c r="I90" s="22">
        <v>45.4</v>
      </c>
      <c r="K90" s="22" t="s">
        <v>5835</v>
      </c>
      <c r="L90" s="24" t="s">
        <v>5835</v>
      </c>
      <c r="M90" s="15"/>
      <c r="N90" s="25" t="s">
        <v>6016</v>
      </c>
      <c r="O90" s="25" t="s">
        <v>5835</v>
      </c>
      <c r="R90" s="22" t="s">
        <v>5846</v>
      </c>
    </row>
    <row r="91" spans="3:18" ht="16">
      <c r="C91" s="19" t="s">
        <v>128</v>
      </c>
      <c r="D91" s="20" t="s">
        <v>6017</v>
      </c>
      <c r="E91" s="21" t="s">
        <v>5956</v>
      </c>
      <c r="F91" s="21" t="s">
        <v>5957</v>
      </c>
      <c r="G91" s="22" t="s">
        <v>5846</v>
      </c>
      <c r="H91" s="22" t="s">
        <v>5835</v>
      </c>
      <c r="I91" s="22">
        <v>32.799999999999997</v>
      </c>
      <c r="K91" s="22" t="s">
        <v>5835</v>
      </c>
      <c r="L91" s="24" t="s">
        <v>5835</v>
      </c>
      <c r="M91" s="15"/>
      <c r="N91" s="25" t="s">
        <v>6018</v>
      </c>
      <c r="O91" s="25" t="s">
        <v>5835</v>
      </c>
      <c r="R91" s="22" t="s">
        <v>5846</v>
      </c>
    </row>
    <row r="92" spans="3:18" ht="16">
      <c r="C92" s="19" t="s">
        <v>129</v>
      </c>
      <c r="D92" s="20" t="s">
        <v>2082</v>
      </c>
      <c r="E92" s="21" t="s">
        <v>5956</v>
      </c>
      <c r="F92" s="21" t="s">
        <v>5957</v>
      </c>
      <c r="G92" s="22" t="s">
        <v>5846</v>
      </c>
      <c r="H92" s="22" t="s">
        <v>5835</v>
      </c>
      <c r="I92" s="22">
        <v>52</v>
      </c>
      <c r="K92" s="22" t="s">
        <v>5835</v>
      </c>
      <c r="L92" s="24" t="s">
        <v>5835</v>
      </c>
      <c r="M92" s="27"/>
      <c r="N92" s="25" t="s">
        <v>6019</v>
      </c>
      <c r="O92" s="25" t="s">
        <v>5835</v>
      </c>
      <c r="R92" s="22" t="s">
        <v>5846</v>
      </c>
    </row>
    <row r="93" spans="3:18" ht="16">
      <c r="C93" s="19" t="s">
        <v>130</v>
      </c>
      <c r="D93" s="20" t="s">
        <v>2083</v>
      </c>
      <c r="E93" s="21" t="s">
        <v>5956</v>
      </c>
      <c r="F93" s="21" t="s">
        <v>5957</v>
      </c>
      <c r="G93" s="22" t="s">
        <v>5846</v>
      </c>
      <c r="H93" s="22" t="s">
        <v>5835</v>
      </c>
      <c r="I93" s="22">
        <v>13.8</v>
      </c>
      <c r="K93" s="22" t="s">
        <v>5835</v>
      </c>
      <c r="L93" s="24" t="s">
        <v>5835</v>
      </c>
      <c r="M93" s="15"/>
      <c r="N93" s="25" t="s">
        <v>6020</v>
      </c>
      <c r="O93" s="25" t="s">
        <v>5835</v>
      </c>
      <c r="R93" s="22" t="s">
        <v>5846</v>
      </c>
    </row>
    <row r="94" spans="3:18" ht="16">
      <c r="C94" s="19" t="s">
        <v>131</v>
      </c>
      <c r="D94" s="20" t="s">
        <v>2084</v>
      </c>
      <c r="E94" s="21" t="s">
        <v>5956</v>
      </c>
      <c r="F94" s="21" t="s">
        <v>5957</v>
      </c>
      <c r="G94" s="22" t="s">
        <v>5846</v>
      </c>
      <c r="H94" s="22" t="s">
        <v>5835</v>
      </c>
      <c r="I94" s="22">
        <v>17</v>
      </c>
      <c r="K94" s="22" t="s">
        <v>5835</v>
      </c>
      <c r="L94" s="24" t="s">
        <v>5835</v>
      </c>
      <c r="M94" s="27"/>
      <c r="N94" s="25" t="s">
        <v>6021</v>
      </c>
      <c r="O94" s="25" t="s">
        <v>5835</v>
      </c>
      <c r="R94" s="22" t="s">
        <v>5846</v>
      </c>
    </row>
    <row r="95" spans="3:18" ht="16">
      <c r="C95" s="19" t="s">
        <v>132</v>
      </c>
      <c r="D95" s="20" t="s">
        <v>2085</v>
      </c>
      <c r="E95" s="21" t="s">
        <v>5956</v>
      </c>
      <c r="F95" s="21" t="s">
        <v>5957</v>
      </c>
      <c r="G95" s="22" t="s">
        <v>5846</v>
      </c>
      <c r="H95" s="22" t="s">
        <v>5835</v>
      </c>
      <c r="I95" s="22">
        <v>18.8</v>
      </c>
      <c r="K95" s="22" t="s">
        <v>5835</v>
      </c>
      <c r="L95" s="24" t="s">
        <v>5835</v>
      </c>
      <c r="M95" s="15"/>
      <c r="N95" s="25" t="s">
        <v>6022</v>
      </c>
      <c r="O95" s="25" t="s">
        <v>5835</v>
      </c>
      <c r="R95" s="22" t="s">
        <v>5846</v>
      </c>
    </row>
    <row r="96" spans="3:18" ht="16">
      <c r="C96" s="19" t="s">
        <v>133</v>
      </c>
      <c r="D96" s="20" t="s">
        <v>2086</v>
      </c>
      <c r="E96" s="21" t="s">
        <v>5956</v>
      </c>
      <c r="F96" s="21" t="s">
        <v>5957</v>
      </c>
      <c r="G96" s="22" t="s">
        <v>5846</v>
      </c>
      <c r="H96" s="22" t="s">
        <v>5835</v>
      </c>
      <c r="I96" s="22">
        <v>22.6</v>
      </c>
      <c r="K96" s="22" t="s">
        <v>5835</v>
      </c>
      <c r="L96" s="24" t="s">
        <v>5835</v>
      </c>
      <c r="M96" s="15"/>
      <c r="N96" s="25" t="s">
        <v>6023</v>
      </c>
      <c r="O96" s="25" t="s">
        <v>5835</v>
      </c>
      <c r="R96" s="22" t="s">
        <v>5846</v>
      </c>
    </row>
    <row r="97" spans="3:18" ht="16">
      <c r="C97" s="19" t="s">
        <v>134</v>
      </c>
      <c r="D97" s="20" t="s">
        <v>2087</v>
      </c>
      <c r="E97" s="21" t="s">
        <v>5956</v>
      </c>
      <c r="F97" s="21" t="s">
        <v>5957</v>
      </c>
      <c r="G97" s="22" t="s">
        <v>5846</v>
      </c>
      <c r="H97" s="22" t="s">
        <v>5835</v>
      </c>
      <c r="I97" s="22">
        <v>18.2</v>
      </c>
      <c r="K97" s="22" t="s">
        <v>5835</v>
      </c>
      <c r="L97" s="24" t="s">
        <v>5835</v>
      </c>
      <c r="M97" s="27"/>
      <c r="N97" s="25" t="s">
        <v>6024</v>
      </c>
      <c r="O97" s="25" t="s">
        <v>5835</v>
      </c>
      <c r="R97" s="22" t="s">
        <v>5846</v>
      </c>
    </row>
    <row r="98" spans="3:18" ht="16">
      <c r="C98" s="19" t="s">
        <v>135</v>
      </c>
      <c r="D98" s="20" t="s">
        <v>2088</v>
      </c>
      <c r="E98" s="21" t="s">
        <v>6025</v>
      </c>
      <c r="F98" s="21" t="s">
        <v>17</v>
      </c>
      <c r="G98" s="22" t="s">
        <v>5855</v>
      </c>
      <c r="H98" s="22" t="s">
        <v>5835</v>
      </c>
      <c r="I98" s="22">
        <v>15</v>
      </c>
      <c r="K98" s="22" t="s">
        <v>5835</v>
      </c>
      <c r="L98" s="24" t="s">
        <v>5835</v>
      </c>
      <c r="M98" s="15"/>
      <c r="N98" s="25" t="s">
        <v>6026</v>
      </c>
      <c r="O98" s="25" t="s">
        <v>5835</v>
      </c>
      <c r="R98" s="22" t="s">
        <v>5855</v>
      </c>
    </row>
    <row r="99" spans="3:18" ht="16">
      <c r="C99" s="19" t="s">
        <v>136</v>
      </c>
      <c r="D99" s="20" t="s">
        <v>2089</v>
      </c>
      <c r="E99" s="21" t="s">
        <v>5956</v>
      </c>
      <c r="F99" s="21" t="s">
        <v>5957</v>
      </c>
      <c r="G99" s="22" t="s">
        <v>5846</v>
      </c>
      <c r="H99" s="22" t="s">
        <v>5835</v>
      </c>
      <c r="I99" s="22">
        <v>50.4</v>
      </c>
      <c r="K99" s="22" t="s">
        <v>5835</v>
      </c>
      <c r="L99" s="24" t="s">
        <v>5835</v>
      </c>
      <c r="M99" s="15"/>
      <c r="N99" s="25" t="s">
        <v>6027</v>
      </c>
      <c r="O99" s="25" t="s">
        <v>5835</v>
      </c>
      <c r="R99" s="22" t="s">
        <v>5846</v>
      </c>
    </row>
    <row r="100" spans="3:18" ht="16">
      <c r="C100" s="19" t="s">
        <v>137</v>
      </c>
      <c r="D100" s="20" t="s">
        <v>2090</v>
      </c>
      <c r="E100" s="21" t="s">
        <v>5956</v>
      </c>
      <c r="F100" s="21" t="s">
        <v>5957</v>
      </c>
      <c r="G100" s="22" t="s">
        <v>5846</v>
      </c>
      <c r="H100" s="22" t="s">
        <v>5835</v>
      </c>
      <c r="I100" s="22">
        <v>39.299999999999997</v>
      </c>
      <c r="K100" s="22" t="s">
        <v>5835</v>
      </c>
      <c r="L100" s="24" t="s">
        <v>5835</v>
      </c>
      <c r="M100" s="15"/>
      <c r="N100" s="25" t="s">
        <v>6028</v>
      </c>
      <c r="O100" s="25" t="s">
        <v>5835</v>
      </c>
      <c r="R100" s="22" t="s">
        <v>5846</v>
      </c>
    </row>
    <row r="101" spans="3:18" ht="16">
      <c r="C101" s="19" t="s">
        <v>138</v>
      </c>
      <c r="D101" s="20" t="s">
        <v>2091</v>
      </c>
      <c r="E101" s="21" t="s">
        <v>5956</v>
      </c>
      <c r="F101" s="21" t="s">
        <v>5957</v>
      </c>
      <c r="G101" s="22" t="s">
        <v>5846</v>
      </c>
      <c r="H101" s="22" t="s">
        <v>5835</v>
      </c>
      <c r="I101" s="22">
        <v>16.5</v>
      </c>
      <c r="K101" s="22" t="s">
        <v>5835</v>
      </c>
      <c r="L101" s="24" t="s">
        <v>5835</v>
      </c>
      <c r="M101" s="15"/>
      <c r="N101" s="25" t="s">
        <v>6029</v>
      </c>
      <c r="O101" s="25" t="s">
        <v>5835</v>
      </c>
      <c r="R101" s="22" t="s">
        <v>5846</v>
      </c>
    </row>
    <row r="102" spans="3:18" ht="16">
      <c r="C102" s="19" t="s">
        <v>139</v>
      </c>
      <c r="D102" s="20" t="s">
        <v>2092</v>
      </c>
      <c r="E102" s="21" t="s">
        <v>5956</v>
      </c>
      <c r="F102" s="21" t="s">
        <v>5957</v>
      </c>
      <c r="G102" s="22" t="s">
        <v>5846</v>
      </c>
      <c r="H102" s="22" t="s">
        <v>5835</v>
      </c>
      <c r="I102" s="22">
        <v>25.6</v>
      </c>
      <c r="K102" s="22" t="s">
        <v>5835</v>
      </c>
      <c r="N102" s="25" t="s">
        <v>6030</v>
      </c>
      <c r="O102" s="25" t="s">
        <v>5835</v>
      </c>
      <c r="R102" s="22" t="s">
        <v>5846</v>
      </c>
    </row>
    <row r="103" spans="3:18" ht="16">
      <c r="C103" s="19" t="s">
        <v>140</v>
      </c>
      <c r="D103" s="20" t="s">
        <v>2093</v>
      </c>
      <c r="E103" s="21" t="s">
        <v>5956</v>
      </c>
      <c r="F103" s="21" t="s">
        <v>5957</v>
      </c>
      <c r="G103" s="22" t="s">
        <v>5846</v>
      </c>
      <c r="H103" s="22" t="s">
        <v>7828</v>
      </c>
      <c r="I103" s="22">
        <v>1099</v>
      </c>
      <c r="K103" s="22" t="s">
        <v>5835</v>
      </c>
      <c r="N103" s="25" t="s">
        <v>6031</v>
      </c>
      <c r="O103" s="25" t="s">
        <v>5835</v>
      </c>
      <c r="R103" s="22" t="s">
        <v>5846</v>
      </c>
    </row>
    <row r="104" spans="3:18" ht="16">
      <c r="C104" s="19" t="s">
        <v>141</v>
      </c>
      <c r="D104" s="20" t="s">
        <v>2094</v>
      </c>
      <c r="E104" s="21" t="s">
        <v>5956</v>
      </c>
      <c r="F104" s="21" t="s">
        <v>5957</v>
      </c>
      <c r="G104" s="22" t="s">
        <v>5846</v>
      </c>
      <c r="H104" s="22" t="s">
        <v>7828</v>
      </c>
      <c r="I104" s="22">
        <v>611.79999999999995</v>
      </c>
      <c r="K104" s="22" t="s">
        <v>5835</v>
      </c>
      <c r="N104" s="25" t="s">
        <v>6032</v>
      </c>
      <c r="O104" s="25" t="s">
        <v>5835</v>
      </c>
      <c r="R104" s="22" t="s">
        <v>5846</v>
      </c>
    </row>
    <row r="105" spans="3:18" ht="16">
      <c r="C105" s="19" t="s">
        <v>142</v>
      </c>
      <c r="D105" s="20" t="s">
        <v>2095</v>
      </c>
      <c r="E105" s="21" t="s">
        <v>6033</v>
      </c>
      <c r="F105" s="21" t="s">
        <v>5969</v>
      </c>
      <c r="G105" s="22" t="s">
        <v>5857</v>
      </c>
      <c r="H105" s="22" t="s">
        <v>7828</v>
      </c>
      <c r="I105" s="22">
        <v>937.8</v>
      </c>
      <c r="K105" s="22" t="s">
        <v>5835</v>
      </c>
      <c r="N105" s="25" t="s">
        <v>6034</v>
      </c>
      <c r="O105" s="25" t="s">
        <v>5835</v>
      </c>
      <c r="R105" s="22" t="s">
        <v>5857</v>
      </c>
    </row>
    <row r="106" spans="3:18" ht="16">
      <c r="C106" s="19" t="s">
        <v>143</v>
      </c>
      <c r="D106" s="20" t="s">
        <v>2096</v>
      </c>
      <c r="E106" s="21" t="s">
        <v>6033</v>
      </c>
      <c r="F106" s="21" t="s">
        <v>5969</v>
      </c>
      <c r="G106" s="22" t="s">
        <v>5857</v>
      </c>
      <c r="H106" s="22" t="s">
        <v>7828</v>
      </c>
      <c r="I106" s="22">
        <v>995.6</v>
      </c>
      <c r="K106" s="22" t="s">
        <v>5835</v>
      </c>
      <c r="N106" s="25" t="s">
        <v>6035</v>
      </c>
      <c r="O106" s="25" t="s">
        <v>5835</v>
      </c>
      <c r="R106" s="22" t="s">
        <v>5857</v>
      </c>
    </row>
    <row r="107" spans="3:18" ht="16">
      <c r="C107" s="19" t="s">
        <v>144</v>
      </c>
      <c r="D107" s="20" t="s">
        <v>2097</v>
      </c>
      <c r="E107" s="21" t="s">
        <v>5926</v>
      </c>
      <c r="F107" s="21" t="s">
        <v>5927</v>
      </c>
      <c r="G107" s="22" t="s">
        <v>5843</v>
      </c>
      <c r="H107" s="22" t="s">
        <v>5835</v>
      </c>
      <c r="I107" s="22">
        <v>34.700000000000003</v>
      </c>
      <c r="K107" s="22" t="s">
        <v>5835</v>
      </c>
      <c r="N107" s="25" t="s">
        <v>6036</v>
      </c>
      <c r="O107" s="25" t="s">
        <v>5835</v>
      </c>
      <c r="R107" s="22" t="s">
        <v>5843</v>
      </c>
    </row>
    <row r="108" spans="3:18" ht="16">
      <c r="C108" s="19" t="s">
        <v>145</v>
      </c>
      <c r="D108" s="20" t="s">
        <v>2098</v>
      </c>
      <c r="E108" s="21" t="s">
        <v>5926</v>
      </c>
      <c r="F108" s="21" t="s">
        <v>5927</v>
      </c>
      <c r="G108" s="22" t="s">
        <v>5843</v>
      </c>
      <c r="H108" s="22" t="s">
        <v>5835</v>
      </c>
      <c r="I108" s="22">
        <v>8.6</v>
      </c>
      <c r="K108" s="22" t="s">
        <v>5835</v>
      </c>
      <c r="N108" s="25" t="s">
        <v>6037</v>
      </c>
      <c r="O108" s="25" t="s">
        <v>5835</v>
      </c>
      <c r="R108" s="22" t="s">
        <v>5843</v>
      </c>
    </row>
    <row r="109" spans="3:18" ht="16">
      <c r="C109" s="19" t="s">
        <v>146</v>
      </c>
      <c r="D109" s="20" t="s">
        <v>2099</v>
      </c>
      <c r="E109" s="21" t="s">
        <v>6033</v>
      </c>
      <c r="F109" s="21" t="s">
        <v>5969</v>
      </c>
      <c r="G109" s="22" t="s">
        <v>5857</v>
      </c>
      <c r="H109" s="22" t="s">
        <v>7828</v>
      </c>
      <c r="I109" s="22">
        <v>817.5</v>
      </c>
      <c r="K109" s="22" t="s">
        <v>5835</v>
      </c>
      <c r="N109" s="25" t="s">
        <v>6038</v>
      </c>
      <c r="O109" s="25" t="s">
        <v>5835</v>
      </c>
      <c r="R109" s="22" t="s">
        <v>5857</v>
      </c>
    </row>
    <row r="110" spans="3:18" ht="16">
      <c r="C110" s="19" t="s">
        <v>147</v>
      </c>
      <c r="D110" s="20" t="s">
        <v>2100</v>
      </c>
      <c r="E110" s="21" t="s">
        <v>6033</v>
      </c>
      <c r="F110" s="21" t="s">
        <v>5969</v>
      </c>
      <c r="G110" s="22" t="s">
        <v>5857</v>
      </c>
      <c r="H110" s="22" t="s">
        <v>7828</v>
      </c>
      <c r="I110" s="22">
        <v>275.8</v>
      </c>
      <c r="K110" s="22" t="s">
        <v>5835</v>
      </c>
      <c r="N110" s="25" t="s">
        <v>6039</v>
      </c>
      <c r="O110" s="25" t="s">
        <v>5835</v>
      </c>
      <c r="R110" s="22" t="s">
        <v>5857</v>
      </c>
    </row>
    <row r="111" spans="3:18" ht="16">
      <c r="C111" s="19" t="s">
        <v>148</v>
      </c>
      <c r="D111" s="20" t="s">
        <v>2101</v>
      </c>
      <c r="E111" s="21" t="s">
        <v>6033</v>
      </c>
      <c r="F111" s="21" t="s">
        <v>5969</v>
      </c>
      <c r="G111" s="22" t="s">
        <v>5859</v>
      </c>
      <c r="H111" s="22" t="s">
        <v>5835</v>
      </c>
      <c r="I111" s="22">
        <v>50.1</v>
      </c>
      <c r="K111" s="22" t="s">
        <v>5835</v>
      </c>
      <c r="N111" s="25" t="s">
        <v>6040</v>
      </c>
      <c r="O111" s="25" t="s">
        <v>5835</v>
      </c>
      <c r="R111" s="22" t="s">
        <v>5859</v>
      </c>
    </row>
    <row r="112" spans="3:18" ht="16">
      <c r="C112" s="19" t="s">
        <v>149</v>
      </c>
      <c r="D112" s="20" t="s">
        <v>2102</v>
      </c>
      <c r="E112" s="21" t="s">
        <v>5968</v>
      </c>
      <c r="F112" s="21" t="s">
        <v>5969</v>
      </c>
      <c r="G112" s="22" t="s">
        <v>5857</v>
      </c>
      <c r="H112" s="22" t="s">
        <v>5835</v>
      </c>
      <c r="I112" s="22">
        <v>6.1</v>
      </c>
      <c r="K112" s="22" t="s">
        <v>5835</v>
      </c>
      <c r="N112" s="25" t="s">
        <v>6041</v>
      </c>
      <c r="O112" s="25" t="s">
        <v>5835</v>
      </c>
      <c r="R112" s="22" t="s">
        <v>5857</v>
      </c>
    </row>
    <row r="113" spans="3:18" ht="16">
      <c r="C113" s="19" t="s">
        <v>150</v>
      </c>
      <c r="D113" s="20" t="s">
        <v>2103</v>
      </c>
      <c r="E113" s="21" t="s">
        <v>6033</v>
      </c>
      <c r="F113" s="21" t="s">
        <v>5969</v>
      </c>
      <c r="G113" s="22" t="s">
        <v>5859</v>
      </c>
      <c r="H113" s="22" t="s">
        <v>5835</v>
      </c>
      <c r="I113" s="22">
        <v>22.4</v>
      </c>
      <c r="K113" s="22" t="s">
        <v>5835</v>
      </c>
      <c r="N113" s="25" t="s">
        <v>6042</v>
      </c>
      <c r="O113" s="25" t="s">
        <v>5835</v>
      </c>
      <c r="R113" s="22" t="s">
        <v>5859</v>
      </c>
    </row>
    <row r="114" spans="3:18" ht="16">
      <c r="C114" s="19" t="s">
        <v>151</v>
      </c>
      <c r="D114" s="20" t="s">
        <v>2104</v>
      </c>
      <c r="E114" s="21" t="s">
        <v>6033</v>
      </c>
      <c r="F114" s="21" t="s">
        <v>5969</v>
      </c>
      <c r="G114" s="22" t="s">
        <v>5857</v>
      </c>
      <c r="H114" s="22" t="s">
        <v>7828</v>
      </c>
      <c r="I114" s="22">
        <v>1657.1</v>
      </c>
      <c r="K114" s="22" t="s">
        <v>5835</v>
      </c>
      <c r="N114" s="25" t="s">
        <v>6043</v>
      </c>
      <c r="O114" s="25" t="s">
        <v>5835</v>
      </c>
      <c r="R114" s="22" t="s">
        <v>5857</v>
      </c>
    </row>
    <row r="115" spans="3:18" ht="16">
      <c r="C115" s="19" t="s">
        <v>152</v>
      </c>
      <c r="D115" s="20" t="s">
        <v>2105</v>
      </c>
      <c r="E115" s="21" t="s">
        <v>5926</v>
      </c>
      <c r="F115" s="21" t="s">
        <v>5927</v>
      </c>
      <c r="G115" s="22" t="s">
        <v>5843</v>
      </c>
      <c r="H115" s="22" t="s">
        <v>5835</v>
      </c>
      <c r="I115" s="22">
        <v>19.5</v>
      </c>
      <c r="K115" s="22" t="s">
        <v>5835</v>
      </c>
      <c r="N115" s="25" t="s">
        <v>6044</v>
      </c>
      <c r="O115" s="25" t="s">
        <v>5835</v>
      </c>
      <c r="R115" s="22" t="s">
        <v>5843</v>
      </c>
    </row>
    <row r="116" spans="3:18" ht="16">
      <c r="C116" s="19" t="s">
        <v>153</v>
      </c>
      <c r="D116" s="20" t="s">
        <v>2106</v>
      </c>
      <c r="E116" s="21" t="s">
        <v>5926</v>
      </c>
      <c r="F116" s="21" t="s">
        <v>5927</v>
      </c>
      <c r="G116" s="22" t="s">
        <v>5843</v>
      </c>
      <c r="H116" s="22" t="s">
        <v>5835</v>
      </c>
      <c r="I116" s="22">
        <v>156.69999999999999</v>
      </c>
      <c r="K116" s="22" t="s">
        <v>5835</v>
      </c>
      <c r="N116" s="25" t="s">
        <v>6045</v>
      </c>
      <c r="O116" s="25" t="s">
        <v>5835</v>
      </c>
      <c r="R116" s="22" t="s">
        <v>5843</v>
      </c>
    </row>
    <row r="117" spans="3:18" ht="16">
      <c r="C117" s="19" t="s">
        <v>154</v>
      </c>
      <c r="D117" s="20" t="s">
        <v>2107</v>
      </c>
      <c r="E117" s="21" t="s">
        <v>5926</v>
      </c>
      <c r="F117" s="21" t="s">
        <v>5927</v>
      </c>
      <c r="G117" s="22" t="s">
        <v>5843</v>
      </c>
      <c r="H117" s="22" t="s">
        <v>5835</v>
      </c>
      <c r="I117" s="22">
        <v>45.5</v>
      </c>
      <c r="K117" s="22" t="s">
        <v>5835</v>
      </c>
      <c r="N117" s="25" t="s">
        <v>6046</v>
      </c>
      <c r="O117" s="25" t="s">
        <v>5835</v>
      </c>
      <c r="R117" s="22" t="s">
        <v>5843</v>
      </c>
    </row>
    <row r="118" spans="3:18" ht="16">
      <c r="C118" s="19" t="s">
        <v>155</v>
      </c>
      <c r="D118" s="20" t="s">
        <v>2108</v>
      </c>
      <c r="E118" s="21" t="s">
        <v>5926</v>
      </c>
      <c r="F118" s="21" t="s">
        <v>5927</v>
      </c>
      <c r="G118" s="22" t="s">
        <v>5843</v>
      </c>
      <c r="H118" s="22" t="s">
        <v>5835</v>
      </c>
      <c r="I118" s="22">
        <v>44.6</v>
      </c>
      <c r="K118" s="22" t="s">
        <v>5835</v>
      </c>
      <c r="N118" s="25" t="s">
        <v>6047</v>
      </c>
      <c r="O118" s="25" t="s">
        <v>5835</v>
      </c>
      <c r="R118" s="22" t="s">
        <v>5843</v>
      </c>
    </row>
    <row r="119" spans="3:18" ht="16">
      <c r="C119" s="19" t="s">
        <v>156</v>
      </c>
      <c r="D119" s="20" t="s">
        <v>2109</v>
      </c>
      <c r="E119" s="21" t="s">
        <v>6033</v>
      </c>
      <c r="F119" s="21" t="s">
        <v>5969</v>
      </c>
      <c r="G119" s="22" t="s">
        <v>5859</v>
      </c>
      <c r="H119" s="22" t="s">
        <v>5835</v>
      </c>
      <c r="I119" s="22">
        <v>11</v>
      </c>
      <c r="K119" s="22" t="s">
        <v>5835</v>
      </c>
      <c r="N119" s="25" t="s">
        <v>6048</v>
      </c>
      <c r="O119" s="25" t="s">
        <v>5835</v>
      </c>
      <c r="R119" s="22" t="s">
        <v>5859</v>
      </c>
    </row>
    <row r="120" spans="3:18" ht="16">
      <c r="C120" s="19" t="s">
        <v>157</v>
      </c>
      <c r="D120" s="20" t="s">
        <v>2110</v>
      </c>
      <c r="E120" s="21" t="s">
        <v>6033</v>
      </c>
      <c r="F120" s="21" t="s">
        <v>5969</v>
      </c>
      <c r="G120" s="22" t="s">
        <v>5857</v>
      </c>
      <c r="H120" s="22" t="s">
        <v>5835</v>
      </c>
      <c r="I120" s="22">
        <v>51.3</v>
      </c>
      <c r="K120" s="22" t="s">
        <v>5835</v>
      </c>
      <c r="N120" s="25" t="s">
        <v>6049</v>
      </c>
      <c r="O120" s="25" t="s">
        <v>5835</v>
      </c>
      <c r="R120" s="22" t="s">
        <v>5857</v>
      </c>
    </row>
    <row r="121" spans="3:18" ht="16">
      <c r="C121" s="19" t="s">
        <v>158</v>
      </c>
      <c r="D121" s="20" t="s">
        <v>2111</v>
      </c>
      <c r="E121" s="21" t="s">
        <v>6033</v>
      </c>
      <c r="F121" s="21" t="s">
        <v>5969</v>
      </c>
      <c r="G121" s="22" t="s">
        <v>5862</v>
      </c>
      <c r="H121" s="22" t="s">
        <v>5835</v>
      </c>
      <c r="I121" s="22">
        <v>23.3</v>
      </c>
      <c r="K121" s="22" t="s">
        <v>5835</v>
      </c>
      <c r="N121" s="25" t="s">
        <v>6050</v>
      </c>
      <c r="O121" s="25" t="s">
        <v>5835</v>
      </c>
      <c r="R121" s="22" t="s">
        <v>5862</v>
      </c>
    </row>
    <row r="122" spans="3:18" ht="16">
      <c r="C122" s="19" t="s">
        <v>159</v>
      </c>
      <c r="D122" s="20" t="s">
        <v>2112</v>
      </c>
      <c r="E122" s="21" t="s">
        <v>6033</v>
      </c>
      <c r="F122" s="21" t="s">
        <v>5969</v>
      </c>
      <c r="G122" s="22" t="s">
        <v>5857</v>
      </c>
      <c r="H122" s="22" t="s">
        <v>5835</v>
      </c>
      <c r="I122" s="22">
        <v>41.6</v>
      </c>
      <c r="K122" s="22" t="s">
        <v>5835</v>
      </c>
      <c r="N122" s="25" t="s">
        <v>6051</v>
      </c>
      <c r="O122" s="25" t="s">
        <v>5835</v>
      </c>
      <c r="R122" s="22" t="s">
        <v>5857</v>
      </c>
    </row>
    <row r="123" spans="3:18" ht="16">
      <c r="C123" s="19" t="s">
        <v>160</v>
      </c>
      <c r="D123" s="20" t="s">
        <v>2113</v>
      </c>
      <c r="E123" s="21" t="s">
        <v>6033</v>
      </c>
      <c r="F123" s="21" t="s">
        <v>5969</v>
      </c>
      <c r="G123" s="22" t="s">
        <v>5862</v>
      </c>
      <c r="H123" s="22" t="s">
        <v>5835</v>
      </c>
      <c r="I123" s="22">
        <v>27.2</v>
      </c>
      <c r="K123" s="22" t="s">
        <v>5835</v>
      </c>
      <c r="N123" s="25" t="s">
        <v>6052</v>
      </c>
      <c r="O123" s="25" t="s">
        <v>5835</v>
      </c>
      <c r="R123" s="22" t="s">
        <v>5862</v>
      </c>
    </row>
    <row r="124" spans="3:18" ht="16">
      <c r="C124" s="19" t="s">
        <v>161</v>
      </c>
      <c r="D124" s="20" t="s">
        <v>2114</v>
      </c>
      <c r="E124" s="21" t="s">
        <v>6033</v>
      </c>
      <c r="F124" s="21" t="s">
        <v>5969</v>
      </c>
      <c r="G124" s="22" t="s">
        <v>5862</v>
      </c>
      <c r="H124" s="22" t="s">
        <v>5835</v>
      </c>
      <c r="I124" s="22">
        <v>23.1</v>
      </c>
      <c r="K124" s="22" t="s">
        <v>5835</v>
      </c>
      <c r="N124" s="25" t="s">
        <v>6053</v>
      </c>
      <c r="O124" s="25" t="s">
        <v>5835</v>
      </c>
      <c r="R124" s="22" t="s">
        <v>5862</v>
      </c>
    </row>
    <row r="125" spans="3:18" ht="16">
      <c r="C125" s="19" t="s">
        <v>162</v>
      </c>
      <c r="D125" s="20" t="s">
        <v>2115</v>
      </c>
      <c r="E125" s="21" t="s">
        <v>6054</v>
      </c>
      <c r="F125" s="21" t="s">
        <v>6055</v>
      </c>
      <c r="G125" s="22" t="s">
        <v>5865</v>
      </c>
      <c r="H125" s="22" t="s">
        <v>5835</v>
      </c>
      <c r="I125" s="22">
        <v>110.3</v>
      </c>
      <c r="K125" s="22" t="s">
        <v>5835</v>
      </c>
      <c r="N125" s="25">
        <v>0</v>
      </c>
      <c r="O125" s="25" t="s">
        <v>5835</v>
      </c>
      <c r="R125" s="22" t="s">
        <v>5865</v>
      </c>
    </row>
    <row r="126" spans="3:18" ht="16">
      <c r="C126" s="19" t="s">
        <v>163</v>
      </c>
      <c r="D126" s="20" t="s">
        <v>2116</v>
      </c>
      <c r="E126" s="21" t="s">
        <v>5926</v>
      </c>
      <c r="F126" s="21" t="s">
        <v>5927</v>
      </c>
      <c r="G126" s="22" t="s">
        <v>5867</v>
      </c>
      <c r="H126" s="22" t="s">
        <v>5835</v>
      </c>
      <c r="I126" s="22">
        <v>29.1</v>
      </c>
      <c r="K126" s="22" t="s">
        <v>5835</v>
      </c>
      <c r="N126" s="25" t="s">
        <v>6056</v>
      </c>
      <c r="O126" s="25" t="s">
        <v>5835</v>
      </c>
      <c r="R126" s="22" t="s">
        <v>5867</v>
      </c>
    </row>
    <row r="127" spans="3:18" ht="16">
      <c r="C127" s="19" t="s">
        <v>164</v>
      </c>
      <c r="D127" s="20" t="s">
        <v>2117</v>
      </c>
      <c r="E127" s="21" t="s">
        <v>6033</v>
      </c>
      <c r="F127" s="21" t="s">
        <v>5969</v>
      </c>
      <c r="G127" s="22" t="s">
        <v>5869</v>
      </c>
      <c r="H127" s="22" t="s">
        <v>5835</v>
      </c>
      <c r="I127" s="22">
        <v>70.400000000000006</v>
      </c>
      <c r="K127" s="22" t="s">
        <v>5835</v>
      </c>
      <c r="N127" s="25" t="s">
        <v>6057</v>
      </c>
      <c r="O127" s="25" t="s">
        <v>5835</v>
      </c>
      <c r="R127" s="22" t="s">
        <v>5869</v>
      </c>
    </row>
    <row r="128" spans="3:18" ht="16">
      <c r="C128" s="19" t="s">
        <v>165</v>
      </c>
      <c r="D128" s="20" t="s">
        <v>2118</v>
      </c>
      <c r="E128" s="21" t="s">
        <v>5926</v>
      </c>
      <c r="F128" s="21" t="s">
        <v>5927</v>
      </c>
      <c r="G128" s="22" t="s">
        <v>5843</v>
      </c>
      <c r="H128" s="22" t="s">
        <v>7828</v>
      </c>
      <c r="I128" s="22">
        <v>148.1</v>
      </c>
      <c r="K128" s="22" t="s">
        <v>5835</v>
      </c>
      <c r="N128" s="25" t="s">
        <v>6058</v>
      </c>
      <c r="O128" s="25" t="s">
        <v>5835</v>
      </c>
      <c r="R128" s="22" t="s">
        <v>5843</v>
      </c>
    </row>
    <row r="129" spans="3:18" ht="16">
      <c r="C129" s="19" t="s">
        <v>166</v>
      </c>
      <c r="D129" s="20" t="s">
        <v>2119</v>
      </c>
      <c r="E129" s="21" t="s">
        <v>5926</v>
      </c>
      <c r="F129" s="21" t="s">
        <v>5927</v>
      </c>
      <c r="G129" s="22" t="s">
        <v>5843</v>
      </c>
      <c r="H129" s="22" t="s">
        <v>5835</v>
      </c>
      <c r="I129" s="22">
        <v>113.3</v>
      </c>
      <c r="K129" s="22" t="s">
        <v>5835</v>
      </c>
      <c r="N129" s="25" t="s">
        <v>6059</v>
      </c>
      <c r="O129" s="25" t="s">
        <v>5835</v>
      </c>
      <c r="R129" s="22" t="s">
        <v>5843</v>
      </c>
    </row>
    <row r="130" spans="3:18" ht="16">
      <c r="C130" s="19" t="s">
        <v>167</v>
      </c>
      <c r="D130" s="20" t="s">
        <v>2120</v>
      </c>
      <c r="E130" s="21" t="s">
        <v>6033</v>
      </c>
      <c r="F130" s="21" t="s">
        <v>5969</v>
      </c>
      <c r="G130" s="22" t="s">
        <v>5857</v>
      </c>
      <c r="H130" s="22" t="s">
        <v>5835</v>
      </c>
      <c r="I130" s="22">
        <v>8.9</v>
      </c>
      <c r="K130" s="22" t="s">
        <v>5835</v>
      </c>
      <c r="N130" s="25" t="s">
        <v>6060</v>
      </c>
      <c r="O130" s="25" t="s">
        <v>5835</v>
      </c>
      <c r="R130" s="22" t="s">
        <v>5857</v>
      </c>
    </row>
    <row r="131" spans="3:18" ht="16">
      <c r="C131" s="19" t="s">
        <v>168</v>
      </c>
      <c r="D131" s="20" t="s">
        <v>2121</v>
      </c>
      <c r="E131" s="21" t="s">
        <v>6033</v>
      </c>
      <c r="F131" s="21" t="s">
        <v>5969</v>
      </c>
      <c r="G131" s="22" t="s">
        <v>5857</v>
      </c>
      <c r="H131" s="22" t="s">
        <v>5835</v>
      </c>
      <c r="I131" s="22">
        <v>13</v>
      </c>
      <c r="K131" s="22" t="s">
        <v>5835</v>
      </c>
      <c r="N131" s="25" t="s">
        <v>6061</v>
      </c>
      <c r="O131" s="25" t="s">
        <v>5835</v>
      </c>
      <c r="R131" s="22" t="s">
        <v>5857</v>
      </c>
    </row>
    <row r="132" spans="3:18" ht="16">
      <c r="C132" s="19" t="s">
        <v>169</v>
      </c>
      <c r="D132" s="20" t="s">
        <v>2122</v>
      </c>
      <c r="E132" s="21" t="s">
        <v>6033</v>
      </c>
      <c r="F132" s="21" t="s">
        <v>5969</v>
      </c>
      <c r="G132" s="22" t="s">
        <v>5862</v>
      </c>
      <c r="H132" s="22" t="s">
        <v>5835</v>
      </c>
      <c r="I132" s="22">
        <v>25</v>
      </c>
      <c r="K132" s="22" t="s">
        <v>5835</v>
      </c>
      <c r="N132" s="25" t="s">
        <v>6062</v>
      </c>
      <c r="O132" s="25" t="s">
        <v>5835</v>
      </c>
      <c r="R132" s="22" t="s">
        <v>5862</v>
      </c>
    </row>
    <row r="133" spans="3:18" ht="16">
      <c r="C133" s="19" t="s">
        <v>170</v>
      </c>
      <c r="D133" s="20" t="s">
        <v>2123</v>
      </c>
      <c r="E133" s="21" t="s">
        <v>6033</v>
      </c>
      <c r="F133" s="21" t="s">
        <v>5969</v>
      </c>
      <c r="G133" s="22" t="s">
        <v>5857</v>
      </c>
      <c r="H133" s="22" t="s">
        <v>5835</v>
      </c>
      <c r="I133" s="22">
        <v>24</v>
      </c>
      <c r="K133" s="22" t="s">
        <v>5835</v>
      </c>
      <c r="N133" s="25" t="s">
        <v>6063</v>
      </c>
      <c r="O133" s="25" t="s">
        <v>5835</v>
      </c>
      <c r="R133" s="22" t="s">
        <v>5857</v>
      </c>
    </row>
    <row r="134" spans="3:18" ht="16">
      <c r="C134" s="19" t="s">
        <v>171</v>
      </c>
      <c r="D134" s="20" t="s">
        <v>2124</v>
      </c>
      <c r="E134" s="21" t="s">
        <v>6033</v>
      </c>
      <c r="F134" s="21" t="s">
        <v>5969</v>
      </c>
      <c r="G134" s="22" t="s">
        <v>5862</v>
      </c>
      <c r="H134" s="22" t="s">
        <v>5835</v>
      </c>
      <c r="I134" s="22">
        <v>67.2</v>
      </c>
      <c r="K134" s="22" t="s">
        <v>5835</v>
      </c>
      <c r="N134" s="25" t="s">
        <v>6064</v>
      </c>
      <c r="O134" s="25" t="s">
        <v>5835</v>
      </c>
      <c r="R134" s="22" t="s">
        <v>5862</v>
      </c>
    </row>
    <row r="135" spans="3:18" ht="16">
      <c r="C135" s="19" t="s">
        <v>172</v>
      </c>
      <c r="D135" s="20" t="s">
        <v>2125</v>
      </c>
      <c r="E135" s="21" t="s">
        <v>6033</v>
      </c>
      <c r="F135" s="21" t="s">
        <v>5969</v>
      </c>
      <c r="G135" s="22" t="s">
        <v>12</v>
      </c>
      <c r="H135" s="22" t="s">
        <v>7828</v>
      </c>
      <c r="I135" s="22">
        <v>522.29999999999995</v>
      </c>
      <c r="K135" s="22" t="s">
        <v>5835</v>
      </c>
      <c r="N135" s="25" t="s">
        <v>6065</v>
      </c>
      <c r="O135" s="25" t="s">
        <v>5835</v>
      </c>
      <c r="R135" s="22" t="s">
        <v>12</v>
      </c>
    </row>
    <row r="136" spans="3:18" ht="16">
      <c r="C136" s="19" t="s">
        <v>173</v>
      </c>
      <c r="D136" s="20" t="s">
        <v>2126</v>
      </c>
      <c r="E136" s="21" t="s">
        <v>5926</v>
      </c>
      <c r="F136" s="21" t="s">
        <v>5835</v>
      </c>
      <c r="G136" s="22" t="s">
        <v>7827</v>
      </c>
      <c r="H136" s="22" t="s">
        <v>5835</v>
      </c>
      <c r="I136" s="22">
        <v>123.9</v>
      </c>
      <c r="K136" s="22" t="s">
        <v>5835</v>
      </c>
      <c r="N136" s="25" t="s">
        <v>5835</v>
      </c>
      <c r="O136" s="25" t="s">
        <v>5835</v>
      </c>
      <c r="R136" s="22" t="s">
        <v>5940</v>
      </c>
    </row>
    <row r="137" spans="3:18" ht="16">
      <c r="C137" s="19" t="s">
        <v>175</v>
      </c>
      <c r="D137" s="20" t="s">
        <v>2128</v>
      </c>
      <c r="E137" s="21" t="s">
        <v>5926</v>
      </c>
      <c r="F137" s="21" t="s">
        <v>5927</v>
      </c>
      <c r="G137" s="22" t="s">
        <v>5843</v>
      </c>
      <c r="H137" s="22" t="s">
        <v>5835</v>
      </c>
      <c r="I137" s="22">
        <v>23.7</v>
      </c>
      <c r="K137" s="22" t="s">
        <v>5835</v>
      </c>
      <c r="N137" s="25" t="s">
        <v>6066</v>
      </c>
      <c r="O137" s="25" t="s">
        <v>5835</v>
      </c>
      <c r="R137" s="22" t="s">
        <v>5843</v>
      </c>
    </row>
    <row r="138" spans="3:18" ht="16">
      <c r="C138" s="19" t="s">
        <v>179</v>
      </c>
      <c r="D138" s="20" t="s">
        <v>2132</v>
      </c>
      <c r="E138" s="21" t="s">
        <v>6067</v>
      </c>
      <c r="F138" s="21" t="s">
        <v>17</v>
      </c>
      <c r="G138" s="22" t="s">
        <v>5873</v>
      </c>
      <c r="H138" s="22" t="s">
        <v>5835</v>
      </c>
      <c r="I138" s="22">
        <v>100.1</v>
      </c>
      <c r="K138" s="22" t="s">
        <v>5835</v>
      </c>
      <c r="N138" s="25" t="s">
        <v>6068</v>
      </c>
      <c r="O138" s="25" t="s">
        <v>5835</v>
      </c>
      <c r="R138" s="22" t="s">
        <v>5873</v>
      </c>
    </row>
    <row r="139" spans="3:18" ht="16">
      <c r="C139" s="19" t="s">
        <v>180</v>
      </c>
      <c r="D139" s="20" t="s">
        <v>2133</v>
      </c>
      <c r="E139" s="21" t="s">
        <v>6033</v>
      </c>
      <c r="F139" s="21" t="s">
        <v>5969</v>
      </c>
      <c r="G139" s="22" t="s">
        <v>5862</v>
      </c>
      <c r="H139" s="22" t="s">
        <v>5835</v>
      </c>
      <c r="I139" s="22">
        <v>58.1</v>
      </c>
      <c r="K139" s="22" t="s">
        <v>5835</v>
      </c>
      <c r="N139" s="25" t="s">
        <v>6069</v>
      </c>
      <c r="O139" s="25" t="s">
        <v>5835</v>
      </c>
      <c r="R139" s="22" t="s">
        <v>5862</v>
      </c>
    </row>
    <row r="140" spans="3:18" ht="16">
      <c r="C140" s="19" t="s">
        <v>183</v>
      </c>
      <c r="D140" s="20" t="s">
        <v>2136</v>
      </c>
      <c r="E140" s="21" t="s">
        <v>6033</v>
      </c>
      <c r="F140" s="21" t="s">
        <v>5969</v>
      </c>
      <c r="G140" s="22" t="s">
        <v>5843</v>
      </c>
      <c r="H140" s="22" t="s">
        <v>5835</v>
      </c>
      <c r="I140" s="22">
        <v>22.5</v>
      </c>
      <c r="K140" s="22" t="s">
        <v>5835</v>
      </c>
      <c r="N140" s="25" t="s">
        <v>6070</v>
      </c>
      <c r="O140" s="25" t="s">
        <v>5835</v>
      </c>
      <c r="R140" s="22" t="s">
        <v>5843</v>
      </c>
    </row>
    <row r="141" spans="3:18" ht="16">
      <c r="C141" s="19" t="s">
        <v>184</v>
      </c>
      <c r="D141" s="20" t="s">
        <v>2137</v>
      </c>
      <c r="E141" s="21" t="s">
        <v>6033</v>
      </c>
      <c r="F141" s="21" t="s">
        <v>5969</v>
      </c>
      <c r="G141" s="22" t="s">
        <v>5875</v>
      </c>
      <c r="H141" s="22" t="s">
        <v>5835</v>
      </c>
      <c r="I141" s="22">
        <v>33</v>
      </c>
      <c r="K141" s="22" t="s">
        <v>5835</v>
      </c>
      <c r="N141" s="25" t="s">
        <v>6071</v>
      </c>
      <c r="O141" s="25" t="s">
        <v>5835</v>
      </c>
      <c r="R141" s="22" t="s">
        <v>5875</v>
      </c>
    </row>
    <row r="142" spans="3:18" ht="16">
      <c r="C142" s="19" t="s">
        <v>185</v>
      </c>
      <c r="D142" s="20" t="s">
        <v>2138</v>
      </c>
      <c r="E142" s="21" t="s">
        <v>6033</v>
      </c>
      <c r="F142" s="21" t="s">
        <v>5969</v>
      </c>
      <c r="G142" s="22" t="s">
        <v>5862</v>
      </c>
      <c r="H142" s="22" t="s">
        <v>7828</v>
      </c>
      <c r="I142" s="22">
        <v>1720</v>
      </c>
      <c r="K142" s="22" t="s">
        <v>5832</v>
      </c>
      <c r="N142" s="25" t="s">
        <v>6072</v>
      </c>
      <c r="O142" s="25" t="s">
        <v>5835</v>
      </c>
      <c r="R142" s="22" t="s">
        <v>5862</v>
      </c>
    </row>
    <row r="143" spans="3:18" ht="16">
      <c r="C143" s="19" t="s">
        <v>189</v>
      </c>
      <c r="D143" s="20" t="s">
        <v>2142</v>
      </c>
      <c r="E143" s="21" t="s">
        <v>6033</v>
      </c>
      <c r="F143" s="21" t="s">
        <v>5969</v>
      </c>
      <c r="G143" s="22" t="s">
        <v>5862</v>
      </c>
      <c r="H143" s="22" t="s">
        <v>5835</v>
      </c>
      <c r="I143" s="22">
        <v>70.8</v>
      </c>
      <c r="K143" s="22" t="s">
        <v>5835</v>
      </c>
      <c r="N143" s="25" t="s">
        <v>6073</v>
      </c>
      <c r="O143" s="25" t="s">
        <v>5835</v>
      </c>
      <c r="R143" s="22" t="s">
        <v>5862</v>
      </c>
    </row>
    <row r="144" spans="3:18" ht="16">
      <c r="C144" s="19" t="s">
        <v>190</v>
      </c>
      <c r="D144" s="20" t="s">
        <v>2143</v>
      </c>
      <c r="E144" s="21" t="s">
        <v>6074</v>
      </c>
      <c r="F144" s="21" t="s">
        <v>6075</v>
      </c>
      <c r="G144" s="22" t="s">
        <v>5859</v>
      </c>
      <c r="H144" s="22" t="s">
        <v>5835</v>
      </c>
      <c r="I144" s="22">
        <v>38.4</v>
      </c>
      <c r="K144" s="22" t="s">
        <v>5835</v>
      </c>
      <c r="N144" s="25" t="s">
        <v>6076</v>
      </c>
      <c r="O144" s="25" t="s">
        <v>5835</v>
      </c>
      <c r="R144" s="22" t="s">
        <v>5859</v>
      </c>
    </row>
    <row r="145" spans="3:18" ht="16">
      <c r="C145" s="19" t="s">
        <v>192</v>
      </c>
      <c r="D145" s="20" t="s">
        <v>2145</v>
      </c>
      <c r="E145" s="21" t="s">
        <v>6077</v>
      </c>
      <c r="F145" s="21" t="s">
        <v>5969</v>
      </c>
      <c r="G145" s="22" t="s">
        <v>5877</v>
      </c>
      <c r="H145" s="22" t="s">
        <v>5835</v>
      </c>
      <c r="I145" s="22">
        <v>73.099999999999994</v>
      </c>
      <c r="K145" s="22" t="s">
        <v>5835</v>
      </c>
      <c r="N145" s="25" t="s">
        <v>6078</v>
      </c>
      <c r="O145" s="25" t="s">
        <v>5835</v>
      </c>
      <c r="R145" s="22" t="s">
        <v>5877</v>
      </c>
    </row>
    <row r="146" spans="3:18" ht="16">
      <c r="C146" s="19" t="s">
        <v>193</v>
      </c>
      <c r="D146" s="20" t="s">
        <v>2146</v>
      </c>
      <c r="E146" s="21" t="s">
        <v>6079</v>
      </c>
      <c r="F146" s="21" t="s">
        <v>6080</v>
      </c>
      <c r="G146" s="22" t="s">
        <v>5879</v>
      </c>
      <c r="H146" s="22" t="s">
        <v>5835</v>
      </c>
      <c r="I146" s="22">
        <v>96.8</v>
      </c>
      <c r="K146" s="22" t="s">
        <v>5835</v>
      </c>
      <c r="N146" s="25" t="s">
        <v>6081</v>
      </c>
      <c r="O146" s="25" t="s">
        <v>5835</v>
      </c>
      <c r="R146" s="22" t="s">
        <v>5879</v>
      </c>
    </row>
    <row r="147" spans="3:18" ht="16">
      <c r="C147" s="19" t="s">
        <v>194</v>
      </c>
      <c r="D147" s="20" t="s">
        <v>2147</v>
      </c>
      <c r="E147" s="21" t="s">
        <v>6077</v>
      </c>
      <c r="F147" s="21" t="s">
        <v>5969</v>
      </c>
      <c r="G147" s="22" t="s">
        <v>5877</v>
      </c>
      <c r="H147" s="22" t="s">
        <v>7828</v>
      </c>
      <c r="I147" s="22">
        <v>859.7</v>
      </c>
      <c r="K147" s="22" t="s">
        <v>5835</v>
      </c>
      <c r="N147" s="25" t="s">
        <v>6082</v>
      </c>
      <c r="O147" s="25" t="s">
        <v>5835</v>
      </c>
      <c r="R147" s="22" t="s">
        <v>5877</v>
      </c>
    </row>
    <row r="148" spans="3:18" ht="16">
      <c r="C148" s="19" t="s">
        <v>195</v>
      </c>
      <c r="D148" s="20" t="s">
        <v>2148</v>
      </c>
      <c r="E148" s="21" t="s">
        <v>6077</v>
      </c>
      <c r="F148" s="21" t="s">
        <v>5969</v>
      </c>
      <c r="G148" s="22" t="s">
        <v>5877</v>
      </c>
      <c r="H148" s="22" t="s">
        <v>5835</v>
      </c>
      <c r="I148" s="22">
        <v>165.8</v>
      </c>
      <c r="K148" s="22" t="s">
        <v>5835</v>
      </c>
      <c r="N148" s="25" t="s">
        <v>6083</v>
      </c>
      <c r="O148" s="25" t="s">
        <v>5835</v>
      </c>
      <c r="R148" s="22" t="s">
        <v>5877</v>
      </c>
    </row>
    <row r="149" spans="3:18" ht="16">
      <c r="C149" s="19" t="s">
        <v>196</v>
      </c>
      <c r="D149" s="20" t="s">
        <v>2149</v>
      </c>
      <c r="E149" s="21" t="s">
        <v>6077</v>
      </c>
      <c r="F149" s="21" t="s">
        <v>5969</v>
      </c>
      <c r="G149" s="22" t="s">
        <v>5877</v>
      </c>
      <c r="H149" s="22" t="s">
        <v>7828</v>
      </c>
      <c r="I149" s="22">
        <v>285.10000000000002</v>
      </c>
      <c r="K149" s="22" t="s">
        <v>5835</v>
      </c>
      <c r="N149" s="25" t="s">
        <v>6084</v>
      </c>
      <c r="O149" s="25" t="s">
        <v>5835</v>
      </c>
      <c r="R149" s="22" t="s">
        <v>5877</v>
      </c>
    </row>
    <row r="150" spans="3:18" ht="16">
      <c r="C150" s="19" t="s">
        <v>197</v>
      </c>
      <c r="D150" s="20" t="s">
        <v>2150</v>
      </c>
      <c r="E150" s="21" t="s">
        <v>6033</v>
      </c>
      <c r="F150" s="21" t="s">
        <v>5969</v>
      </c>
      <c r="G150" s="22" t="s">
        <v>5881</v>
      </c>
      <c r="H150" s="22" t="s">
        <v>5835</v>
      </c>
      <c r="I150" s="22">
        <v>40.200000000000003</v>
      </c>
      <c r="K150" s="22" t="s">
        <v>5835</v>
      </c>
      <c r="N150" s="25" t="s">
        <v>6085</v>
      </c>
      <c r="O150" s="25" t="s">
        <v>5835</v>
      </c>
      <c r="R150" s="22" t="s">
        <v>5881</v>
      </c>
    </row>
    <row r="151" spans="3:18" ht="16">
      <c r="C151" s="19" t="s">
        <v>198</v>
      </c>
      <c r="D151" s="20" t="s">
        <v>2151</v>
      </c>
      <c r="E151" s="21" t="s">
        <v>6077</v>
      </c>
      <c r="F151" s="21" t="s">
        <v>5969</v>
      </c>
      <c r="G151" s="22" t="s">
        <v>5877</v>
      </c>
      <c r="H151" s="22" t="s">
        <v>5835</v>
      </c>
      <c r="I151" s="22">
        <v>111.9</v>
      </c>
      <c r="K151" s="22" t="s">
        <v>5835</v>
      </c>
      <c r="N151" s="25" t="s">
        <v>6086</v>
      </c>
      <c r="O151" s="25" t="s">
        <v>5835</v>
      </c>
      <c r="R151" s="22" t="s">
        <v>5877</v>
      </c>
    </row>
    <row r="152" spans="3:18" ht="16">
      <c r="C152" s="19" t="s">
        <v>199</v>
      </c>
      <c r="D152" s="20" t="s">
        <v>2152</v>
      </c>
      <c r="E152" s="21" t="s">
        <v>6033</v>
      </c>
      <c r="F152" s="21" t="s">
        <v>5969</v>
      </c>
      <c r="G152" s="22" t="s">
        <v>5879</v>
      </c>
      <c r="H152" s="22" t="s">
        <v>5835</v>
      </c>
      <c r="I152" s="22">
        <v>104.7</v>
      </c>
      <c r="K152" s="22" t="s">
        <v>5835</v>
      </c>
      <c r="N152" s="25" t="s">
        <v>6087</v>
      </c>
      <c r="O152" s="25" t="s">
        <v>5835</v>
      </c>
      <c r="R152" s="22" t="s">
        <v>5879</v>
      </c>
    </row>
    <row r="153" spans="3:18" ht="16">
      <c r="C153" s="19" t="s">
        <v>200</v>
      </c>
      <c r="D153" s="20" t="s">
        <v>2153</v>
      </c>
      <c r="E153" s="21" t="s">
        <v>6077</v>
      </c>
      <c r="F153" s="21" t="s">
        <v>5969</v>
      </c>
      <c r="G153" s="22" t="s">
        <v>5877</v>
      </c>
      <c r="H153" s="22" t="s">
        <v>5835</v>
      </c>
      <c r="I153" s="22">
        <v>95.7</v>
      </c>
      <c r="K153" s="22" t="s">
        <v>5835</v>
      </c>
      <c r="N153" s="25" t="s">
        <v>6088</v>
      </c>
      <c r="O153" s="25" t="s">
        <v>5835</v>
      </c>
      <c r="R153" s="22" t="s">
        <v>5877</v>
      </c>
    </row>
    <row r="154" spans="3:18" ht="16">
      <c r="C154" s="19" t="s">
        <v>201</v>
      </c>
      <c r="D154" s="20" t="s">
        <v>2154</v>
      </c>
      <c r="E154" s="21" t="s">
        <v>6077</v>
      </c>
      <c r="F154" s="21" t="s">
        <v>5969</v>
      </c>
      <c r="G154" s="22" t="s">
        <v>5877</v>
      </c>
      <c r="H154" s="22" t="s">
        <v>5835</v>
      </c>
      <c r="I154" s="22">
        <v>62.5</v>
      </c>
      <c r="K154" s="22" t="s">
        <v>5835</v>
      </c>
      <c r="N154" s="25" t="s">
        <v>6089</v>
      </c>
      <c r="O154" s="25" t="s">
        <v>5835</v>
      </c>
      <c r="R154" s="22" t="s">
        <v>5877</v>
      </c>
    </row>
    <row r="155" spans="3:18" ht="16">
      <c r="C155" s="19" t="s">
        <v>202</v>
      </c>
      <c r="D155" s="20" t="s">
        <v>2155</v>
      </c>
      <c r="E155" s="21" t="s">
        <v>6077</v>
      </c>
      <c r="F155" s="21" t="s">
        <v>5969</v>
      </c>
      <c r="G155" s="22" t="s">
        <v>5877</v>
      </c>
      <c r="H155" s="22" t="s">
        <v>5835</v>
      </c>
      <c r="I155" s="22">
        <v>27.1</v>
      </c>
      <c r="K155" s="22" t="s">
        <v>5835</v>
      </c>
      <c r="N155" s="25" t="s">
        <v>6090</v>
      </c>
      <c r="O155" s="25" t="s">
        <v>5835</v>
      </c>
      <c r="R155" s="22" t="s">
        <v>5877</v>
      </c>
    </row>
    <row r="156" spans="3:18" ht="16">
      <c r="C156" s="19" t="s">
        <v>203</v>
      </c>
      <c r="D156" s="20" t="s">
        <v>2156</v>
      </c>
      <c r="E156" s="21" t="s">
        <v>6077</v>
      </c>
      <c r="F156" s="21" t="s">
        <v>5969</v>
      </c>
      <c r="G156" s="22" t="s">
        <v>5877</v>
      </c>
      <c r="H156" s="22" t="s">
        <v>5835</v>
      </c>
      <c r="I156" s="22">
        <v>94.9</v>
      </c>
      <c r="K156" s="22" t="s">
        <v>5835</v>
      </c>
      <c r="N156" s="25" t="s">
        <v>5877</v>
      </c>
      <c r="O156" s="25" t="s">
        <v>5835</v>
      </c>
      <c r="R156" s="22" t="s">
        <v>5877</v>
      </c>
    </row>
    <row r="157" spans="3:18" ht="16">
      <c r="C157" s="19" t="s">
        <v>205</v>
      </c>
      <c r="D157" s="20" t="s">
        <v>2158</v>
      </c>
      <c r="E157" s="21" t="s">
        <v>6033</v>
      </c>
      <c r="F157" s="21" t="s">
        <v>5969</v>
      </c>
      <c r="G157" s="22" t="s">
        <v>5879</v>
      </c>
      <c r="H157" s="22" t="s">
        <v>5835</v>
      </c>
      <c r="I157" s="22">
        <v>16.399999999999999</v>
      </c>
      <c r="K157" s="22" t="s">
        <v>5835</v>
      </c>
      <c r="N157" s="25" t="s">
        <v>6091</v>
      </c>
      <c r="O157" s="25" t="s">
        <v>5835</v>
      </c>
      <c r="R157" s="22" t="s">
        <v>5879</v>
      </c>
    </row>
    <row r="158" spans="3:18" ht="16">
      <c r="C158" s="19" t="s">
        <v>6092</v>
      </c>
      <c r="D158" s="20" t="s">
        <v>6093</v>
      </c>
      <c r="E158" s="21" t="s">
        <v>6074</v>
      </c>
      <c r="F158" s="21" t="s">
        <v>6075</v>
      </c>
      <c r="G158" s="22" t="s">
        <v>5882</v>
      </c>
      <c r="H158" s="22" t="s">
        <v>5835</v>
      </c>
      <c r="I158" s="22" t="s">
        <v>5835</v>
      </c>
      <c r="K158" s="22" t="s">
        <v>5835</v>
      </c>
      <c r="N158" s="25" t="s">
        <v>6094</v>
      </c>
      <c r="O158" s="25" t="s">
        <v>5835</v>
      </c>
      <c r="R158" s="22" t="s">
        <v>5882</v>
      </c>
    </row>
    <row r="159" spans="3:18" ht="16">
      <c r="C159" s="19" t="s">
        <v>206</v>
      </c>
      <c r="D159" s="20" t="s">
        <v>2159</v>
      </c>
      <c r="E159" s="21" t="s">
        <v>5851</v>
      </c>
      <c r="F159" s="21" t="s">
        <v>5852</v>
      </c>
      <c r="G159" s="22" t="s">
        <v>5836</v>
      </c>
      <c r="H159" s="22" t="s">
        <v>5835</v>
      </c>
      <c r="I159" s="22">
        <v>119.6</v>
      </c>
      <c r="K159" s="22" t="s">
        <v>5835</v>
      </c>
      <c r="N159" s="25" t="s">
        <v>5992</v>
      </c>
      <c r="O159" s="25" t="s">
        <v>5835</v>
      </c>
      <c r="R159" s="22" t="s">
        <v>5836</v>
      </c>
    </row>
    <row r="160" spans="3:18" ht="16">
      <c r="C160" s="19" t="s">
        <v>207</v>
      </c>
      <c r="D160" s="20" t="s">
        <v>2160</v>
      </c>
      <c r="E160" s="21" t="s">
        <v>6074</v>
      </c>
      <c r="F160" s="21" t="s">
        <v>6075</v>
      </c>
      <c r="G160" s="22" t="s">
        <v>5884</v>
      </c>
      <c r="H160" s="22" t="s">
        <v>5835</v>
      </c>
      <c r="I160" s="22">
        <v>181.4</v>
      </c>
      <c r="K160" s="22" t="s">
        <v>5835</v>
      </c>
      <c r="N160" s="25" t="s">
        <v>6095</v>
      </c>
      <c r="O160" s="25" t="s">
        <v>5835</v>
      </c>
      <c r="R160" s="22" t="s">
        <v>5884</v>
      </c>
    </row>
    <row r="161" spans="3:18" ht="16">
      <c r="C161" s="19" t="s">
        <v>208</v>
      </c>
      <c r="D161" s="20" t="s">
        <v>2161</v>
      </c>
      <c r="E161" s="21" t="s">
        <v>6096</v>
      </c>
      <c r="F161" s="21" t="s">
        <v>5896</v>
      </c>
      <c r="G161" s="22" t="s">
        <v>5887</v>
      </c>
      <c r="H161" s="22" t="s">
        <v>5835</v>
      </c>
      <c r="I161" s="22">
        <v>75.8</v>
      </c>
      <c r="K161" s="22" t="s">
        <v>5835</v>
      </c>
      <c r="N161" s="25" t="s">
        <v>6097</v>
      </c>
      <c r="O161" s="25" t="s">
        <v>5835</v>
      </c>
      <c r="R161" s="22" t="s">
        <v>5887</v>
      </c>
    </row>
    <row r="162" spans="3:18" ht="16">
      <c r="C162" s="19" t="s">
        <v>209</v>
      </c>
      <c r="D162" s="20" t="s">
        <v>2162</v>
      </c>
      <c r="E162" s="21" t="s">
        <v>6096</v>
      </c>
      <c r="F162" s="21" t="s">
        <v>5896</v>
      </c>
      <c r="G162" s="22" t="s">
        <v>5887</v>
      </c>
      <c r="H162" s="22" t="s">
        <v>5835</v>
      </c>
      <c r="I162" s="22">
        <v>83.7</v>
      </c>
      <c r="K162" s="22" t="s">
        <v>5835</v>
      </c>
      <c r="N162" s="25" t="s">
        <v>6098</v>
      </c>
      <c r="O162" s="25" t="s">
        <v>5835</v>
      </c>
      <c r="R162" s="22" t="s">
        <v>5887</v>
      </c>
    </row>
    <row r="163" spans="3:18" ht="16">
      <c r="C163" s="19" t="s">
        <v>210</v>
      </c>
      <c r="D163" s="20" t="s">
        <v>2163</v>
      </c>
      <c r="E163" s="21" t="s">
        <v>5895</v>
      </c>
      <c r="F163" s="21" t="s">
        <v>5896</v>
      </c>
      <c r="G163" s="22" t="s">
        <v>5838</v>
      </c>
      <c r="H163" s="22" t="s">
        <v>5835</v>
      </c>
      <c r="I163" s="22">
        <v>98.8</v>
      </c>
      <c r="K163" s="22" t="s">
        <v>5835</v>
      </c>
      <c r="N163" s="25" t="s">
        <v>6099</v>
      </c>
      <c r="O163" s="25" t="s">
        <v>5835</v>
      </c>
      <c r="R163" s="22" t="s">
        <v>5838</v>
      </c>
    </row>
    <row r="164" spans="3:18" ht="16">
      <c r="C164" s="19" t="s">
        <v>211</v>
      </c>
      <c r="D164" s="20" t="s">
        <v>2164</v>
      </c>
      <c r="E164" s="21" t="s">
        <v>6096</v>
      </c>
      <c r="F164" s="21" t="s">
        <v>5896</v>
      </c>
      <c r="G164" s="22" t="s">
        <v>5887</v>
      </c>
      <c r="H164" s="22" t="s">
        <v>5835</v>
      </c>
      <c r="I164" s="22">
        <v>83.3</v>
      </c>
      <c r="K164" s="22" t="s">
        <v>5835</v>
      </c>
      <c r="N164" s="25" t="s">
        <v>6100</v>
      </c>
      <c r="O164" s="25" t="s">
        <v>5835</v>
      </c>
      <c r="R164" s="22" t="s">
        <v>5887</v>
      </c>
    </row>
    <row r="165" spans="3:18" ht="16">
      <c r="C165" s="19" t="s">
        <v>212</v>
      </c>
      <c r="D165" s="20" t="s">
        <v>2165</v>
      </c>
      <c r="E165" s="21" t="s">
        <v>6074</v>
      </c>
      <c r="F165" s="21" t="s">
        <v>6075</v>
      </c>
      <c r="G165" s="22" t="s">
        <v>5887</v>
      </c>
      <c r="H165" s="22" t="s">
        <v>5835</v>
      </c>
      <c r="I165" s="22">
        <v>173.2</v>
      </c>
      <c r="K165" s="22" t="s">
        <v>5835</v>
      </c>
      <c r="N165" s="25" t="s">
        <v>6101</v>
      </c>
      <c r="O165" s="25" t="s">
        <v>5835</v>
      </c>
      <c r="R165" s="22" t="s">
        <v>5887</v>
      </c>
    </row>
    <row r="166" spans="3:18" ht="16">
      <c r="C166" s="19" t="s">
        <v>213</v>
      </c>
      <c r="D166" s="20" t="s">
        <v>2166</v>
      </c>
      <c r="E166" s="21" t="s">
        <v>6096</v>
      </c>
      <c r="F166" s="21" t="s">
        <v>5896</v>
      </c>
      <c r="G166" s="22" t="s">
        <v>5887</v>
      </c>
      <c r="H166" s="22" t="s">
        <v>5835</v>
      </c>
      <c r="I166" s="22">
        <v>81.7</v>
      </c>
      <c r="K166" s="22" t="s">
        <v>5835</v>
      </c>
      <c r="N166" s="25" t="s">
        <v>6102</v>
      </c>
      <c r="O166" s="25" t="s">
        <v>5835</v>
      </c>
      <c r="R166" s="22" t="s">
        <v>5887</v>
      </c>
    </row>
    <row r="167" spans="3:18" ht="16">
      <c r="C167" s="19" t="s">
        <v>214</v>
      </c>
      <c r="D167" s="20" t="s">
        <v>2167</v>
      </c>
      <c r="E167" s="21" t="s">
        <v>6096</v>
      </c>
      <c r="F167" s="21" t="s">
        <v>5896</v>
      </c>
      <c r="G167" s="22" t="s">
        <v>5887</v>
      </c>
      <c r="H167" s="22" t="s">
        <v>5835</v>
      </c>
      <c r="I167" s="22">
        <v>76.599999999999994</v>
      </c>
      <c r="K167" s="22" t="s">
        <v>5835</v>
      </c>
      <c r="N167" s="25" t="s">
        <v>6103</v>
      </c>
      <c r="O167" s="25" t="s">
        <v>5835</v>
      </c>
      <c r="R167" s="22" t="s">
        <v>5887</v>
      </c>
    </row>
    <row r="168" spans="3:18" ht="16">
      <c r="C168" s="19" t="s">
        <v>215</v>
      </c>
      <c r="D168" s="20" t="s">
        <v>2168</v>
      </c>
      <c r="E168" s="21" t="s">
        <v>6096</v>
      </c>
      <c r="F168" s="21" t="s">
        <v>5896</v>
      </c>
      <c r="G168" s="22" t="s">
        <v>5887</v>
      </c>
      <c r="H168" s="22" t="s">
        <v>7828</v>
      </c>
      <c r="I168" s="22">
        <v>282.2</v>
      </c>
      <c r="K168" s="22" t="s">
        <v>5835</v>
      </c>
      <c r="N168" s="25" t="s">
        <v>6104</v>
      </c>
      <c r="O168" s="25" t="s">
        <v>5835</v>
      </c>
      <c r="R168" s="22" t="s">
        <v>5887</v>
      </c>
    </row>
    <row r="169" spans="3:18" ht="16">
      <c r="C169" s="19" t="s">
        <v>216</v>
      </c>
      <c r="D169" s="20" t="s">
        <v>2169</v>
      </c>
      <c r="E169" s="21" t="s">
        <v>5895</v>
      </c>
      <c r="F169" s="21" t="s">
        <v>5896</v>
      </c>
      <c r="G169" s="22" t="s">
        <v>5838</v>
      </c>
      <c r="H169" s="22" t="s">
        <v>5835</v>
      </c>
      <c r="I169" s="22">
        <v>103.3</v>
      </c>
      <c r="K169" s="22" t="s">
        <v>5835</v>
      </c>
      <c r="N169" s="25" t="s">
        <v>6105</v>
      </c>
      <c r="O169" s="25" t="s">
        <v>5835</v>
      </c>
      <c r="R169" s="22" t="s">
        <v>5838</v>
      </c>
    </row>
    <row r="170" spans="3:18" ht="16">
      <c r="C170" s="19" t="s">
        <v>217</v>
      </c>
      <c r="D170" s="20" t="s">
        <v>2170</v>
      </c>
      <c r="E170" s="21" t="s">
        <v>6074</v>
      </c>
      <c r="F170" s="21" t="s">
        <v>6075</v>
      </c>
      <c r="G170" s="22" t="s">
        <v>5882</v>
      </c>
      <c r="H170" s="22" t="s">
        <v>5835</v>
      </c>
      <c r="I170" s="22">
        <v>100.3</v>
      </c>
      <c r="K170" s="22" t="s">
        <v>5835</v>
      </c>
      <c r="N170" s="25" t="s">
        <v>6106</v>
      </c>
      <c r="O170" s="25" t="s">
        <v>5835</v>
      </c>
      <c r="R170" s="22" t="s">
        <v>5882</v>
      </c>
    </row>
    <row r="171" spans="3:18" ht="16">
      <c r="C171" s="19" t="s">
        <v>218</v>
      </c>
      <c r="D171" s="20" t="s">
        <v>2171</v>
      </c>
      <c r="E171" s="21" t="s">
        <v>6096</v>
      </c>
      <c r="F171" s="21" t="s">
        <v>5896</v>
      </c>
      <c r="G171" s="22" t="s">
        <v>5887</v>
      </c>
      <c r="H171" s="22" t="s">
        <v>5835</v>
      </c>
      <c r="I171" s="22">
        <v>20.6</v>
      </c>
      <c r="K171" s="22" t="s">
        <v>5835</v>
      </c>
      <c r="N171" s="25" t="s">
        <v>6107</v>
      </c>
      <c r="O171" s="25" t="s">
        <v>5835</v>
      </c>
      <c r="R171" s="22" t="s">
        <v>5887</v>
      </c>
    </row>
    <row r="172" spans="3:18" ht="16">
      <c r="C172" s="19" t="s">
        <v>219</v>
      </c>
      <c r="D172" s="20" t="s">
        <v>2172</v>
      </c>
      <c r="E172" s="21" t="s">
        <v>6096</v>
      </c>
      <c r="F172" s="21" t="s">
        <v>5896</v>
      </c>
      <c r="G172" s="22" t="s">
        <v>5887</v>
      </c>
      <c r="H172" s="22" t="s">
        <v>7828</v>
      </c>
      <c r="I172" s="22">
        <v>518.4</v>
      </c>
      <c r="K172" s="22" t="s">
        <v>5835</v>
      </c>
      <c r="N172" s="25" t="s">
        <v>6108</v>
      </c>
      <c r="O172" s="25" t="s">
        <v>5835</v>
      </c>
      <c r="R172" s="22" t="s">
        <v>5887</v>
      </c>
    </row>
    <row r="173" spans="3:18" ht="16">
      <c r="C173" s="19" t="s">
        <v>220</v>
      </c>
      <c r="D173" s="20" t="s">
        <v>2173</v>
      </c>
      <c r="E173" s="21" t="s">
        <v>6096</v>
      </c>
      <c r="F173" s="21" t="s">
        <v>5896</v>
      </c>
      <c r="G173" s="22" t="s">
        <v>5887</v>
      </c>
      <c r="H173" s="22" t="s">
        <v>5835</v>
      </c>
      <c r="I173" s="22">
        <v>205.9</v>
      </c>
      <c r="K173" s="22" t="s">
        <v>5835</v>
      </c>
      <c r="N173" s="25" t="s">
        <v>6109</v>
      </c>
      <c r="O173" s="25" t="s">
        <v>5835</v>
      </c>
      <c r="R173" s="22" t="s">
        <v>5887</v>
      </c>
    </row>
    <row r="174" spans="3:18" ht="16">
      <c r="C174" s="19" t="s">
        <v>221</v>
      </c>
      <c r="D174" s="20" t="s">
        <v>2174</v>
      </c>
      <c r="E174" s="21" t="s">
        <v>6096</v>
      </c>
      <c r="F174" s="21" t="s">
        <v>5896</v>
      </c>
      <c r="G174" s="22" t="s">
        <v>5887</v>
      </c>
      <c r="H174" s="22" t="s">
        <v>5835</v>
      </c>
      <c r="I174" s="22">
        <v>52.4</v>
      </c>
      <c r="K174" s="22" t="s">
        <v>5835</v>
      </c>
      <c r="N174" s="25" t="s">
        <v>6110</v>
      </c>
      <c r="O174" s="25" t="s">
        <v>5835</v>
      </c>
      <c r="R174" s="22" t="s">
        <v>5887</v>
      </c>
    </row>
    <row r="175" spans="3:18" ht="16">
      <c r="C175" s="19" t="s">
        <v>222</v>
      </c>
      <c r="D175" s="20" t="s">
        <v>2175</v>
      </c>
      <c r="E175" s="21" t="s">
        <v>6096</v>
      </c>
      <c r="F175" s="21" t="s">
        <v>5896</v>
      </c>
      <c r="G175" s="22" t="s">
        <v>5887</v>
      </c>
      <c r="H175" s="22" t="s">
        <v>5835</v>
      </c>
      <c r="I175" s="22">
        <v>126.8</v>
      </c>
      <c r="K175" s="22" t="s">
        <v>5835</v>
      </c>
      <c r="N175" s="25" t="s">
        <v>6111</v>
      </c>
      <c r="O175" s="25" t="s">
        <v>5835</v>
      </c>
      <c r="R175" s="22" t="s">
        <v>5887</v>
      </c>
    </row>
    <row r="176" spans="3:18" ht="16">
      <c r="C176" s="19" t="s">
        <v>223</v>
      </c>
      <c r="D176" s="20" t="s">
        <v>2176</v>
      </c>
      <c r="E176" s="21" t="s">
        <v>6096</v>
      </c>
      <c r="F176" s="21" t="s">
        <v>5896</v>
      </c>
      <c r="G176" s="22" t="s">
        <v>5887</v>
      </c>
      <c r="H176" s="22" t="s">
        <v>5835</v>
      </c>
      <c r="I176" s="22">
        <v>30.6</v>
      </c>
      <c r="K176" s="22" t="s">
        <v>5835</v>
      </c>
      <c r="N176" s="25" t="s">
        <v>6112</v>
      </c>
      <c r="O176" s="25" t="s">
        <v>5835</v>
      </c>
      <c r="R176" s="22" t="s">
        <v>5887</v>
      </c>
    </row>
    <row r="177" spans="3:18" ht="16">
      <c r="C177" s="19" t="s">
        <v>224</v>
      </c>
      <c r="D177" s="20" t="s">
        <v>2177</v>
      </c>
      <c r="E177" s="21" t="s">
        <v>6096</v>
      </c>
      <c r="F177" s="21" t="s">
        <v>5896</v>
      </c>
      <c r="G177" s="22" t="s">
        <v>5887</v>
      </c>
      <c r="H177" s="22" t="s">
        <v>5835</v>
      </c>
      <c r="I177" s="22">
        <v>33.700000000000003</v>
      </c>
      <c r="K177" s="22" t="s">
        <v>5835</v>
      </c>
      <c r="N177" s="25" t="s">
        <v>6113</v>
      </c>
      <c r="O177" s="25" t="s">
        <v>5835</v>
      </c>
      <c r="R177" s="22" t="s">
        <v>5887</v>
      </c>
    </row>
    <row r="178" spans="3:18" ht="16">
      <c r="C178" s="19" t="s">
        <v>225</v>
      </c>
      <c r="D178" s="20" t="s">
        <v>2178</v>
      </c>
      <c r="E178" s="21" t="s">
        <v>6074</v>
      </c>
      <c r="F178" s="21" t="s">
        <v>6075</v>
      </c>
      <c r="G178" s="22" t="s">
        <v>5884</v>
      </c>
      <c r="H178" s="22" t="s">
        <v>5835</v>
      </c>
      <c r="I178" s="22">
        <v>28.8</v>
      </c>
      <c r="K178" s="22" t="s">
        <v>5835</v>
      </c>
      <c r="N178" s="25" t="s">
        <v>6114</v>
      </c>
      <c r="O178" s="25" t="s">
        <v>5835</v>
      </c>
      <c r="R178" s="22" t="s">
        <v>5884</v>
      </c>
    </row>
    <row r="179" spans="3:18" ht="16">
      <c r="C179" s="19" t="s">
        <v>226</v>
      </c>
      <c r="D179" s="20" t="s">
        <v>2179</v>
      </c>
      <c r="E179" s="21" t="s">
        <v>6096</v>
      </c>
      <c r="F179" s="21" t="s">
        <v>5896</v>
      </c>
      <c r="G179" s="22" t="s">
        <v>5887</v>
      </c>
      <c r="H179" s="22" t="s">
        <v>5835</v>
      </c>
      <c r="I179" s="22">
        <v>11.3</v>
      </c>
      <c r="K179" s="22" t="s">
        <v>5835</v>
      </c>
      <c r="N179" s="25" t="s">
        <v>6115</v>
      </c>
      <c r="O179" s="25" t="s">
        <v>5835</v>
      </c>
      <c r="R179" s="22" t="s">
        <v>5887</v>
      </c>
    </row>
    <row r="180" spans="3:18" ht="16">
      <c r="C180" s="19" t="s">
        <v>227</v>
      </c>
      <c r="D180" s="20" t="s">
        <v>2180</v>
      </c>
      <c r="E180" s="21" t="s">
        <v>6074</v>
      </c>
      <c r="F180" s="21" t="s">
        <v>6075</v>
      </c>
      <c r="G180" s="22" t="s">
        <v>5889</v>
      </c>
      <c r="H180" s="22" t="s">
        <v>5835</v>
      </c>
      <c r="I180" s="22">
        <v>27.4</v>
      </c>
      <c r="K180" s="22" t="s">
        <v>5835</v>
      </c>
      <c r="N180" s="25" t="s">
        <v>6116</v>
      </c>
      <c r="O180" s="25" t="s">
        <v>5835</v>
      </c>
      <c r="R180" s="22" t="s">
        <v>5889</v>
      </c>
    </row>
    <row r="181" spans="3:18" ht="16">
      <c r="C181" s="19" t="s">
        <v>228</v>
      </c>
      <c r="D181" s="20" t="s">
        <v>2181</v>
      </c>
      <c r="E181" s="21" t="s">
        <v>6074</v>
      </c>
      <c r="F181" s="21" t="s">
        <v>6075</v>
      </c>
      <c r="G181" s="22" t="s">
        <v>5891</v>
      </c>
      <c r="H181" s="22" t="s">
        <v>5835</v>
      </c>
      <c r="I181" s="22">
        <v>58.9</v>
      </c>
      <c r="K181" s="22" t="s">
        <v>5835</v>
      </c>
      <c r="N181" s="25" t="s">
        <v>6117</v>
      </c>
      <c r="O181" s="25" t="s">
        <v>5835</v>
      </c>
      <c r="R181" s="22" t="s">
        <v>5891</v>
      </c>
    </row>
    <row r="182" spans="3:18" ht="16">
      <c r="C182" s="19" t="s">
        <v>229</v>
      </c>
      <c r="D182" s="20" t="s">
        <v>2182</v>
      </c>
      <c r="E182" s="21" t="s">
        <v>5895</v>
      </c>
      <c r="F182" s="21" t="s">
        <v>5896</v>
      </c>
      <c r="G182" s="22" t="s">
        <v>5887</v>
      </c>
      <c r="H182" s="22" t="s">
        <v>5835</v>
      </c>
      <c r="I182" s="22">
        <v>15.4</v>
      </c>
      <c r="K182" s="22" t="s">
        <v>5835</v>
      </c>
      <c r="N182" s="25" t="s">
        <v>6118</v>
      </c>
      <c r="O182" s="25" t="s">
        <v>5835</v>
      </c>
      <c r="R182" s="22" t="s">
        <v>5887</v>
      </c>
    </row>
    <row r="183" spans="3:18" ht="16">
      <c r="C183" s="19" t="s">
        <v>230</v>
      </c>
      <c r="D183" s="20" t="s">
        <v>2183</v>
      </c>
      <c r="E183" s="21" t="s">
        <v>6074</v>
      </c>
      <c r="F183" s="21" t="s">
        <v>6075</v>
      </c>
      <c r="G183" s="22" t="s">
        <v>5859</v>
      </c>
      <c r="H183" s="22" t="s">
        <v>7828</v>
      </c>
      <c r="I183" s="22">
        <v>529.4</v>
      </c>
      <c r="K183" s="22" t="s">
        <v>5835</v>
      </c>
      <c r="N183" s="25" t="s">
        <v>6119</v>
      </c>
      <c r="O183" s="25" t="s">
        <v>5835</v>
      </c>
      <c r="R183" s="22" t="s">
        <v>5859</v>
      </c>
    </row>
    <row r="184" spans="3:18" ht="16">
      <c r="C184" s="19" t="s">
        <v>231</v>
      </c>
      <c r="D184" s="20" t="s">
        <v>2184</v>
      </c>
      <c r="E184" s="21" t="s">
        <v>5851</v>
      </c>
      <c r="F184" s="21" t="s">
        <v>5852</v>
      </c>
      <c r="G184" s="22" t="s">
        <v>5887</v>
      </c>
      <c r="H184" s="22" t="s">
        <v>5835</v>
      </c>
      <c r="I184" s="22">
        <v>65.2</v>
      </c>
      <c r="K184" s="22" t="s">
        <v>5835</v>
      </c>
      <c r="N184" s="25" t="s">
        <v>6120</v>
      </c>
      <c r="O184" s="25" t="s">
        <v>5835</v>
      </c>
      <c r="R184" s="22" t="s">
        <v>5887</v>
      </c>
    </row>
    <row r="185" spans="3:18" ht="16">
      <c r="C185" s="19" t="s">
        <v>233</v>
      </c>
      <c r="D185" s="20" t="s">
        <v>2186</v>
      </c>
      <c r="E185" s="21" t="s">
        <v>6074</v>
      </c>
      <c r="F185" s="21" t="s">
        <v>6075</v>
      </c>
      <c r="G185" s="22" t="s">
        <v>5882</v>
      </c>
      <c r="H185" s="22" t="s">
        <v>5835</v>
      </c>
      <c r="I185" s="22">
        <v>35.4</v>
      </c>
      <c r="K185" s="22" t="s">
        <v>5835</v>
      </c>
      <c r="N185" s="25" t="s">
        <v>6121</v>
      </c>
      <c r="O185" s="25" t="s">
        <v>5835</v>
      </c>
      <c r="R185" s="22" t="s">
        <v>5882</v>
      </c>
    </row>
    <row r="186" spans="3:18" ht="16">
      <c r="C186" s="19" t="s">
        <v>234</v>
      </c>
      <c r="D186" s="20" t="s">
        <v>2187</v>
      </c>
      <c r="E186" s="21" t="s">
        <v>6074</v>
      </c>
      <c r="F186" s="21" t="s">
        <v>6075</v>
      </c>
      <c r="G186" s="22" t="s">
        <v>5891</v>
      </c>
      <c r="H186" s="22" t="s">
        <v>5835</v>
      </c>
      <c r="I186" s="22">
        <v>60.4</v>
      </c>
      <c r="K186" s="22" t="s">
        <v>5835</v>
      </c>
      <c r="N186" s="25" t="s">
        <v>6122</v>
      </c>
      <c r="O186" s="25" t="s">
        <v>5835</v>
      </c>
      <c r="R186" s="22" t="s">
        <v>5891</v>
      </c>
    </row>
    <row r="187" spans="3:18" ht="16">
      <c r="C187" s="19" t="s">
        <v>235</v>
      </c>
      <c r="D187" s="20" t="s">
        <v>2188</v>
      </c>
      <c r="E187" s="21" t="s">
        <v>6074</v>
      </c>
      <c r="F187" s="21" t="s">
        <v>6075</v>
      </c>
      <c r="G187" s="22" t="s">
        <v>5882</v>
      </c>
      <c r="H187" s="22" t="s">
        <v>5835</v>
      </c>
      <c r="I187" s="22">
        <v>20.3</v>
      </c>
      <c r="K187" s="22" t="s">
        <v>5835</v>
      </c>
      <c r="N187" s="25" t="s">
        <v>6123</v>
      </c>
      <c r="O187" s="25" t="s">
        <v>5835</v>
      </c>
      <c r="R187" s="22" t="s">
        <v>5882</v>
      </c>
    </row>
    <row r="188" spans="3:18" ht="16">
      <c r="C188" s="19" t="s">
        <v>236</v>
      </c>
      <c r="D188" s="20" t="s">
        <v>2189</v>
      </c>
      <c r="E188" s="21" t="s">
        <v>6096</v>
      </c>
      <c r="F188" s="21" t="s">
        <v>5896</v>
      </c>
      <c r="G188" s="22" t="s">
        <v>5887</v>
      </c>
      <c r="H188" s="22" t="s">
        <v>7828</v>
      </c>
      <c r="I188" s="22">
        <v>384</v>
      </c>
      <c r="K188" s="22" t="s">
        <v>5835</v>
      </c>
      <c r="N188" s="25" t="s">
        <v>6124</v>
      </c>
      <c r="O188" s="25" t="s">
        <v>5835</v>
      </c>
      <c r="R188" s="22" t="s">
        <v>5887</v>
      </c>
    </row>
    <row r="189" spans="3:18" ht="16">
      <c r="C189" s="19" t="s">
        <v>237</v>
      </c>
      <c r="D189" s="20" t="s">
        <v>2190</v>
      </c>
      <c r="E189" s="21" t="s">
        <v>6096</v>
      </c>
      <c r="F189" s="21" t="s">
        <v>5896</v>
      </c>
      <c r="G189" s="22" t="s">
        <v>5893</v>
      </c>
      <c r="H189" s="22" t="s">
        <v>5835</v>
      </c>
      <c r="I189" s="22">
        <v>9.5</v>
      </c>
      <c r="K189" s="22" t="s">
        <v>5835</v>
      </c>
      <c r="N189" s="25" t="s">
        <v>6125</v>
      </c>
      <c r="O189" s="25" t="s">
        <v>5835</v>
      </c>
      <c r="R189" s="22" t="s">
        <v>5893</v>
      </c>
    </row>
    <row r="190" spans="3:18" ht="16">
      <c r="C190" s="19" t="s">
        <v>240</v>
      </c>
      <c r="D190" s="20" t="s">
        <v>2193</v>
      </c>
      <c r="E190" s="21" t="s">
        <v>6074</v>
      </c>
      <c r="F190" s="21" t="s">
        <v>6075</v>
      </c>
      <c r="G190" s="22" t="s">
        <v>5884</v>
      </c>
      <c r="H190" s="22" t="s">
        <v>5835</v>
      </c>
      <c r="I190" s="22">
        <v>39.5</v>
      </c>
      <c r="K190" s="22" t="s">
        <v>5835</v>
      </c>
      <c r="N190" s="25" t="s">
        <v>6126</v>
      </c>
      <c r="O190" s="25" t="s">
        <v>5835</v>
      </c>
      <c r="R190" s="22" t="s">
        <v>5884</v>
      </c>
    </row>
    <row r="191" spans="3:18" ht="16">
      <c r="C191" s="19" t="s">
        <v>243</v>
      </c>
      <c r="D191" s="20" t="s">
        <v>2196</v>
      </c>
      <c r="E191" s="21" t="s">
        <v>6074</v>
      </c>
      <c r="F191" s="21" t="s">
        <v>6075</v>
      </c>
      <c r="G191" s="22" t="s">
        <v>5884</v>
      </c>
      <c r="H191" s="22" t="s">
        <v>5835</v>
      </c>
      <c r="I191" s="22">
        <v>65.400000000000006</v>
      </c>
      <c r="K191" s="22" t="s">
        <v>5835</v>
      </c>
      <c r="N191" s="25" t="s">
        <v>6127</v>
      </c>
      <c r="O191" s="25" t="s">
        <v>5835</v>
      </c>
      <c r="R191" s="22" t="s">
        <v>5884</v>
      </c>
    </row>
    <row r="192" spans="3:18" ht="16">
      <c r="C192" s="19" t="s">
        <v>245</v>
      </c>
      <c r="D192" s="20" t="s">
        <v>2198</v>
      </c>
      <c r="E192" s="21" t="s">
        <v>6074</v>
      </c>
      <c r="F192" s="21" t="s">
        <v>6075</v>
      </c>
      <c r="G192" s="22" t="s">
        <v>5882</v>
      </c>
      <c r="H192" s="22" t="s">
        <v>5835</v>
      </c>
      <c r="I192" s="22">
        <v>129.69999999999999</v>
      </c>
      <c r="K192" s="22" t="s">
        <v>5835</v>
      </c>
      <c r="N192" s="25" t="s">
        <v>6128</v>
      </c>
      <c r="O192" s="25" t="s">
        <v>5835</v>
      </c>
      <c r="R192" s="22" t="s">
        <v>5882</v>
      </c>
    </row>
    <row r="193" spans="3:18" ht="16">
      <c r="C193" s="19" t="s">
        <v>246</v>
      </c>
      <c r="D193" s="20" t="s">
        <v>2199</v>
      </c>
      <c r="E193" s="21" t="s">
        <v>6074</v>
      </c>
      <c r="F193" s="21" t="s">
        <v>6075</v>
      </c>
      <c r="G193" s="22" t="s">
        <v>5882</v>
      </c>
      <c r="H193" s="22" t="s">
        <v>7828</v>
      </c>
      <c r="I193" s="22">
        <v>568.79999999999995</v>
      </c>
      <c r="K193" s="22" t="s">
        <v>5835</v>
      </c>
      <c r="N193" s="25" t="s">
        <v>6129</v>
      </c>
      <c r="O193" s="25" t="s">
        <v>5835</v>
      </c>
      <c r="R193" s="22" t="s">
        <v>5882</v>
      </c>
    </row>
    <row r="194" spans="3:18" ht="16">
      <c r="C194" s="19" t="s">
        <v>249</v>
      </c>
      <c r="D194" s="20" t="s">
        <v>2202</v>
      </c>
      <c r="E194" s="21" t="s">
        <v>6130</v>
      </c>
      <c r="F194" s="21" t="s">
        <v>5831</v>
      </c>
      <c r="G194" s="22" t="s">
        <v>5833</v>
      </c>
      <c r="H194" s="22" t="s">
        <v>7828</v>
      </c>
      <c r="I194" s="22">
        <v>482.7</v>
      </c>
      <c r="K194" s="22" t="s">
        <v>5835</v>
      </c>
      <c r="N194" s="25" t="s">
        <v>6131</v>
      </c>
      <c r="O194" s="25" t="s">
        <v>5835</v>
      </c>
      <c r="R194" s="22" t="s">
        <v>5833</v>
      </c>
    </row>
    <row r="195" spans="3:18" ht="16">
      <c r="C195" s="19" t="s">
        <v>250</v>
      </c>
      <c r="D195" s="20" t="s">
        <v>2203</v>
      </c>
      <c r="E195" s="21" t="s">
        <v>5923</v>
      </c>
      <c r="F195" s="21" t="s">
        <v>5831</v>
      </c>
      <c r="G195" s="22" t="s">
        <v>5840</v>
      </c>
      <c r="H195" s="22" t="s">
        <v>5835</v>
      </c>
      <c r="I195" s="22">
        <v>17.3</v>
      </c>
      <c r="K195" s="22" t="s">
        <v>5835</v>
      </c>
      <c r="N195" s="25" t="s">
        <v>6132</v>
      </c>
      <c r="O195" s="25" t="s">
        <v>5835</v>
      </c>
      <c r="R195" s="22" t="s">
        <v>5840</v>
      </c>
    </row>
    <row r="196" spans="3:18" ht="16">
      <c r="C196" s="19" t="s">
        <v>251</v>
      </c>
      <c r="D196" s="20" t="s">
        <v>2204</v>
      </c>
      <c r="E196" s="21" t="s">
        <v>6130</v>
      </c>
      <c r="F196" s="21" t="s">
        <v>5831</v>
      </c>
      <c r="G196" s="22" t="s">
        <v>5833</v>
      </c>
      <c r="H196" s="22" t="s">
        <v>5835</v>
      </c>
      <c r="I196" s="22">
        <v>38.700000000000003</v>
      </c>
      <c r="K196" s="22" t="s">
        <v>5835</v>
      </c>
      <c r="N196" s="25" t="s">
        <v>6133</v>
      </c>
      <c r="O196" s="25" t="s">
        <v>5835</v>
      </c>
      <c r="R196" s="22" t="s">
        <v>5833</v>
      </c>
    </row>
    <row r="197" spans="3:18" ht="16">
      <c r="C197" s="19" t="s">
        <v>252</v>
      </c>
      <c r="D197" s="20" t="s">
        <v>2205</v>
      </c>
      <c r="E197" s="21" t="s">
        <v>5923</v>
      </c>
      <c r="F197" s="21" t="s">
        <v>5831</v>
      </c>
      <c r="G197" s="22" t="s">
        <v>5840</v>
      </c>
      <c r="H197" s="22" t="s">
        <v>7828</v>
      </c>
      <c r="I197" s="22">
        <v>316.5</v>
      </c>
      <c r="K197" s="22" t="s">
        <v>5835</v>
      </c>
      <c r="N197" s="25">
        <v>0</v>
      </c>
      <c r="O197" s="25" t="s">
        <v>5835</v>
      </c>
      <c r="R197" s="22" t="s">
        <v>5840</v>
      </c>
    </row>
    <row r="198" spans="3:18" ht="16">
      <c r="C198" s="19" t="s">
        <v>253</v>
      </c>
      <c r="D198" s="20" t="s">
        <v>2206</v>
      </c>
      <c r="E198" s="21" t="s">
        <v>6130</v>
      </c>
      <c r="F198" s="21" t="s">
        <v>5831</v>
      </c>
      <c r="G198" s="22" t="s">
        <v>5833</v>
      </c>
      <c r="H198" s="22" t="s">
        <v>5835</v>
      </c>
      <c r="I198" s="22">
        <v>25.4</v>
      </c>
      <c r="K198" s="22" t="s">
        <v>5835</v>
      </c>
      <c r="N198" s="25" t="s">
        <v>6134</v>
      </c>
      <c r="O198" s="25" t="s">
        <v>5835</v>
      </c>
      <c r="R198" s="22" t="s">
        <v>5833</v>
      </c>
    </row>
    <row r="199" spans="3:18" ht="16">
      <c r="C199" s="19" t="s">
        <v>254</v>
      </c>
      <c r="D199" s="20" t="s">
        <v>2207</v>
      </c>
      <c r="E199" s="21" t="s">
        <v>6130</v>
      </c>
      <c r="F199" s="21" t="s">
        <v>5831</v>
      </c>
      <c r="G199" s="22" t="s">
        <v>5833</v>
      </c>
      <c r="H199" s="22" t="s">
        <v>5835</v>
      </c>
      <c r="I199" s="22">
        <v>43.7</v>
      </c>
      <c r="K199" s="22" t="s">
        <v>5835</v>
      </c>
      <c r="N199" s="25" t="s">
        <v>6135</v>
      </c>
      <c r="O199" s="25" t="s">
        <v>5835</v>
      </c>
      <c r="R199" s="22" t="s">
        <v>5833</v>
      </c>
    </row>
    <row r="200" spans="3:18" ht="16">
      <c r="C200" s="19" t="s">
        <v>257</v>
      </c>
      <c r="D200" s="20" t="s">
        <v>2210</v>
      </c>
      <c r="E200" s="21" t="s">
        <v>6130</v>
      </c>
      <c r="F200" s="21" t="s">
        <v>5831</v>
      </c>
      <c r="G200" s="22" t="s">
        <v>5833</v>
      </c>
      <c r="H200" s="22" t="s">
        <v>5835</v>
      </c>
      <c r="I200" s="22">
        <v>28.4</v>
      </c>
      <c r="K200" s="22" t="s">
        <v>5835</v>
      </c>
      <c r="N200" s="25" t="s">
        <v>6136</v>
      </c>
      <c r="O200" s="25" t="s">
        <v>5835</v>
      </c>
      <c r="R200" s="22" t="s">
        <v>5833</v>
      </c>
    </row>
    <row r="201" spans="3:18" ht="16">
      <c r="C201" s="19" t="s">
        <v>258</v>
      </c>
      <c r="D201" s="20" t="s">
        <v>2211</v>
      </c>
      <c r="E201" s="21" t="s">
        <v>6137</v>
      </c>
      <c r="F201" s="21" t="s">
        <v>5969</v>
      </c>
      <c r="G201" s="22" t="s">
        <v>7827</v>
      </c>
      <c r="H201" s="22" t="s">
        <v>5835</v>
      </c>
      <c r="I201" s="22">
        <v>143.80000000000001</v>
      </c>
      <c r="K201" s="22" t="s">
        <v>5835</v>
      </c>
      <c r="N201" s="25" t="s">
        <v>6138</v>
      </c>
      <c r="O201" s="25" t="s">
        <v>5835</v>
      </c>
      <c r="R201" s="22" t="s">
        <v>5940</v>
      </c>
    </row>
    <row r="202" spans="3:18" ht="16">
      <c r="C202" s="19" t="s">
        <v>259</v>
      </c>
      <c r="D202" s="20" t="s">
        <v>2212</v>
      </c>
      <c r="E202" s="21" t="s">
        <v>6137</v>
      </c>
      <c r="F202" s="21" t="s">
        <v>5969</v>
      </c>
      <c r="G202" s="22" t="s">
        <v>5897</v>
      </c>
      <c r="H202" s="22" t="s">
        <v>5835</v>
      </c>
      <c r="I202" s="22">
        <v>202.3</v>
      </c>
      <c r="K202" s="22" t="s">
        <v>5835</v>
      </c>
      <c r="N202" s="25" t="s">
        <v>6139</v>
      </c>
      <c r="O202" s="25" t="s">
        <v>5835</v>
      </c>
      <c r="R202" s="22" t="s">
        <v>5897</v>
      </c>
    </row>
    <row r="203" spans="3:18" ht="16">
      <c r="C203" s="19" t="s">
        <v>260</v>
      </c>
      <c r="D203" s="20" t="s">
        <v>2213</v>
      </c>
      <c r="E203" s="21" t="s">
        <v>6137</v>
      </c>
      <c r="F203" s="21" t="s">
        <v>5969</v>
      </c>
      <c r="G203" s="22" t="s">
        <v>5897</v>
      </c>
      <c r="H203" s="22" t="s">
        <v>5835</v>
      </c>
      <c r="I203" s="22">
        <v>128.5</v>
      </c>
      <c r="K203" s="22" t="s">
        <v>5835</v>
      </c>
      <c r="N203" s="25" t="s">
        <v>6140</v>
      </c>
      <c r="O203" s="25" t="s">
        <v>5835</v>
      </c>
      <c r="R203" s="22" t="s">
        <v>5897</v>
      </c>
    </row>
    <row r="204" spans="3:18" ht="16">
      <c r="C204" s="19" t="s">
        <v>261</v>
      </c>
      <c r="D204" s="20" t="s">
        <v>2214</v>
      </c>
      <c r="E204" s="21" t="s">
        <v>6137</v>
      </c>
      <c r="F204" s="21" t="s">
        <v>5969</v>
      </c>
      <c r="G204" s="22" t="s">
        <v>5897</v>
      </c>
      <c r="H204" s="22" t="s">
        <v>5835</v>
      </c>
      <c r="I204" s="22">
        <v>18.399999999999999</v>
      </c>
      <c r="K204" s="22" t="s">
        <v>5835</v>
      </c>
      <c r="N204" s="25" t="s">
        <v>6141</v>
      </c>
      <c r="O204" s="25" t="s">
        <v>5835</v>
      </c>
      <c r="R204" s="22" t="s">
        <v>5897</v>
      </c>
    </row>
    <row r="205" spans="3:18" ht="16">
      <c r="C205" s="19" t="s">
        <v>262</v>
      </c>
      <c r="D205" s="20" t="s">
        <v>2215</v>
      </c>
      <c r="E205" s="21" t="s">
        <v>6137</v>
      </c>
      <c r="F205" s="21" t="s">
        <v>5969</v>
      </c>
      <c r="G205" s="22" t="s">
        <v>5897</v>
      </c>
      <c r="H205" s="22" t="s">
        <v>7828</v>
      </c>
      <c r="I205" s="22">
        <v>390.2</v>
      </c>
      <c r="K205" s="22" t="s">
        <v>5835</v>
      </c>
      <c r="N205" s="25" t="s">
        <v>6142</v>
      </c>
      <c r="O205" s="25" t="s">
        <v>5835</v>
      </c>
      <c r="R205" s="22" t="s">
        <v>5897</v>
      </c>
    </row>
    <row r="206" spans="3:18" ht="16">
      <c r="C206" s="19" t="s">
        <v>263</v>
      </c>
      <c r="D206" s="20" t="s">
        <v>2216</v>
      </c>
      <c r="E206" s="21" t="s">
        <v>6137</v>
      </c>
      <c r="F206" s="21" t="s">
        <v>5969</v>
      </c>
      <c r="G206" s="22" t="s">
        <v>5897</v>
      </c>
      <c r="H206" s="22" t="s">
        <v>5835</v>
      </c>
      <c r="I206" s="22">
        <v>118.4</v>
      </c>
      <c r="K206" s="22" t="s">
        <v>5835</v>
      </c>
      <c r="N206" s="25" t="s">
        <v>6143</v>
      </c>
      <c r="O206" s="25" t="s">
        <v>5835</v>
      </c>
      <c r="R206" s="22" t="s">
        <v>5897</v>
      </c>
    </row>
    <row r="207" spans="3:18" ht="16">
      <c r="C207" s="19" t="s">
        <v>264</v>
      </c>
      <c r="D207" s="20" t="s">
        <v>2217</v>
      </c>
      <c r="E207" s="21" t="s">
        <v>6054</v>
      </c>
      <c r="F207" s="21" t="s">
        <v>6055</v>
      </c>
      <c r="G207" s="22" t="s">
        <v>5865</v>
      </c>
      <c r="H207" s="22" t="s">
        <v>7828</v>
      </c>
      <c r="I207" s="22">
        <v>2989</v>
      </c>
      <c r="K207" s="22" t="s">
        <v>5832</v>
      </c>
      <c r="N207" s="25">
        <v>0</v>
      </c>
      <c r="O207" s="25" t="s">
        <v>5835</v>
      </c>
      <c r="R207" s="22" t="s">
        <v>5865</v>
      </c>
    </row>
    <row r="208" spans="3:18" ht="16">
      <c r="C208" s="19" t="s">
        <v>265</v>
      </c>
      <c r="D208" s="20" t="s">
        <v>2218</v>
      </c>
      <c r="E208" s="21" t="s">
        <v>6054</v>
      </c>
      <c r="F208" s="21" t="s">
        <v>6055</v>
      </c>
      <c r="G208" s="22" t="s">
        <v>5865</v>
      </c>
      <c r="H208" s="22" t="s">
        <v>7828</v>
      </c>
      <c r="I208" s="22">
        <v>471</v>
      </c>
      <c r="K208" s="22" t="s">
        <v>5835</v>
      </c>
      <c r="N208" s="25">
        <v>0</v>
      </c>
      <c r="O208" s="25" t="s">
        <v>5835</v>
      </c>
      <c r="R208" s="22" t="s">
        <v>5865</v>
      </c>
    </row>
    <row r="209" spans="3:18" ht="16">
      <c r="C209" s="19" t="s">
        <v>266</v>
      </c>
      <c r="D209" s="20" t="s">
        <v>2219</v>
      </c>
      <c r="E209" s="21" t="s">
        <v>6054</v>
      </c>
      <c r="F209" s="21" t="s">
        <v>6055</v>
      </c>
      <c r="G209" s="22" t="s">
        <v>5865</v>
      </c>
      <c r="H209" s="22" t="s">
        <v>5835</v>
      </c>
      <c r="I209" s="22">
        <v>36.9</v>
      </c>
      <c r="K209" s="22" t="s">
        <v>5835</v>
      </c>
      <c r="N209" s="25" t="s">
        <v>6144</v>
      </c>
      <c r="O209" s="25" t="s">
        <v>5835</v>
      </c>
      <c r="R209" s="22" t="s">
        <v>5865</v>
      </c>
    </row>
    <row r="210" spans="3:18" ht="16">
      <c r="C210" s="19" t="s">
        <v>267</v>
      </c>
      <c r="D210" s="20" t="s">
        <v>2220</v>
      </c>
      <c r="E210" s="21" t="s">
        <v>6054</v>
      </c>
      <c r="F210" s="21" t="s">
        <v>6055</v>
      </c>
      <c r="G210" s="22" t="s">
        <v>5865</v>
      </c>
      <c r="H210" s="22" t="s">
        <v>5835</v>
      </c>
      <c r="I210" s="22">
        <v>46.5</v>
      </c>
      <c r="K210" s="22" t="s">
        <v>5835</v>
      </c>
      <c r="N210" s="25" t="s">
        <v>6145</v>
      </c>
      <c r="O210" s="25" t="s">
        <v>5835</v>
      </c>
      <c r="R210" s="22" t="s">
        <v>5865</v>
      </c>
    </row>
    <row r="211" spans="3:18" ht="16">
      <c r="C211" s="19" t="s">
        <v>268</v>
      </c>
      <c r="D211" s="20" t="s">
        <v>2221</v>
      </c>
      <c r="E211" s="21" t="s">
        <v>6054</v>
      </c>
      <c r="F211" s="21" t="s">
        <v>6055</v>
      </c>
      <c r="G211" s="22" t="s">
        <v>5865</v>
      </c>
      <c r="H211" s="22" t="s">
        <v>5835</v>
      </c>
      <c r="I211" s="22">
        <v>123.5</v>
      </c>
      <c r="K211" s="22" t="s">
        <v>5835</v>
      </c>
      <c r="N211" s="25">
        <v>0</v>
      </c>
      <c r="O211" s="25" t="s">
        <v>5835</v>
      </c>
      <c r="R211" s="22" t="s">
        <v>5865</v>
      </c>
    </row>
    <row r="212" spans="3:18" ht="16">
      <c r="C212" s="19" t="s">
        <v>269</v>
      </c>
      <c r="D212" s="20" t="s">
        <v>2222</v>
      </c>
      <c r="E212" s="21" t="s">
        <v>6054</v>
      </c>
      <c r="F212" s="21" t="s">
        <v>6055</v>
      </c>
      <c r="G212" s="22" t="s">
        <v>5865</v>
      </c>
      <c r="H212" s="22" t="s">
        <v>5835</v>
      </c>
      <c r="I212" s="22">
        <v>117.9</v>
      </c>
      <c r="K212" s="22" t="s">
        <v>5835</v>
      </c>
      <c r="N212" s="25" t="s">
        <v>6146</v>
      </c>
      <c r="O212" s="25" t="s">
        <v>5835</v>
      </c>
      <c r="R212" s="22" t="s">
        <v>5865</v>
      </c>
    </row>
    <row r="213" spans="3:18" ht="16">
      <c r="C213" s="19" t="s">
        <v>270</v>
      </c>
      <c r="D213" s="20" t="s">
        <v>2223</v>
      </c>
      <c r="E213" s="21" t="s">
        <v>6054</v>
      </c>
      <c r="F213" s="21" t="s">
        <v>6055</v>
      </c>
      <c r="G213" s="22" t="s">
        <v>5865</v>
      </c>
      <c r="H213" s="22" t="s">
        <v>5835</v>
      </c>
      <c r="I213" s="22">
        <v>56.2</v>
      </c>
      <c r="K213" s="22" t="s">
        <v>5835</v>
      </c>
      <c r="N213" s="25" t="s">
        <v>6147</v>
      </c>
      <c r="O213" s="25" t="s">
        <v>5835</v>
      </c>
      <c r="R213" s="22" t="s">
        <v>5865</v>
      </c>
    </row>
    <row r="214" spans="3:18" ht="16">
      <c r="C214" s="19" t="s">
        <v>271</v>
      </c>
      <c r="D214" s="20" t="s">
        <v>2224</v>
      </c>
      <c r="E214" s="21" t="s">
        <v>6054</v>
      </c>
      <c r="F214" s="21" t="s">
        <v>6055</v>
      </c>
      <c r="G214" s="22" t="s">
        <v>5865</v>
      </c>
      <c r="H214" s="22" t="s">
        <v>5835</v>
      </c>
      <c r="I214" s="22">
        <v>87.3</v>
      </c>
      <c r="K214" s="22" t="s">
        <v>5835</v>
      </c>
      <c r="N214" s="25" t="s">
        <v>6148</v>
      </c>
      <c r="O214" s="25" t="s">
        <v>5835</v>
      </c>
      <c r="R214" s="22" t="s">
        <v>5865</v>
      </c>
    </row>
    <row r="215" spans="3:18" ht="16">
      <c r="C215" s="19" t="s">
        <v>272</v>
      </c>
      <c r="D215" s="20" t="s">
        <v>2225</v>
      </c>
      <c r="E215" s="21" t="s">
        <v>6054</v>
      </c>
      <c r="F215" s="21" t="s">
        <v>6055</v>
      </c>
      <c r="G215" s="22" t="s">
        <v>5865</v>
      </c>
      <c r="H215" s="22" t="s">
        <v>5835</v>
      </c>
      <c r="I215" s="22">
        <v>199.5</v>
      </c>
      <c r="K215" s="22" t="s">
        <v>5835</v>
      </c>
      <c r="N215" s="25" t="s">
        <v>6149</v>
      </c>
      <c r="O215" s="25" t="s">
        <v>5835</v>
      </c>
      <c r="R215" s="22" t="s">
        <v>5865</v>
      </c>
    </row>
    <row r="216" spans="3:18" ht="16">
      <c r="C216" s="19" t="s">
        <v>273</v>
      </c>
      <c r="D216" s="20" t="s">
        <v>2226</v>
      </c>
      <c r="E216" s="21" t="s">
        <v>6054</v>
      </c>
      <c r="F216" s="21" t="s">
        <v>6055</v>
      </c>
      <c r="G216" s="22" t="s">
        <v>5865</v>
      </c>
      <c r="H216" s="22" t="s">
        <v>7828</v>
      </c>
      <c r="I216" s="22">
        <v>376.9</v>
      </c>
      <c r="K216" s="22" t="s">
        <v>5835</v>
      </c>
      <c r="N216" s="25" t="s">
        <v>6150</v>
      </c>
      <c r="O216" s="25" t="s">
        <v>5835</v>
      </c>
      <c r="R216" s="22" t="s">
        <v>5865</v>
      </c>
    </row>
    <row r="217" spans="3:18" ht="16">
      <c r="C217" s="19" t="s">
        <v>274</v>
      </c>
      <c r="D217" s="20" t="s">
        <v>2227</v>
      </c>
      <c r="E217" s="21" t="s">
        <v>6054</v>
      </c>
      <c r="F217" s="21" t="s">
        <v>6055</v>
      </c>
      <c r="G217" s="22" t="s">
        <v>5865</v>
      </c>
      <c r="H217" s="22" t="s">
        <v>5835</v>
      </c>
      <c r="I217" s="22">
        <v>42.8</v>
      </c>
      <c r="K217" s="22" t="s">
        <v>5835</v>
      </c>
      <c r="N217" s="25" t="s">
        <v>6151</v>
      </c>
      <c r="O217" s="25" t="s">
        <v>5835</v>
      </c>
      <c r="R217" s="22" t="s">
        <v>5865</v>
      </c>
    </row>
    <row r="218" spans="3:18" ht="16">
      <c r="C218" s="19" t="s">
        <v>275</v>
      </c>
      <c r="D218" s="20" t="s">
        <v>2228</v>
      </c>
      <c r="E218" s="21" t="s">
        <v>6054</v>
      </c>
      <c r="F218" s="21" t="s">
        <v>6055</v>
      </c>
      <c r="G218" s="22" t="s">
        <v>5865</v>
      </c>
      <c r="H218" s="22" t="s">
        <v>5835</v>
      </c>
      <c r="I218" s="22">
        <v>63.3</v>
      </c>
      <c r="K218" s="22" t="s">
        <v>5835</v>
      </c>
      <c r="N218" s="25" t="s">
        <v>6152</v>
      </c>
      <c r="O218" s="25" t="s">
        <v>5835</v>
      </c>
      <c r="R218" s="22" t="s">
        <v>5865</v>
      </c>
    </row>
    <row r="219" spans="3:18" ht="16">
      <c r="C219" s="19" t="s">
        <v>276</v>
      </c>
      <c r="D219" s="20" t="s">
        <v>2229</v>
      </c>
      <c r="E219" s="21" t="s">
        <v>6054</v>
      </c>
      <c r="F219" s="21" t="s">
        <v>6055</v>
      </c>
      <c r="G219" s="22" t="s">
        <v>5865</v>
      </c>
      <c r="H219" s="22" t="s">
        <v>5835</v>
      </c>
      <c r="I219" s="22">
        <v>25.8</v>
      </c>
      <c r="K219" s="22" t="s">
        <v>5835</v>
      </c>
      <c r="N219" s="25" t="s">
        <v>6153</v>
      </c>
      <c r="O219" s="25" t="s">
        <v>5835</v>
      </c>
      <c r="R219" s="22" t="s">
        <v>5865</v>
      </c>
    </row>
    <row r="220" spans="3:18" ht="16">
      <c r="C220" s="19" t="s">
        <v>277</v>
      </c>
      <c r="D220" s="20" t="s">
        <v>2230</v>
      </c>
      <c r="E220" s="21" t="s">
        <v>6054</v>
      </c>
      <c r="F220" s="21" t="s">
        <v>6055</v>
      </c>
      <c r="G220" s="22" t="s">
        <v>5865</v>
      </c>
      <c r="H220" s="22" t="s">
        <v>7828</v>
      </c>
      <c r="I220" s="22">
        <v>302.60000000000002</v>
      </c>
      <c r="K220" s="22" t="s">
        <v>5835</v>
      </c>
      <c r="N220" s="25" t="s">
        <v>6154</v>
      </c>
      <c r="O220" s="25" t="s">
        <v>5835</v>
      </c>
      <c r="R220" s="22" t="s">
        <v>5865</v>
      </c>
    </row>
    <row r="221" spans="3:18" ht="16">
      <c r="C221" s="19" t="s">
        <v>278</v>
      </c>
      <c r="D221" s="20" t="s">
        <v>2231</v>
      </c>
      <c r="E221" s="21" t="s">
        <v>6054</v>
      </c>
      <c r="F221" s="21" t="s">
        <v>6055</v>
      </c>
      <c r="G221" s="22" t="s">
        <v>5865</v>
      </c>
      <c r="H221" s="22" t="s">
        <v>5835</v>
      </c>
      <c r="I221" s="22">
        <v>17.2</v>
      </c>
      <c r="K221" s="22" t="s">
        <v>5835</v>
      </c>
      <c r="N221" s="25" t="s">
        <v>6155</v>
      </c>
      <c r="O221" s="25" t="s">
        <v>5835</v>
      </c>
      <c r="R221" s="22" t="s">
        <v>5865</v>
      </c>
    </row>
    <row r="222" spans="3:18" ht="16">
      <c r="C222" s="19" t="s">
        <v>279</v>
      </c>
      <c r="D222" s="20" t="s">
        <v>2232</v>
      </c>
      <c r="E222" s="21" t="s">
        <v>6054</v>
      </c>
      <c r="F222" s="21" t="s">
        <v>6055</v>
      </c>
      <c r="G222" s="22" t="s">
        <v>5865</v>
      </c>
      <c r="H222" s="22" t="s">
        <v>5835</v>
      </c>
      <c r="I222" s="22">
        <v>21.2</v>
      </c>
      <c r="K222" s="22" t="s">
        <v>5835</v>
      </c>
      <c r="N222" s="25" t="s">
        <v>6156</v>
      </c>
      <c r="O222" s="25" t="s">
        <v>5835</v>
      </c>
      <c r="R222" s="22" t="s">
        <v>5865</v>
      </c>
    </row>
    <row r="223" spans="3:18" ht="16">
      <c r="C223" s="19" t="s">
        <v>280</v>
      </c>
      <c r="D223" s="20" t="s">
        <v>2233</v>
      </c>
      <c r="E223" s="21" t="s">
        <v>6054</v>
      </c>
      <c r="F223" s="21" t="s">
        <v>6055</v>
      </c>
      <c r="G223" s="22" t="s">
        <v>5865</v>
      </c>
      <c r="H223" s="22" t="s">
        <v>7828</v>
      </c>
      <c r="I223" s="22">
        <v>813.1</v>
      </c>
      <c r="K223" s="22" t="s">
        <v>5835</v>
      </c>
      <c r="N223" s="25">
        <v>0</v>
      </c>
      <c r="O223" s="25" t="s">
        <v>5835</v>
      </c>
      <c r="R223" s="22" t="s">
        <v>5865</v>
      </c>
    </row>
    <row r="224" spans="3:18" ht="16">
      <c r="C224" s="19" t="s">
        <v>281</v>
      </c>
      <c r="D224" s="20" t="s">
        <v>2234</v>
      </c>
      <c r="E224" s="21" t="s">
        <v>6054</v>
      </c>
      <c r="F224" s="21" t="s">
        <v>6055</v>
      </c>
      <c r="G224" s="22" t="s">
        <v>5865</v>
      </c>
      <c r="H224" s="22" t="s">
        <v>5835</v>
      </c>
      <c r="I224" s="22">
        <v>60.3</v>
      </c>
      <c r="K224" s="22" t="s">
        <v>5835</v>
      </c>
      <c r="N224" s="25" t="s">
        <v>6157</v>
      </c>
      <c r="O224" s="25" t="s">
        <v>5835</v>
      </c>
      <c r="R224" s="22" t="s">
        <v>5865</v>
      </c>
    </row>
    <row r="225" spans="3:18" ht="16">
      <c r="C225" s="19" t="s">
        <v>282</v>
      </c>
      <c r="D225" s="20" t="s">
        <v>2235</v>
      </c>
      <c r="E225" s="21" t="s">
        <v>6054</v>
      </c>
      <c r="F225" s="21" t="s">
        <v>6055</v>
      </c>
      <c r="G225" s="22" t="s">
        <v>5865</v>
      </c>
      <c r="H225" s="22" t="s">
        <v>5835</v>
      </c>
      <c r="I225" s="22">
        <v>76.3</v>
      </c>
      <c r="K225" s="22" t="s">
        <v>5835</v>
      </c>
      <c r="N225" s="25" t="s">
        <v>6158</v>
      </c>
      <c r="O225" s="25" t="s">
        <v>5835</v>
      </c>
      <c r="R225" s="22" t="s">
        <v>5865</v>
      </c>
    </row>
    <row r="226" spans="3:18" ht="16">
      <c r="C226" s="19" t="s">
        <v>283</v>
      </c>
      <c r="D226" s="20" t="s">
        <v>2236</v>
      </c>
      <c r="E226" s="21" t="s">
        <v>6054</v>
      </c>
      <c r="F226" s="21" t="s">
        <v>6055</v>
      </c>
      <c r="G226" s="22" t="s">
        <v>5865</v>
      </c>
      <c r="H226" s="22" t="s">
        <v>5835</v>
      </c>
      <c r="I226" s="22">
        <v>39</v>
      </c>
      <c r="K226" s="22" t="s">
        <v>5835</v>
      </c>
      <c r="N226" s="25" t="s">
        <v>6159</v>
      </c>
      <c r="O226" s="25" t="s">
        <v>5835</v>
      </c>
      <c r="R226" s="22" t="s">
        <v>5865</v>
      </c>
    </row>
    <row r="227" spans="3:18" ht="16">
      <c r="C227" s="19" t="s">
        <v>284</v>
      </c>
      <c r="D227" s="20" t="s">
        <v>2237</v>
      </c>
      <c r="E227" s="21" t="s">
        <v>6054</v>
      </c>
      <c r="F227" s="21" t="s">
        <v>6055</v>
      </c>
      <c r="G227" s="22" t="s">
        <v>5865</v>
      </c>
      <c r="H227" s="22" t="s">
        <v>5835</v>
      </c>
      <c r="I227" s="22">
        <v>120.7</v>
      </c>
      <c r="K227" s="22" t="s">
        <v>5835</v>
      </c>
      <c r="N227" s="25" t="s">
        <v>6160</v>
      </c>
      <c r="O227" s="25" t="s">
        <v>5835</v>
      </c>
      <c r="R227" s="22" t="s">
        <v>5865</v>
      </c>
    </row>
    <row r="228" spans="3:18" ht="16">
      <c r="C228" s="19" t="s">
        <v>285</v>
      </c>
      <c r="D228" s="20" t="s">
        <v>2238</v>
      </c>
      <c r="E228" s="21" t="s">
        <v>6054</v>
      </c>
      <c r="F228" s="21" t="s">
        <v>6055</v>
      </c>
      <c r="G228" s="22" t="s">
        <v>5865</v>
      </c>
      <c r="H228" s="22" t="s">
        <v>5835</v>
      </c>
      <c r="I228" s="22">
        <v>17.899999999999999</v>
      </c>
      <c r="K228" s="22" t="s">
        <v>5835</v>
      </c>
      <c r="N228" s="25" t="s">
        <v>6161</v>
      </c>
      <c r="O228" s="25" t="s">
        <v>5835</v>
      </c>
      <c r="R228" s="22" t="s">
        <v>5865</v>
      </c>
    </row>
    <row r="229" spans="3:18" ht="16">
      <c r="C229" s="19" t="s">
        <v>286</v>
      </c>
      <c r="D229" s="20" t="s">
        <v>2239</v>
      </c>
      <c r="E229" s="21" t="s">
        <v>6054</v>
      </c>
      <c r="F229" s="21" t="s">
        <v>6055</v>
      </c>
      <c r="G229" s="22" t="s">
        <v>5865</v>
      </c>
      <c r="H229" s="22" t="s">
        <v>5835</v>
      </c>
      <c r="I229" s="22">
        <v>12.5</v>
      </c>
      <c r="K229" s="22" t="s">
        <v>5835</v>
      </c>
      <c r="N229" s="25" t="s">
        <v>6162</v>
      </c>
      <c r="O229" s="25" t="s">
        <v>5835</v>
      </c>
      <c r="R229" s="22" t="s">
        <v>5865</v>
      </c>
    </row>
    <row r="230" spans="3:18" ht="16">
      <c r="C230" s="19" t="s">
        <v>287</v>
      </c>
      <c r="D230" s="20" t="s">
        <v>2240</v>
      </c>
      <c r="E230" s="21" t="s">
        <v>6054</v>
      </c>
      <c r="F230" s="21" t="s">
        <v>6055</v>
      </c>
      <c r="G230" s="22" t="s">
        <v>5865</v>
      </c>
      <c r="H230" s="22" t="s">
        <v>5835</v>
      </c>
      <c r="I230" s="22">
        <v>110.5</v>
      </c>
      <c r="K230" s="22" t="s">
        <v>5835</v>
      </c>
      <c r="N230" s="25" t="s">
        <v>6163</v>
      </c>
      <c r="O230" s="25" t="s">
        <v>5835</v>
      </c>
      <c r="R230" s="22" t="s">
        <v>5865</v>
      </c>
    </row>
    <row r="231" spans="3:18" ht="16">
      <c r="C231" s="19" t="s">
        <v>289</v>
      </c>
      <c r="D231" s="20" t="s">
        <v>2242</v>
      </c>
      <c r="E231" s="21" t="s">
        <v>6054</v>
      </c>
      <c r="F231" s="21" t="s">
        <v>6055</v>
      </c>
      <c r="G231" s="22" t="s">
        <v>5865</v>
      </c>
      <c r="H231" s="22" t="s">
        <v>5835</v>
      </c>
      <c r="I231" s="22">
        <v>28</v>
      </c>
      <c r="K231" s="22" t="s">
        <v>5835</v>
      </c>
      <c r="N231" s="25" t="s">
        <v>6164</v>
      </c>
      <c r="O231" s="25" t="s">
        <v>5835</v>
      </c>
      <c r="R231" s="22" t="s">
        <v>5865</v>
      </c>
    </row>
    <row r="232" spans="3:18" ht="16">
      <c r="C232" s="19" t="s">
        <v>290</v>
      </c>
      <c r="D232" s="20" t="s">
        <v>2243</v>
      </c>
      <c r="E232" s="21" t="s">
        <v>6033</v>
      </c>
      <c r="F232" s="21" t="s">
        <v>5969</v>
      </c>
      <c r="G232" s="22" t="s">
        <v>5862</v>
      </c>
      <c r="H232" s="22" t="s">
        <v>7828</v>
      </c>
      <c r="I232" s="22">
        <v>714.7</v>
      </c>
      <c r="K232" s="22" t="s">
        <v>5835</v>
      </c>
      <c r="N232" s="25" t="s">
        <v>6165</v>
      </c>
      <c r="O232" s="25" t="s">
        <v>5835</v>
      </c>
      <c r="R232" s="22" t="s">
        <v>5862</v>
      </c>
    </row>
    <row r="233" spans="3:18" ht="16">
      <c r="C233" s="19" t="s">
        <v>291</v>
      </c>
      <c r="D233" s="20" t="s">
        <v>2244</v>
      </c>
      <c r="E233" s="21" t="s">
        <v>6166</v>
      </c>
      <c r="F233" s="21" t="s">
        <v>6080</v>
      </c>
      <c r="G233" s="22" t="s">
        <v>5873</v>
      </c>
      <c r="H233" s="22" t="s">
        <v>7828</v>
      </c>
      <c r="I233" s="22">
        <v>2058.5</v>
      </c>
      <c r="K233" s="22" t="s">
        <v>5835</v>
      </c>
      <c r="N233" s="25" t="s">
        <v>6167</v>
      </c>
      <c r="O233" s="25" t="s">
        <v>5835</v>
      </c>
      <c r="R233" s="22" t="s">
        <v>5873</v>
      </c>
    </row>
    <row r="234" spans="3:18" ht="16">
      <c r="C234" s="19" t="s">
        <v>293</v>
      </c>
      <c r="D234" s="20" t="s">
        <v>2246</v>
      </c>
      <c r="E234" s="21" t="s">
        <v>5968</v>
      </c>
      <c r="F234" s="21" t="s">
        <v>5969</v>
      </c>
      <c r="G234" s="22" t="s">
        <v>5865</v>
      </c>
      <c r="H234" s="22" t="s">
        <v>5835</v>
      </c>
      <c r="I234" s="22">
        <v>48.4</v>
      </c>
      <c r="K234" s="22" t="s">
        <v>5835</v>
      </c>
      <c r="N234" s="25" t="s">
        <v>6168</v>
      </c>
      <c r="O234" s="25" t="s">
        <v>5835</v>
      </c>
      <c r="R234" s="22" t="s">
        <v>5865</v>
      </c>
    </row>
    <row r="235" spans="3:18" ht="16">
      <c r="C235" s="19" t="s">
        <v>299</v>
      </c>
      <c r="D235" s="20" t="s">
        <v>2252</v>
      </c>
      <c r="E235" s="21" t="s">
        <v>6054</v>
      </c>
      <c r="F235" s="21" t="s">
        <v>6055</v>
      </c>
      <c r="G235" s="22" t="s">
        <v>5865</v>
      </c>
      <c r="H235" s="22" t="s">
        <v>5835</v>
      </c>
      <c r="I235" s="22">
        <v>23.7</v>
      </c>
      <c r="K235" s="22" t="s">
        <v>5835</v>
      </c>
      <c r="N235" s="25" t="s">
        <v>6169</v>
      </c>
      <c r="O235" s="25" t="s">
        <v>5835</v>
      </c>
      <c r="R235" s="22" t="s">
        <v>5865</v>
      </c>
    </row>
    <row r="236" spans="3:18" ht="16">
      <c r="C236" s="19" t="s">
        <v>302</v>
      </c>
      <c r="D236" s="20" t="s">
        <v>2255</v>
      </c>
      <c r="E236" s="21" t="s">
        <v>6170</v>
      </c>
      <c r="F236" s="21" t="s">
        <v>5896</v>
      </c>
      <c r="G236" s="22" t="s">
        <v>5893</v>
      </c>
      <c r="H236" s="22" t="s">
        <v>7828</v>
      </c>
      <c r="I236" s="22">
        <v>314.39999999999998</v>
      </c>
      <c r="K236" s="22" t="s">
        <v>5835</v>
      </c>
      <c r="N236" s="25" t="s">
        <v>6171</v>
      </c>
      <c r="O236" s="25" t="s">
        <v>5835</v>
      </c>
      <c r="R236" s="22" t="s">
        <v>5893</v>
      </c>
    </row>
    <row r="237" spans="3:18" ht="16">
      <c r="C237" s="19" t="s">
        <v>303</v>
      </c>
      <c r="D237" s="20" t="s">
        <v>2256</v>
      </c>
      <c r="E237" s="21" t="s">
        <v>6170</v>
      </c>
      <c r="F237" s="21" t="s">
        <v>5896</v>
      </c>
      <c r="G237" s="22" t="s">
        <v>5893</v>
      </c>
      <c r="H237" s="22" t="s">
        <v>5835</v>
      </c>
      <c r="I237" s="22">
        <v>93</v>
      </c>
      <c r="K237" s="22" t="s">
        <v>5835</v>
      </c>
      <c r="N237" s="25" t="s">
        <v>6172</v>
      </c>
      <c r="O237" s="25" t="s">
        <v>5835</v>
      </c>
      <c r="R237" s="22" t="s">
        <v>5893</v>
      </c>
    </row>
    <row r="238" spans="3:18" ht="16">
      <c r="C238" s="19" t="s">
        <v>304</v>
      </c>
      <c r="D238" s="20" t="s">
        <v>2257</v>
      </c>
      <c r="E238" s="21" t="s">
        <v>6170</v>
      </c>
      <c r="F238" s="21" t="s">
        <v>5896</v>
      </c>
      <c r="G238" s="22" t="s">
        <v>5893</v>
      </c>
      <c r="H238" s="22" t="s">
        <v>5835</v>
      </c>
      <c r="I238" s="22">
        <v>138.69999999999999</v>
      </c>
      <c r="K238" s="22" t="s">
        <v>5835</v>
      </c>
      <c r="N238" s="25" t="s">
        <v>6173</v>
      </c>
      <c r="O238" s="25" t="s">
        <v>5835</v>
      </c>
      <c r="R238" s="22" t="s">
        <v>5893</v>
      </c>
    </row>
    <row r="239" spans="3:18" ht="16">
      <c r="C239" s="19" t="s">
        <v>305</v>
      </c>
      <c r="D239" s="20" t="s">
        <v>2258</v>
      </c>
      <c r="E239" s="21" t="s">
        <v>6170</v>
      </c>
      <c r="F239" s="21" t="s">
        <v>5896</v>
      </c>
      <c r="G239" s="22" t="s">
        <v>5893</v>
      </c>
      <c r="H239" s="22" t="s">
        <v>5835</v>
      </c>
      <c r="I239" s="22">
        <v>101.9</v>
      </c>
      <c r="K239" s="22" t="s">
        <v>5835</v>
      </c>
      <c r="N239" s="25" t="s">
        <v>5992</v>
      </c>
      <c r="O239" s="25" t="s">
        <v>5835</v>
      </c>
      <c r="R239" s="22" t="s">
        <v>5893</v>
      </c>
    </row>
    <row r="240" spans="3:18" ht="16">
      <c r="C240" s="19" t="s">
        <v>306</v>
      </c>
      <c r="D240" s="20" t="s">
        <v>2259</v>
      </c>
      <c r="E240" s="21" t="s">
        <v>6170</v>
      </c>
      <c r="F240" s="21" t="s">
        <v>5896</v>
      </c>
      <c r="G240" s="22" t="s">
        <v>5893</v>
      </c>
      <c r="H240" s="22" t="s">
        <v>7828</v>
      </c>
      <c r="I240" s="22">
        <v>1265.8</v>
      </c>
      <c r="K240" s="22" t="s">
        <v>5835</v>
      </c>
      <c r="N240" s="25" t="s">
        <v>6171</v>
      </c>
      <c r="O240" s="25" t="s">
        <v>5835</v>
      </c>
      <c r="R240" s="22" t="s">
        <v>5893</v>
      </c>
    </row>
    <row r="241" spans="3:18" ht="16">
      <c r="C241" s="19" t="s">
        <v>307</v>
      </c>
      <c r="D241" s="20" t="s">
        <v>2260</v>
      </c>
      <c r="E241" s="21" t="s">
        <v>6170</v>
      </c>
      <c r="F241" s="21" t="s">
        <v>5896</v>
      </c>
      <c r="G241" s="22" t="s">
        <v>5893</v>
      </c>
      <c r="H241" s="22" t="s">
        <v>5835</v>
      </c>
      <c r="I241" s="22">
        <v>202</v>
      </c>
      <c r="K241" s="22" t="s">
        <v>5835</v>
      </c>
      <c r="N241" s="25" t="s">
        <v>6174</v>
      </c>
      <c r="O241" s="25" t="s">
        <v>5835</v>
      </c>
      <c r="R241" s="22" t="s">
        <v>5893</v>
      </c>
    </row>
    <row r="242" spans="3:18" ht="16">
      <c r="C242" s="19" t="s">
        <v>308</v>
      </c>
      <c r="D242" s="20" t="s">
        <v>2261</v>
      </c>
      <c r="E242" s="21" t="s">
        <v>6170</v>
      </c>
      <c r="F242" s="21" t="s">
        <v>5896</v>
      </c>
      <c r="G242" s="22" t="s">
        <v>5893</v>
      </c>
      <c r="H242" s="22" t="s">
        <v>5835</v>
      </c>
      <c r="I242" s="22">
        <v>74.5</v>
      </c>
      <c r="K242" s="22" t="s">
        <v>5835</v>
      </c>
      <c r="N242" s="25" t="s">
        <v>6175</v>
      </c>
      <c r="O242" s="25" t="s">
        <v>5835</v>
      </c>
      <c r="R242" s="22" t="s">
        <v>5893</v>
      </c>
    </row>
    <row r="243" spans="3:18" ht="16">
      <c r="C243" s="19" t="s">
        <v>309</v>
      </c>
      <c r="D243" s="20" t="s">
        <v>2262</v>
      </c>
      <c r="E243" s="21" t="s">
        <v>6170</v>
      </c>
      <c r="F243" s="21" t="s">
        <v>5896</v>
      </c>
      <c r="G243" s="22" t="s">
        <v>5893</v>
      </c>
      <c r="H243" s="22" t="s">
        <v>5835</v>
      </c>
      <c r="I243" s="22">
        <v>113</v>
      </c>
      <c r="K243" s="22" t="s">
        <v>5835</v>
      </c>
      <c r="N243" s="25" t="s">
        <v>6176</v>
      </c>
      <c r="O243" s="25" t="s">
        <v>5835</v>
      </c>
      <c r="R243" s="22" t="s">
        <v>5893</v>
      </c>
    </row>
    <row r="244" spans="3:18" ht="16">
      <c r="C244" s="19" t="s">
        <v>310</v>
      </c>
      <c r="D244" s="20" t="s">
        <v>2263</v>
      </c>
      <c r="E244" s="21" t="s">
        <v>6170</v>
      </c>
      <c r="F244" s="21" t="s">
        <v>5896</v>
      </c>
      <c r="G244" s="22" t="s">
        <v>5893</v>
      </c>
      <c r="H244" s="22" t="s">
        <v>5835</v>
      </c>
      <c r="I244" s="22">
        <v>45.7</v>
      </c>
      <c r="K244" s="22" t="s">
        <v>5835</v>
      </c>
      <c r="N244" s="25" t="s">
        <v>6177</v>
      </c>
      <c r="O244" s="25" t="s">
        <v>5835</v>
      </c>
      <c r="R244" s="22" t="s">
        <v>5893</v>
      </c>
    </row>
    <row r="245" spans="3:18" ht="16">
      <c r="C245" s="19" t="s">
        <v>311</v>
      </c>
      <c r="D245" s="20" t="s">
        <v>2264</v>
      </c>
      <c r="E245" s="21" t="s">
        <v>6170</v>
      </c>
      <c r="F245" s="21" t="s">
        <v>5896</v>
      </c>
      <c r="G245" s="22" t="s">
        <v>5893</v>
      </c>
      <c r="H245" s="22" t="s">
        <v>5835</v>
      </c>
      <c r="I245" s="22">
        <v>69.3</v>
      </c>
      <c r="K245" s="22" t="s">
        <v>5835</v>
      </c>
      <c r="N245" s="25" t="s">
        <v>6178</v>
      </c>
      <c r="O245" s="25" t="s">
        <v>5835</v>
      </c>
      <c r="R245" s="22" t="s">
        <v>5893</v>
      </c>
    </row>
    <row r="246" spans="3:18" ht="16">
      <c r="C246" s="19" t="s">
        <v>312</v>
      </c>
      <c r="D246" s="20" t="s">
        <v>2265</v>
      </c>
      <c r="E246" s="21" t="s">
        <v>5926</v>
      </c>
      <c r="F246" s="21" t="s">
        <v>5927</v>
      </c>
      <c r="G246" s="22" t="s">
        <v>5843</v>
      </c>
      <c r="H246" s="22" t="s">
        <v>5835</v>
      </c>
      <c r="I246" s="22">
        <v>28.5</v>
      </c>
      <c r="K246" s="22" t="s">
        <v>5835</v>
      </c>
      <c r="N246" s="25" t="s">
        <v>6179</v>
      </c>
      <c r="O246" s="25" t="s">
        <v>5835</v>
      </c>
      <c r="R246" s="22" t="s">
        <v>5843</v>
      </c>
    </row>
    <row r="247" spans="3:18" ht="16">
      <c r="C247" s="19" t="s">
        <v>313</v>
      </c>
      <c r="D247" s="20" t="s">
        <v>2266</v>
      </c>
      <c r="E247" s="21" t="s">
        <v>6180</v>
      </c>
      <c r="F247" s="21" t="s">
        <v>5927</v>
      </c>
      <c r="G247" s="22" t="s">
        <v>5899</v>
      </c>
      <c r="H247" s="22" t="s">
        <v>7828</v>
      </c>
      <c r="I247" s="22">
        <v>349.4</v>
      </c>
      <c r="K247" s="22" t="s">
        <v>5835</v>
      </c>
      <c r="N247" s="25" t="s">
        <v>6181</v>
      </c>
      <c r="O247" s="25" t="s">
        <v>5835</v>
      </c>
      <c r="R247" s="22" t="s">
        <v>5899</v>
      </c>
    </row>
    <row r="248" spans="3:18" ht="16">
      <c r="C248" s="19" t="s">
        <v>314</v>
      </c>
      <c r="D248" s="20" t="s">
        <v>2267</v>
      </c>
      <c r="E248" s="21" t="s">
        <v>6180</v>
      </c>
      <c r="F248" s="21" t="s">
        <v>5927</v>
      </c>
      <c r="G248" s="22" t="s">
        <v>5899</v>
      </c>
      <c r="H248" s="22" t="s">
        <v>7828</v>
      </c>
      <c r="I248" s="22">
        <v>334.4</v>
      </c>
      <c r="K248" s="22" t="s">
        <v>5835</v>
      </c>
      <c r="N248" s="25" t="s">
        <v>6182</v>
      </c>
      <c r="O248" s="25" t="s">
        <v>5835</v>
      </c>
      <c r="R248" s="22" t="s">
        <v>5899</v>
      </c>
    </row>
    <row r="249" spans="3:18" ht="16">
      <c r="C249" s="19" t="s">
        <v>315</v>
      </c>
      <c r="D249" s="20" t="s">
        <v>2268</v>
      </c>
      <c r="E249" s="21" t="s">
        <v>6180</v>
      </c>
      <c r="F249" s="21" t="s">
        <v>5927</v>
      </c>
      <c r="G249" s="22" t="s">
        <v>5899</v>
      </c>
      <c r="H249" s="22" t="s">
        <v>7828</v>
      </c>
      <c r="I249" s="22">
        <v>502.4</v>
      </c>
      <c r="K249" s="22" t="s">
        <v>5835</v>
      </c>
      <c r="N249" s="25" t="s">
        <v>6183</v>
      </c>
      <c r="O249" s="25" t="s">
        <v>5835</v>
      </c>
      <c r="R249" s="22" t="s">
        <v>5899</v>
      </c>
    </row>
    <row r="250" spans="3:18" ht="16">
      <c r="C250" s="19" t="s">
        <v>316</v>
      </c>
      <c r="D250" s="20" t="s">
        <v>2269</v>
      </c>
      <c r="E250" s="21" t="s">
        <v>6180</v>
      </c>
      <c r="F250" s="21" t="s">
        <v>5927</v>
      </c>
      <c r="G250" s="22" t="s">
        <v>5899</v>
      </c>
      <c r="H250" s="22" t="s">
        <v>7828</v>
      </c>
      <c r="I250" s="22">
        <v>3119.8</v>
      </c>
      <c r="K250" s="22" t="s">
        <v>5832</v>
      </c>
      <c r="N250" s="25" t="s">
        <v>6184</v>
      </c>
      <c r="O250" s="25" t="s">
        <v>5835</v>
      </c>
      <c r="R250" s="22" t="s">
        <v>5899</v>
      </c>
    </row>
    <row r="251" spans="3:18" ht="16">
      <c r="C251" s="19" t="s">
        <v>317</v>
      </c>
      <c r="D251" s="20" t="s">
        <v>2270</v>
      </c>
      <c r="E251" s="21" t="s">
        <v>6001</v>
      </c>
      <c r="F251" s="21" t="s">
        <v>5966</v>
      </c>
      <c r="G251" s="22" t="s">
        <v>5875</v>
      </c>
      <c r="H251" s="22" t="s">
        <v>5835</v>
      </c>
      <c r="I251" s="22">
        <v>224.3</v>
      </c>
      <c r="K251" s="22" t="s">
        <v>5835</v>
      </c>
      <c r="N251" s="25" t="s">
        <v>6185</v>
      </c>
      <c r="O251" s="25" t="s">
        <v>5835</v>
      </c>
      <c r="R251" s="22" t="s">
        <v>5875</v>
      </c>
    </row>
    <row r="252" spans="3:18" ht="16">
      <c r="C252" s="19" t="s">
        <v>318</v>
      </c>
      <c r="D252" s="20" t="s">
        <v>2271</v>
      </c>
      <c r="E252" s="21" t="s">
        <v>6054</v>
      </c>
      <c r="F252" s="21" t="s">
        <v>6055</v>
      </c>
      <c r="G252" s="22" t="s">
        <v>5865</v>
      </c>
      <c r="H252" s="22" t="s">
        <v>7828</v>
      </c>
      <c r="I252" s="22">
        <v>355</v>
      </c>
      <c r="K252" s="22" t="s">
        <v>5835</v>
      </c>
      <c r="N252" s="25">
        <v>0</v>
      </c>
      <c r="O252" s="25" t="s">
        <v>5835</v>
      </c>
      <c r="R252" s="22" t="s">
        <v>5865</v>
      </c>
    </row>
    <row r="253" spans="3:18" ht="16">
      <c r="C253" s="19" t="s">
        <v>320</v>
      </c>
      <c r="D253" s="20" t="s">
        <v>2273</v>
      </c>
      <c r="E253" s="21" t="s">
        <v>6180</v>
      </c>
      <c r="F253" s="21" t="s">
        <v>5927</v>
      </c>
      <c r="G253" s="22" t="s">
        <v>5899</v>
      </c>
      <c r="H253" s="22" t="s">
        <v>5835</v>
      </c>
      <c r="I253" s="22">
        <v>173.4</v>
      </c>
      <c r="K253" s="22" t="s">
        <v>5835</v>
      </c>
      <c r="N253" s="25" t="s">
        <v>6186</v>
      </c>
      <c r="O253" s="25" t="s">
        <v>5835</v>
      </c>
      <c r="R253" s="22" t="s">
        <v>5899</v>
      </c>
    </row>
    <row r="254" spans="3:18" ht="16">
      <c r="C254" s="19" t="s">
        <v>321</v>
      </c>
      <c r="D254" s="20" t="s">
        <v>2274</v>
      </c>
      <c r="E254" s="21" t="s">
        <v>5926</v>
      </c>
      <c r="F254" s="21" t="s">
        <v>5927</v>
      </c>
      <c r="G254" s="22" t="s">
        <v>5843</v>
      </c>
      <c r="H254" s="22" t="s">
        <v>5835</v>
      </c>
      <c r="I254" s="22">
        <v>64.8</v>
      </c>
      <c r="K254" s="22" t="s">
        <v>5835</v>
      </c>
      <c r="N254" s="25" t="s">
        <v>6187</v>
      </c>
      <c r="O254" s="25" t="s">
        <v>5835</v>
      </c>
      <c r="R254" s="22" t="s">
        <v>5843</v>
      </c>
    </row>
    <row r="255" spans="3:18" ht="16">
      <c r="C255" s="19" t="s">
        <v>323</v>
      </c>
      <c r="D255" s="20" t="s">
        <v>2276</v>
      </c>
      <c r="E255" s="21" t="s">
        <v>5926</v>
      </c>
      <c r="F255" s="21" t="s">
        <v>5927</v>
      </c>
      <c r="G255" s="22" t="s">
        <v>5867</v>
      </c>
      <c r="H255" s="22" t="s">
        <v>5835</v>
      </c>
      <c r="I255" s="22">
        <v>96.9</v>
      </c>
      <c r="K255" s="22" t="s">
        <v>5835</v>
      </c>
      <c r="N255" s="25" t="s">
        <v>6188</v>
      </c>
      <c r="O255" s="25" t="s">
        <v>5835</v>
      </c>
      <c r="R255" s="22" t="s">
        <v>5867</v>
      </c>
    </row>
    <row r="256" spans="3:18" ht="16">
      <c r="C256" s="19" t="s">
        <v>324</v>
      </c>
      <c r="D256" s="20" t="s">
        <v>2277</v>
      </c>
      <c r="E256" s="21" t="s">
        <v>5926</v>
      </c>
      <c r="F256" s="21" t="s">
        <v>5927</v>
      </c>
      <c r="G256" s="22" t="s">
        <v>5843</v>
      </c>
      <c r="H256" s="22" t="s">
        <v>7828</v>
      </c>
      <c r="I256" s="22">
        <v>109.7</v>
      </c>
      <c r="K256" s="22" t="s">
        <v>5835</v>
      </c>
      <c r="N256" s="25" t="s">
        <v>6189</v>
      </c>
      <c r="O256" s="25" t="s">
        <v>5835</v>
      </c>
      <c r="R256" s="22" t="s">
        <v>5843</v>
      </c>
    </row>
    <row r="257" spans="3:18" ht="16">
      <c r="C257" s="19" t="s">
        <v>326</v>
      </c>
      <c r="D257" s="20" t="s">
        <v>2279</v>
      </c>
      <c r="E257" s="21" t="s">
        <v>5926</v>
      </c>
      <c r="F257" s="21" t="s">
        <v>5927</v>
      </c>
      <c r="G257" s="22" t="s">
        <v>5843</v>
      </c>
      <c r="H257" s="22" t="s">
        <v>5835</v>
      </c>
      <c r="I257" s="22">
        <v>52.3</v>
      </c>
      <c r="K257" s="22" t="s">
        <v>5835</v>
      </c>
      <c r="N257" s="25" t="s">
        <v>6190</v>
      </c>
      <c r="O257" s="25" t="s">
        <v>5835</v>
      </c>
      <c r="R257" s="22" t="s">
        <v>5843</v>
      </c>
    </row>
    <row r="258" spans="3:18" ht="16">
      <c r="C258" s="19" t="s">
        <v>327</v>
      </c>
      <c r="D258" s="20" t="s">
        <v>2280</v>
      </c>
      <c r="E258" s="21" t="s">
        <v>5926</v>
      </c>
      <c r="F258" s="21" t="s">
        <v>5927</v>
      </c>
      <c r="G258" s="22" t="s">
        <v>5843</v>
      </c>
      <c r="H258" s="22" t="s">
        <v>5835</v>
      </c>
      <c r="I258" s="22">
        <v>36.299999999999997</v>
      </c>
      <c r="K258" s="22" t="s">
        <v>5835</v>
      </c>
      <c r="N258" s="25" t="s">
        <v>6191</v>
      </c>
      <c r="O258" s="25" t="s">
        <v>5835</v>
      </c>
      <c r="R258" s="22" t="s">
        <v>5843</v>
      </c>
    </row>
    <row r="259" spans="3:18" ht="16">
      <c r="C259" s="19" t="s">
        <v>328</v>
      </c>
      <c r="D259" s="20" t="s">
        <v>2281</v>
      </c>
      <c r="E259" s="21" t="s">
        <v>5926</v>
      </c>
      <c r="F259" s="21" t="s">
        <v>5927</v>
      </c>
      <c r="G259" s="22" t="s">
        <v>5902</v>
      </c>
      <c r="H259" s="22" t="s">
        <v>5835</v>
      </c>
      <c r="I259" s="22">
        <v>25.9</v>
      </c>
      <c r="K259" s="22" t="s">
        <v>5835</v>
      </c>
      <c r="N259" s="25" t="s">
        <v>6192</v>
      </c>
      <c r="O259" s="25" t="s">
        <v>5835</v>
      </c>
      <c r="R259" s="22" t="s">
        <v>5902</v>
      </c>
    </row>
    <row r="260" spans="3:18" ht="16">
      <c r="C260" s="19" t="s">
        <v>329</v>
      </c>
      <c r="D260" s="20" t="s">
        <v>2282</v>
      </c>
      <c r="E260" s="21" t="s">
        <v>5926</v>
      </c>
      <c r="F260" s="21" t="s">
        <v>5927</v>
      </c>
      <c r="G260" s="22" t="s">
        <v>5843</v>
      </c>
      <c r="H260" s="22" t="s">
        <v>5835</v>
      </c>
      <c r="I260" s="22">
        <v>8</v>
      </c>
      <c r="K260" s="22" t="s">
        <v>5835</v>
      </c>
      <c r="N260" s="25" t="s">
        <v>6193</v>
      </c>
      <c r="O260" s="25" t="s">
        <v>5835</v>
      </c>
      <c r="R260" s="22" t="s">
        <v>5843</v>
      </c>
    </row>
    <row r="261" spans="3:18" ht="16">
      <c r="C261" s="19" t="s">
        <v>330</v>
      </c>
      <c r="D261" s="20" t="s">
        <v>2283</v>
      </c>
      <c r="E261" s="21" t="s">
        <v>6180</v>
      </c>
      <c r="F261" s="21" t="s">
        <v>5927</v>
      </c>
      <c r="G261" s="22" t="s">
        <v>5899</v>
      </c>
      <c r="H261" s="22" t="s">
        <v>7828</v>
      </c>
      <c r="I261" s="22">
        <v>257.39999999999998</v>
      </c>
      <c r="K261" s="22" t="s">
        <v>5835</v>
      </c>
      <c r="N261" s="25" t="s">
        <v>6194</v>
      </c>
      <c r="O261" s="25" t="s">
        <v>5835</v>
      </c>
      <c r="R261" s="22" t="s">
        <v>5899</v>
      </c>
    </row>
    <row r="262" spans="3:18" ht="16">
      <c r="C262" s="19" t="s">
        <v>332</v>
      </c>
      <c r="D262" s="20" t="s">
        <v>2284</v>
      </c>
      <c r="E262" s="21" t="s">
        <v>5926</v>
      </c>
      <c r="F262" s="21" t="s">
        <v>5927</v>
      </c>
      <c r="G262" s="22" t="s">
        <v>5843</v>
      </c>
      <c r="H262" s="22" t="s">
        <v>5835</v>
      </c>
      <c r="I262" s="22">
        <v>29.7</v>
      </c>
      <c r="K262" s="22" t="s">
        <v>5835</v>
      </c>
      <c r="N262" s="25" t="s">
        <v>6195</v>
      </c>
      <c r="O262" s="25" t="s">
        <v>5835</v>
      </c>
      <c r="R262" s="22" t="s">
        <v>5843</v>
      </c>
    </row>
    <row r="263" spans="3:18" ht="16">
      <c r="C263" s="19" t="s">
        <v>335</v>
      </c>
      <c r="D263" s="20" t="s">
        <v>2285</v>
      </c>
      <c r="E263" s="21" t="s">
        <v>6196</v>
      </c>
      <c r="F263" s="21" t="s">
        <v>6197</v>
      </c>
      <c r="G263" s="22" t="s">
        <v>5855</v>
      </c>
      <c r="H263" s="22" t="s">
        <v>7828</v>
      </c>
      <c r="I263" s="22">
        <v>2750.9</v>
      </c>
      <c r="K263" s="22" t="s">
        <v>5832</v>
      </c>
      <c r="N263" s="25" t="s">
        <v>6198</v>
      </c>
      <c r="O263" s="25" t="s">
        <v>5835</v>
      </c>
      <c r="R263" s="22" t="s">
        <v>5855</v>
      </c>
    </row>
    <row r="264" spans="3:18" ht="16">
      <c r="C264" s="19" t="s">
        <v>336</v>
      </c>
      <c r="D264" s="20" t="s">
        <v>2286</v>
      </c>
      <c r="E264" s="21" t="s">
        <v>6199</v>
      </c>
      <c r="F264" s="21" t="s">
        <v>6200</v>
      </c>
      <c r="G264" s="22" t="s">
        <v>7825</v>
      </c>
      <c r="H264" s="22" t="s">
        <v>5835</v>
      </c>
      <c r="I264" s="22">
        <v>25.1</v>
      </c>
      <c r="K264" s="22" t="s">
        <v>5835</v>
      </c>
      <c r="N264" s="25" t="s">
        <v>6201</v>
      </c>
      <c r="O264" s="25" t="s">
        <v>5835</v>
      </c>
      <c r="R264" s="22" t="s">
        <v>6202</v>
      </c>
    </row>
    <row r="265" spans="3:18" ht="16">
      <c r="C265" s="19" t="s">
        <v>337</v>
      </c>
      <c r="D265" s="20" t="s">
        <v>2287</v>
      </c>
      <c r="E265" s="21" t="s">
        <v>6203</v>
      </c>
      <c r="F265" s="21" t="s">
        <v>8</v>
      </c>
      <c r="G265" s="22" t="s">
        <v>5904</v>
      </c>
      <c r="H265" s="22" t="s">
        <v>7828</v>
      </c>
      <c r="I265" s="22">
        <v>5487.2</v>
      </c>
      <c r="K265" s="22" t="s">
        <v>5832</v>
      </c>
      <c r="N265" s="25" t="s">
        <v>24</v>
      </c>
      <c r="O265" s="25" t="s">
        <v>5835</v>
      </c>
      <c r="R265" s="22" t="s">
        <v>5904</v>
      </c>
    </row>
    <row r="266" spans="3:18" ht="16">
      <c r="C266" s="19" t="s">
        <v>338</v>
      </c>
      <c r="D266" s="20" t="s">
        <v>2288</v>
      </c>
      <c r="E266" s="21" t="s">
        <v>6204</v>
      </c>
      <c r="F266" s="21" t="s">
        <v>6080</v>
      </c>
      <c r="G266" s="22" t="s">
        <v>5906</v>
      </c>
      <c r="H266" s="22" t="s">
        <v>5835</v>
      </c>
      <c r="I266" s="22">
        <v>21</v>
      </c>
      <c r="K266" s="22" t="s">
        <v>5835</v>
      </c>
      <c r="N266" s="25" t="s">
        <v>6205</v>
      </c>
      <c r="O266" s="25" t="s">
        <v>5835</v>
      </c>
      <c r="R266" s="22" t="s">
        <v>5906</v>
      </c>
    </row>
    <row r="267" spans="3:18" ht="16">
      <c r="C267" s="19" t="s">
        <v>339</v>
      </c>
      <c r="D267" s="20" t="s">
        <v>16</v>
      </c>
      <c r="E267" s="21" t="s">
        <v>6196</v>
      </c>
      <c r="F267" s="21" t="s">
        <v>6197</v>
      </c>
      <c r="G267" s="22" t="s">
        <v>5855</v>
      </c>
      <c r="H267" s="22" t="s">
        <v>7828</v>
      </c>
      <c r="I267" s="22">
        <v>12532.9</v>
      </c>
      <c r="K267" s="22" t="s">
        <v>5832</v>
      </c>
      <c r="N267" s="25" t="s">
        <v>6206</v>
      </c>
      <c r="O267" s="25" t="s">
        <v>5835</v>
      </c>
      <c r="R267" s="22" t="s">
        <v>5855</v>
      </c>
    </row>
    <row r="268" spans="3:18" ht="16">
      <c r="C268" s="19" t="s">
        <v>340</v>
      </c>
      <c r="D268" s="20" t="s">
        <v>2289</v>
      </c>
      <c r="E268" s="21" t="s">
        <v>6196</v>
      </c>
      <c r="F268" s="21" t="s">
        <v>6197</v>
      </c>
      <c r="G268" s="22" t="s">
        <v>5909</v>
      </c>
      <c r="H268" s="22" t="s">
        <v>7828</v>
      </c>
      <c r="I268" s="22">
        <v>273.89999999999998</v>
      </c>
      <c r="K268" s="22" t="s">
        <v>5835</v>
      </c>
      <c r="N268" s="25" t="s">
        <v>6207</v>
      </c>
      <c r="O268" s="25" t="s">
        <v>5835</v>
      </c>
      <c r="R268" s="22" t="s">
        <v>5909</v>
      </c>
    </row>
    <row r="269" spans="3:18" ht="16">
      <c r="C269" s="19" t="s">
        <v>341</v>
      </c>
      <c r="D269" s="20" t="s">
        <v>2290</v>
      </c>
      <c r="E269" s="21" t="s">
        <v>6208</v>
      </c>
      <c r="F269" s="21" t="s">
        <v>17</v>
      </c>
      <c r="G269" s="22" t="s">
        <v>5911</v>
      </c>
      <c r="H269" s="22" t="s">
        <v>7828</v>
      </c>
      <c r="I269" s="22">
        <v>713.9</v>
      </c>
      <c r="K269" s="22" t="s">
        <v>5835</v>
      </c>
      <c r="N269" s="25" t="s">
        <v>5911</v>
      </c>
      <c r="O269" s="25" t="s">
        <v>5835</v>
      </c>
      <c r="R269" s="22" t="s">
        <v>5911</v>
      </c>
    </row>
    <row r="270" spans="3:18" ht="16">
      <c r="C270" s="19" t="s">
        <v>342</v>
      </c>
      <c r="D270" s="20" t="s">
        <v>2291</v>
      </c>
      <c r="E270" s="21" t="s">
        <v>6209</v>
      </c>
      <c r="F270" s="21" t="s">
        <v>5913</v>
      </c>
      <c r="G270" s="22" t="s">
        <v>5913</v>
      </c>
      <c r="H270" s="22" t="s">
        <v>5835</v>
      </c>
      <c r="I270" s="22">
        <v>25.6</v>
      </c>
      <c r="K270" s="22" t="s">
        <v>5835</v>
      </c>
      <c r="N270" s="25" t="s">
        <v>6210</v>
      </c>
      <c r="O270" s="25" t="s">
        <v>5835</v>
      </c>
      <c r="R270" s="22" t="s">
        <v>5913</v>
      </c>
    </row>
    <row r="271" spans="3:18" ht="16">
      <c r="C271" s="19" t="s">
        <v>343</v>
      </c>
      <c r="D271" s="20" t="s">
        <v>2292</v>
      </c>
      <c r="E271" s="21" t="s">
        <v>6208</v>
      </c>
      <c r="F271" s="21" t="s">
        <v>17</v>
      </c>
      <c r="G271" s="22" t="s">
        <v>5911</v>
      </c>
      <c r="H271" s="22" t="s">
        <v>5835</v>
      </c>
      <c r="I271" s="22">
        <v>96.5</v>
      </c>
      <c r="K271" s="22" t="s">
        <v>5835</v>
      </c>
      <c r="N271" s="25" t="s">
        <v>6211</v>
      </c>
      <c r="O271" s="25" t="s">
        <v>5835</v>
      </c>
      <c r="R271" s="22" t="s">
        <v>5911</v>
      </c>
    </row>
    <row r="272" spans="3:18" ht="16">
      <c r="C272" s="19" t="s">
        <v>344</v>
      </c>
      <c r="D272" s="20" t="s">
        <v>2293</v>
      </c>
      <c r="E272" s="21" t="s">
        <v>6196</v>
      </c>
      <c r="F272" s="21" t="s">
        <v>6197</v>
      </c>
      <c r="G272" s="22" t="s">
        <v>5909</v>
      </c>
      <c r="H272" s="22" t="s">
        <v>7828</v>
      </c>
      <c r="I272" s="22">
        <v>22435.1</v>
      </c>
      <c r="K272" s="22" t="s">
        <v>5832</v>
      </c>
      <c r="N272" s="25" t="s">
        <v>6212</v>
      </c>
      <c r="O272" s="25" t="s">
        <v>5835</v>
      </c>
      <c r="R272" s="22" t="s">
        <v>5909</v>
      </c>
    </row>
    <row r="273" spans="3:18" ht="16">
      <c r="C273" s="19" t="s">
        <v>345</v>
      </c>
      <c r="D273" s="20" t="s">
        <v>2294</v>
      </c>
      <c r="E273" s="21" t="s">
        <v>6209</v>
      </c>
      <c r="F273" s="21" t="s">
        <v>5913</v>
      </c>
      <c r="G273" s="22" t="s">
        <v>5913</v>
      </c>
      <c r="H273" s="22" t="s">
        <v>5835</v>
      </c>
      <c r="I273" s="22">
        <v>4.5999999999999996</v>
      </c>
      <c r="K273" s="22" t="s">
        <v>5835</v>
      </c>
      <c r="N273" s="25" t="s">
        <v>6213</v>
      </c>
      <c r="O273" s="25" t="s">
        <v>5835</v>
      </c>
      <c r="R273" s="22" t="s">
        <v>5913</v>
      </c>
    </row>
    <row r="274" spans="3:18" ht="16">
      <c r="C274" s="19" t="s">
        <v>346</v>
      </c>
      <c r="D274" s="20" t="s">
        <v>2295</v>
      </c>
      <c r="E274" s="21" t="s">
        <v>6214</v>
      </c>
      <c r="F274" s="21" t="s">
        <v>6080</v>
      </c>
      <c r="G274" s="22" t="s">
        <v>5915</v>
      </c>
      <c r="H274" s="22" t="s">
        <v>5835</v>
      </c>
      <c r="I274" s="22">
        <v>86.3</v>
      </c>
      <c r="K274" s="22" t="s">
        <v>5835</v>
      </c>
      <c r="N274" s="25" t="s">
        <v>6215</v>
      </c>
      <c r="O274" s="25" t="s">
        <v>5835</v>
      </c>
      <c r="R274" s="22" t="s">
        <v>5915</v>
      </c>
    </row>
    <row r="275" spans="3:18" ht="16">
      <c r="C275" s="19" t="s">
        <v>347</v>
      </c>
      <c r="D275" s="20" t="s">
        <v>2296</v>
      </c>
      <c r="E275" s="21" t="s">
        <v>6216</v>
      </c>
      <c r="F275" s="21" t="s">
        <v>6197</v>
      </c>
      <c r="G275" s="22" t="s">
        <v>5909</v>
      </c>
      <c r="H275" s="22" t="s">
        <v>7828</v>
      </c>
      <c r="I275" s="22">
        <v>1260.4000000000001</v>
      </c>
      <c r="K275" s="22" t="s">
        <v>5835</v>
      </c>
      <c r="N275" s="25" t="s">
        <v>6217</v>
      </c>
      <c r="O275" s="25" t="s">
        <v>5835</v>
      </c>
      <c r="R275" s="22" t="s">
        <v>5909</v>
      </c>
    </row>
    <row r="276" spans="3:18" ht="16">
      <c r="C276" s="19" t="s">
        <v>348</v>
      </c>
      <c r="D276" s="20" t="s">
        <v>6218</v>
      </c>
      <c r="E276" s="21" t="s">
        <v>6219</v>
      </c>
      <c r="F276" s="21" t="s">
        <v>17</v>
      </c>
      <c r="G276" s="22" t="s">
        <v>5918</v>
      </c>
      <c r="H276" s="22" t="s">
        <v>7828</v>
      </c>
      <c r="I276" s="22">
        <v>2549.5</v>
      </c>
      <c r="K276" s="22" t="s">
        <v>5832</v>
      </c>
      <c r="N276" s="25" t="s">
        <v>6220</v>
      </c>
      <c r="O276" s="25" t="s">
        <v>5835</v>
      </c>
      <c r="R276" s="22" t="s">
        <v>5918</v>
      </c>
    </row>
    <row r="277" spans="3:18" ht="16">
      <c r="C277" s="19" t="s">
        <v>349</v>
      </c>
      <c r="D277" s="20" t="s">
        <v>2297</v>
      </c>
      <c r="E277" s="21" t="s">
        <v>6067</v>
      </c>
      <c r="F277" s="21" t="s">
        <v>17</v>
      </c>
      <c r="G277" s="22" t="s">
        <v>5920</v>
      </c>
      <c r="H277" s="22" t="s">
        <v>7828</v>
      </c>
      <c r="I277" s="22">
        <v>205.2</v>
      </c>
      <c r="K277" s="22" t="s">
        <v>5835</v>
      </c>
      <c r="N277" s="25" t="s">
        <v>6221</v>
      </c>
      <c r="O277" s="25" t="s">
        <v>5835</v>
      </c>
      <c r="R277" s="22" t="s">
        <v>5920</v>
      </c>
    </row>
    <row r="278" spans="3:18" ht="16">
      <c r="C278" s="19" t="s">
        <v>350</v>
      </c>
      <c r="D278" s="20" t="s">
        <v>2298</v>
      </c>
      <c r="E278" s="21" t="s">
        <v>6222</v>
      </c>
      <c r="F278" s="21" t="s">
        <v>8</v>
      </c>
      <c r="G278" s="22" t="s">
        <v>14</v>
      </c>
      <c r="H278" s="22" t="s">
        <v>7828</v>
      </c>
      <c r="I278" s="22">
        <v>278</v>
      </c>
      <c r="K278" s="22" t="s">
        <v>5835</v>
      </c>
      <c r="N278" s="25" t="s">
        <v>6223</v>
      </c>
      <c r="O278" s="25" t="s">
        <v>5835</v>
      </c>
      <c r="R278" s="22" t="s">
        <v>14</v>
      </c>
    </row>
    <row r="279" spans="3:18" ht="16">
      <c r="C279" s="19" t="s">
        <v>351</v>
      </c>
      <c r="D279" s="20" t="s">
        <v>7</v>
      </c>
      <c r="E279" s="21" t="s">
        <v>6203</v>
      </c>
      <c r="F279" s="21" t="s">
        <v>8</v>
      </c>
      <c r="G279" s="22" t="s">
        <v>5904</v>
      </c>
      <c r="H279" s="22" t="s">
        <v>7828</v>
      </c>
      <c r="I279" s="22">
        <v>285258.59999999998</v>
      </c>
      <c r="K279" s="22" t="s">
        <v>5832</v>
      </c>
      <c r="N279" s="25" t="s">
        <v>24</v>
      </c>
      <c r="O279" s="25" t="s">
        <v>5835</v>
      </c>
      <c r="R279" s="22" t="s">
        <v>5904</v>
      </c>
    </row>
    <row r="280" spans="3:18" ht="16">
      <c r="C280" s="19" t="s">
        <v>352</v>
      </c>
      <c r="D280" s="20" t="s">
        <v>2299</v>
      </c>
      <c r="E280" s="21" t="s">
        <v>6224</v>
      </c>
      <c r="F280" s="21" t="s">
        <v>17</v>
      </c>
      <c r="G280" s="22" t="s">
        <v>5924</v>
      </c>
      <c r="H280" s="22" t="s">
        <v>5835</v>
      </c>
      <c r="I280" s="22">
        <v>101.4</v>
      </c>
      <c r="K280" s="22" t="s">
        <v>5835</v>
      </c>
      <c r="N280" s="25" t="s">
        <v>6225</v>
      </c>
      <c r="O280" s="25" t="s">
        <v>5835</v>
      </c>
      <c r="R280" s="22" t="s">
        <v>5924</v>
      </c>
    </row>
    <row r="281" spans="3:18" ht="16">
      <c r="C281" s="19" t="s">
        <v>353</v>
      </c>
      <c r="D281" s="20" t="s">
        <v>2300</v>
      </c>
      <c r="E281" s="21" t="s">
        <v>6226</v>
      </c>
      <c r="F281" s="21" t="s">
        <v>5913</v>
      </c>
      <c r="G281" s="22" t="s">
        <v>5913</v>
      </c>
      <c r="H281" s="22" t="s">
        <v>5835</v>
      </c>
      <c r="I281" s="22">
        <v>104.2</v>
      </c>
      <c r="K281" s="22" t="s">
        <v>5835</v>
      </c>
      <c r="N281" s="25" t="s">
        <v>6227</v>
      </c>
      <c r="O281" s="25" t="s">
        <v>5835</v>
      </c>
      <c r="R281" s="22" t="s">
        <v>5913</v>
      </c>
    </row>
    <row r="282" spans="3:18" ht="16">
      <c r="C282" s="19" t="s">
        <v>354</v>
      </c>
      <c r="D282" s="20" t="s">
        <v>2301</v>
      </c>
      <c r="E282" s="21" t="s">
        <v>6228</v>
      </c>
      <c r="F282" s="21" t="s">
        <v>5928</v>
      </c>
      <c r="G282" s="22" t="s">
        <v>5928</v>
      </c>
      <c r="H282" s="22" t="s">
        <v>7828</v>
      </c>
      <c r="I282" s="22">
        <v>387.9</v>
      </c>
      <c r="K282" s="22" t="s">
        <v>5835</v>
      </c>
      <c r="N282" s="25" t="s">
        <v>6229</v>
      </c>
      <c r="O282" s="25" t="s">
        <v>5835</v>
      </c>
      <c r="R282" s="22" t="s">
        <v>5928</v>
      </c>
    </row>
    <row r="283" spans="3:18" ht="16">
      <c r="C283" s="19" t="s">
        <v>355</v>
      </c>
      <c r="D283" s="20" t="s">
        <v>11</v>
      </c>
      <c r="E283" s="21" t="s">
        <v>6230</v>
      </c>
      <c r="F283" s="21" t="s">
        <v>6231</v>
      </c>
      <c r="G283" s="22" t="s">
        <v>12</v>
      </c>
      <c r="H283" s="22" t="s">
        <v>5835</v>
      </c>
      <c r="I283" s="22">
        <v>69.5</v>
      </c>
      <c r="K283" s="22" t="s">
        <v>5835</v>
      </c>
      <c r="N283" s="25" t="s">
        <v>11</v>
      </c>
      <c r="O283" s="25" t="s">
        <v>5835</v>
      </c>
      <c r="R283" s="22" t="s">
        <v>12</v>
      </c>
    </row>
    <row r="284" spans="3:18" ht="16">
      <c r="C284" s="19" t="s">
        <v>356</v>
      </c>
      <c r="D284" s="20" t="s">
        <v>2302</v>
      </c>
      <c r="E284" s="21" t="s">
        <v>6199</v>
      </c>
      <c r="F284" s="21" t="s">
        <v>6200</v>
      </c>
      <c r="G284" s="22" t="s">
        <v>5881</v>
      </c>
      <c r="H284" s="22" t="s">
        <v>5835</v>
      </c>
      <c r="I284" s="22">
        <v>85.5</v>
      </c>
      <c r="K284" s="22" t="s">
        <v>5835</v>
      </c>
      <c r="N284" s="25" t="s">
        <v>6232</v>
      </c>
      <c r="O284" s="25" t="s">
        <v>5835</v>
      </c>
      <c r="R284" s="22" t="s">
        <v>5881</v>
      </c>
    </row>
    <row r="285" spans="3:18" ht="16">
      <c r="C285" s="19" t="s">
        <v>357</v>
      </c>
      <c r="D285" s="20" t="s">
        <v>2303</v>
      </c>
      <c r="E285" s="21" t="s">
        <v>6233</v>
      </c>
      <c r="F285" s="21" t="s">
        <v>5928</v>
      </c>
      <c r="G285" s="22" t="s">
        <v>5930</v>
      </c>
      <c r="H285" s="22" t="s">
        <v>5835</v>
      </c>
      <c r="I285" s="22">
        <v>33.299999999999997</v>
      </c>
      <c r="K285" s="22" t="s">
        <v>5835</v>
      </c>
      <c r="N285" s="25" t="s">
        <v>6234</v>
      </c>
      <c r="O285" s="25" t="s">
        <v>5835</v>
      </c>
      <c r="R285" s="22" t="s">
        <v>5930</v>
      </c>
    </row>
    <row r="286" spans="3:18" ht="16">
      <c r="C286" s="19" t="s">
        <v>358</v>
      </c>
      <c r="D286" s="20" t="s">
        <v>2304</v>
      </c>
      <c r="E286" s="21" t="s">
        <v>6228</v>
      </c>
      <c r="F286" s="21" t="s">
        <v>5928</v>
      </c>
      <c r="G286" s="22" t="s">
        <v>5928</v>
      </c>
      <c r="H286" s="22" t="s">
        <v>7828</v>
      </c>
      <c r="I286" s="22">
        <v>832.5</v>
      </c>
      <c r="K286" s="22" t="s">
        <v>5835</v>
      </c>
      <c r="N286" s="25" t="s">
        <v>6235</v>
      </c>
      <c r="O286" s="25" t="s">
        <v>5835</v>
      </c>
      <c r="R286" s="22" t="s">
        <v>5928</v>
      </c>
    </row>
    <row r="287" spans="3:18" ht="16">
      <c r="C287" s="19" t="s">
        <v>359</v>
      </c>
      <c r="D287" s="20" t="s">
        <v>2305</v>
      </c>
      <c r="E287" s="21" t="s">
        <v>6226</v>
      </c>
      <c r="F287" s="21" t="s">
        <v>5913</v>
      </c>
      <c r="G287" s="22" t="s">
        <v>5913</v>
      </c>
      <c r="H287" s="22" t="s">
        <v>7828</v>
      </c>
      <c r="I287" s="22">
        <v>4561.7</v>
      </c>
      <c r="K287" s="22" t="s">
        <v>5832</v>
      </c>
      <c r="N287" s="25" t="s">
        <v>6236</v>
      </c>
      <c r="O287" s="25" t="s">
        <v>5835</v>
      </c>
      <c r="R287" s="22" t="s">
        <v>5913</v>
      </c>
    </row>
    <row r="288" spans="3:18" ht="16">
      <c r="C288" s="19" t="s">
        <v>360</v>
      </c>
      <c r="D288" s="20" t="s">
        <v>2306</v>
      </c>
      <c r="E288" s="21" t="s">
        <v>6237</v>
      </c>
      <c r="F288" s="21" t="s">
        <v>6231</v>
      </c>
      <c r="G288" s="22" t="s">
        <v>5933</v>
      </c>
      <c r="H288" s="22" t="s">
        <v>7828</v>
      </c>
      <c r="I288" s="22">
        <v>1117.5</v>
      </c>
      <c r="K288" s="22" t="s">
        <v>5835</v>
      </c>
      <c r="N288" s="25" t="s">
        <v>6238</v>
      </c>
      <c r="O288" s="25" t="s">
        <v>5835</v>
      </c>
      <c r="R288" s="22" t="s">
        <v>5933</v>
      </c>
    </row>
    <row r="289" spans="3:18" ht="16">
      <c r="C289" s="19" t="s">
        <v>361</v>
      </c>
      <c r="D289" s="20" t="s">
        <v>2307</v>
      </c>
      <c r="E289" s="21" t="s">
        <v>5968</v>
      </c>
      <c r="F289" s="21" t="s">
        <v>5969</v>
      </c>
      <c r="G289" s="22" t="s">
        <v>5840</v>
      </c>
      <c r="H289" s="22" t="s">
        <v>5835</v>
      </c>
      <c r="I289" s="22">
        <v>183.7</v>
      </c>
      <c r="K289" s="22" t="s">
        <v>5835</v>
      </c>
      <c r="N289" s="25">
        <v>0</v>
      </c>
      <c r="O289" s="25" t="s">
        <v>5835</v>
      </c>
      <c r="R289" s="22" t="s">
        <v>5840</v>
      </c>
    </row>
    <row r="290" spans="3:18" ht="16">
      <c r="C290" s="19" t="s">
        <v>362</v>
      </c>
      <c r="D290" s="20" t="s">
        <v>2308</v>
      </c>
      <c r="E290" s="21" t="s">
        <v>6214</v>
      </c>
      <c r="F290" s="21" t="s">
        <v>6080</v>
      </c>
      <c r="G290" s="22" t="s">
        <v>5915</v>
      </c>
      <c r="H290" s="22" t="s">
        <v>5835</v>
      </c>
      <c r="I290" s="22">
        <v>69.400000000000006</v>
      </c>
      <c r="K290" s="22" t="s">
        <v>5835</v>
      </c>
      <c r="N290" s="25" t="s">
        <v>6239</v>
      </c>
      <c r="O290" s="25" t="s">
        <v>5835</v>
      </c>
      <c r="R290" s="22" t="s">
        <v>5915</v>
      </c>
    </row>
    <row r="291" spans="3:18" ht="16">
      <c r="C291" s="19" t="s">
        <v>363</v>
      </c>
      <c r="D291" s="20" t="s">
        <v>2309</v>
      </c>
      <c r="E291" s="21" t="s">
        <v>6230</v>
      </c>
      <c r="F291" s="21" t="s">
        <v>6231</v>
      </c>
      <c r="G291" s="22" t="s">
        <v>5881</v>
      </c>
      <c r="H291" s="22" t="s">
        <v>5835</v>
      </c>
      <c r="I291" s="22">
        <v>127.1</v>
      </c>
      <c r="K291" s="22" t="s">
        <v>5835</v>
      </c>
      <c r="N291" s="25" t="s">
        <v>6240</v>
      </c>
      <c r="O291" s="25" t="s">
        <v>5835</v>
      </c>
      <c r="R291" s="22" t="s">
        <v>5881</v>
      </c>
    </row>
    <row r="292" spans="3:18" ht="16">
      <c r="C292" s="19" t="s">
        <v>364</v>
      </c>
      <c r="D292" s="20" t="s">
        <v>2310</v>
      </c>
      <c r="E292" s="21" t="s">
        <v>6196</v>
      </c>
      <c r="F292" s="21" t="s">
        <v>6197</v>
      </c>
      <c r="G292" s="22" t="s">
        <v>5909</v>
      </c>
      <c r="H292" s="22" t="s">
        <v>7828</v>
      </c>
      <c r="I292" s="22">
        <v>504</v>
      </c>
      <c r="K292" s="22" t="s">
        <v>5835</v>
      </c>
      <c r="N292" s="25" t="s">
        <v>6241</v>
      </c>
      <c r="O292" s="25" t="s">
        <v>5835</v>
      </c>
      <c r="R292" s="22" t="s">
        <v>5909</v>
      </c>
    </row>
    <row r="293" spans="3:18" ht="16">
      <c r="C293" s="19" t="s">
        <v>365</v>
      </c>
      <c r="D293" s="20" t="s">
        <v>2311</v>
      </c>
      <c r="E293" s="21" t="s">
        <v>6216</v>
      </c>
      <c r="F293" s="21" t="s">
        <v>6197</v>
      </c>
      <c r="G293" s="22" t="s">
        <v>5924</v>
      </c>
      <c r="H293" s="22" t="s">
        <v>7828</v>
      </c>
      <c r="I293" s="22">
        <v>902.2</v>
      </c>
      <c r="K293" s="22" t="s">
        <v>5835</v>
      </c>
      <c r="N293" s="25" t="s">
        <v>6242</v>
      </c>
      <c r="O293" s="25" t="s">
        <v>5835</v>
      </c>
      <c r="R293" s="22" t="s">
        <v>5924</v>
      </c>
    </row>
    <row r="294" spans="3:18" ht="16">
      <c r="C294" s="19" t="s">
        <v>366</v>
      </c>
      <c r="D294" s="20" t="s">
        <v>2312</v>
      </c>
      <c r="E294" s="21" t="s">
        <v>6243</v>
      </c>
      <c r="F294" s="21" t="s">
        <v>17</v>
      </c>
      <c r="G294" s="22" t="s">
        <v>5873</v>
      </c>
      <c r="H294" s="22" t="s">
        <v>7828</v>
      </c>
      <c r="I294" s="22">
        <v>901</v>
      </c>
      <c r="K294" s="22" t="s">
        <v>5835</v>
      </c>
      <c r="N294" s="25" t="s">
        <v>6244</v>
      </c>
      <c r="O294" s="25" t="s">
        <v>5835</v>
      </c>
      <c r="R294" s="22" t="s">
        <v>5873</v>
      </c>
    </row>
    <row r="295" spans="3:18" ht="16">
      <c r="C295" s="19" t="s">
        <v>367</v>
      </c>
      <c r="D295" s="20" t="s">
        <v>2313</v>
      </c>
      <c r="E295" s="21" t="s">
        <v>6208</v>
      </c>
      <c r="F295" s="21" t="s">
        <v>17</v>
      </c>
      <c r="G295" s="22" t="s">
        <v>5911</v>
      </c>
      <c r="H295" s="22" t="s">
        <v>5835</v>
      </c>
      <c r="I295" s="22">
        <v>128</v>
      </c>
      <c r="K295" s="22" t="s">
        <v>5835</v>
      </c>
      <c r="N295" s="25" t="s">
        <v>6245</v>
      </c>
      <c r="O295" s="25" t="s">
        <v>5835</v>
      </c>
      <c r="R295" s="22" t="s">
        <v>5911</v>
      </c>
    </row>
    <row r="296" spans="3:18" ht="16">
      <c r="C296" s="19" t="s">
        <v>368</v>
      </c>
      <c r="D296" s="20" t="s">
        <v>2314</v>
      </c>
      <c r="E296" s="21" t="s">
        <v>6216</v>
      </c>
      <c r="F296" s="21" t="s">
        <v>6197</v>
      </c>
      <c r="G296" s="22" t="s">
        <v>5909</v>
      </c>
      <c r="H296" s="22" t="s">
        <v>7828</v>
      </c>
      <c r="I296" s="22">
        <v>1496</v>
      </c>
      <c r="K296" s="22" t="s">
        <v>5835</v>
      </c>
      <c r="N296" s="25" t="s">
        <v>6246</v>
      </c>
      <c r="O296" s="25" t="s">
        <v>5835</v>
      </c>
      <c r="R296" s="22" t="s">
        <v>5909</v>
      </c>
    </row>
    <row r="297" spans="3:18" ht="16">
      <c r="C297" s="19" t="s">
        <v>369</v>
      </c>
      <c r="D297" s="20" t="s">
        <v>2315</v>
      </c>
      <c r="E297" s="21" t="s">
        <v>6216</v>
      </c>
      <c r="F297" s="21" t="s">
        <v>6197</v>
      </c>
      <c r="G297" s="22" t="s">
        <v>5924</v>
      </c>
      <c r="H297" s="22" t="s">
        <v>7828</v>
      </c>
      <c r="I297" s="22">
        <v>4768.8</v>
      </c>
      <c r="K297" s="22" t="s">
        <v>5832</v>
      </c>
      <c r="N297" s="25" t="s">
        <v>6247</v>
      </c>
      <c r="O297" s="25" t="s">
        <v>5835</v>
      </c>
      <c r="R297" s="22" t="s">
        <v>5924</v>
      </c>
    </row>
    <row r="298" spans="3:18" ht="16">
      <c r="C298" s="19" t="s">
        <v>6248</v>
      </c>
      <c r="D298" s="20" t="s">
        <v>6249</v>
      </c>
      <c r="E298" s="21" t="s">
        <v>6250</v>
      </c>
      <c r="F298" s="21" t="s">
        <v>6200</v>
      </c>
      <c r="G298" s="22" t="s">
        <v>5865</v>
      </c>
      <c r="H298" s="22" t="s">
        <v>5835</v>
      </c>
      <c r="I298" s="22" t="s">
        <v>5835</v>
      </c>
      <c r="K298" s="22" t="s">
        <v>5835</v>
      </c>
      <c r="N298" s="25" t="s">
        <v>6251</v>
      </c>
      <c r="O298" s="25" t="s">
        <v>5835</v>
      </c>
      <c r="R298" s="22" t="s">
        <v>5865</v>
      </c>
    </row>
    <row r="299" spans="3:18" ht="16">
      <c r="C299" s="19" t="s">
        <v>370</v>
      </c>
      <c r="D299" s="20" t="s">
        <v>2316</v>
      </c>
      <c r="E299" s="21" t="s">
        <v>6252</v>
      </c>
      <c r="F299" s="21" t="s">
        <v>6080</v>
      </c>
      <c r="G299" s="22" t="s">
        <v>5935</v>
      </c>
      <c r="H299" s="22" t="s">
        <v>7828</v>
      </c>
      <c r="I299" s="22">
        <v>225.5</v>
      </c>
      <c r="K299" s="22" t="s">
        <v>5835</v>
      </c>
      <c r="N299" s="25" t="s">
        <v>6253</v>
      </c>
      <c r="O299" s="25" t="s">
        <v>5835</v>
      </c>
      <c r="R299" s="22" t="s">
        <v>5935</v>
      </c>
    </row>
    <row r="300" spans="3:18" ht="16">
      <c r="C300" s="19" t="s">
        <v>371</v>
      </c>
      <c r="D300" s="20" t="s">
        <v>2317</v>
      </c>
      <c r="E300" s="21" t="s">
        <v>6254</v>
      </c>
      <c r="F300" s="21" t="s">
        <v>8</v>
      </c>
      <c r="G300" s="22" t="s">
        <v>5935</v>
      </c>
      <c r="H300" s="22" t="s">
        <v>7828</v>
      </c>
      <c r="I300" s="22">
        <v>1811.8</v>
      </c>
      <c r="K300" s="22" t="s">
        <v>5835</v>
      </c>
      <c r="N300" s="25" t="s">
        <v>6255</v>
      </c>
      <c r="O300" s="25" t="s">
        <v>5835</v>
      </c>
      <c r="R300" s="22" t="s">
        <v>5935</v>
      </c>
    </row>
    <row r="301" spans="3:18" ht="16">
      <c r="C301" s="19" t="s">
        <v>372</v>
      </c>
      <c r="D301" s="20" t="s">
        <v>2318</v>
      </c>
      <c r="E301" s="21" t="s">
        <v>6216</v>
      </c>
      <c r="F301" s="21" t="s">
        <v>6197</v>
      </c>
      <c r="G301" s="22" t="s">
        <v>5909</v>
      </c>
      <c r="H301" s="22" t="s">
        <v>7828</v>
      </c>
      <c r="I301" s="22">
        <v>279.39999999999998</v>
      </c>
      <c r="K301" s="22" t="s">
        <v>5835</v>
      </c>
      <c r="N301" s="25" t="s">
        <v>6256</v>
      </c>
      <c r="O301" s="25" t="s">
        <v>5835</v>
      </c>
      <c r="R301" s="22" t="s">
        <v>5909</v>
      </c>
    </row>
    <row r="302" spans="3:18" ht="16">
      <c r="C302" s="19" t="s">
        <v>373</v>
      </c>
      <c r="D302" s="20" t="s">
        <v>2319</v>
      </c>
      <c r="E302" s="21" t="s">
        <v>6257</v>
      </c>
      <c r="F302" s="21" t="s">
        <v>10</v>
      </c>
      <c r="G302" s="22" t="s">
        <v>5937</v>
      </c>
      <c r="H302" s="22" t="s">
        <v>7828</v>
      </c>
      <c r="I302" s="22">
        <v>275</v>
      </c>
      <c r="K302" s="22" t="s">
        <v>5835</v>
      </c>
      <c r="N302" s="25" t="s">
        <v>6258</v>
      </c>
      <c r="O302" s="25" t="s">
        <v>5835</v>
      </c>
      <c r="R302" s="22" t="s">
        <v>5937</v>
      </c>
    </row>
    <row r="303" spans="3:18" ht="16">
      <c r="C303" s="19" t="s">
        <v>374</v>
      </c>
      <c r="D303" s="20" t="s">
        <v>2320</v>
      </c>
      <c r="E303" s="21" t="s">
        <v>6216</v>
      </c>
      <c r="F303" s="21" t="s">
        <v>6197</v>
      </c>
      <c r="G303" s="22" t="s">
        <v>5924</v>
      </c>
      <c r="H303" s="22" t="s">
        <v>5835</v>
      </c>
      <c r="I303" s="22">
        <v>37.200000000000003</v>
      </c>
      <c r="K303" s="22" t="s">
        <v>5835</v>
      </c>
      <c r="N303" s="25" t="s">
        <v>6259</v>
      </c>
      <c r="O303" s="25" t="s">
        <v>5835</v>
      </c>
      <c r="R303" s="22" t="s">
        <v>5924</v>
      </c>
    </row>
    <row r="304" spans="3:18" ht="16">
      <c r="C304" s="19" t="s">
        <v>375</v>
      </c>
      <c r="D304" s="20" t="s">
        <v>2321</v>
      </c>
      <c r="E304" s="21" t="s">
        <v>6204</v>
      </c>
      <c r="F304" s="21" t="s">
        <v>6080</v>
      </c>
      <c r="G304" s="22" t="s">
        <v>5915</v>
      </c>
      <c r="H304" s="22" t="s">
        <v>5835</v>
      </c>
      <c r="I304" s="22">
        <v>74.599999999999994</v>
      </c>
      <c r="K304" s="22" t="s">
        <v>5835</v>
      </c>
      <c r="N304" s="25" t="s">
        <v>6260</v>
      </c>
      <c r="O304" s="25" t="s">
        <v>5835</v>
      </c>
      <c r="R304" s="22" t="s">
        <v>5915</v>
      </c>
    </row>
    <row r="305" spans="3:18" ht="16">
      <c r="C305" s="19" t="s">
        <v>376</v>
      </c>
      <c r="D305" s="20" t="s">
        <v>2322</v>
      </c>
      <c r="E305" s="21" t="s">
        <v>6208</v>
      </c>
      <c r="F305" s="21" t="s">
        <v>17</v>
      </c>
      <c r="G305" s="22" t="s">
        <v>5911</v>
      </c>
      <c r="H305" s="22" t="s">
        <v>5835</v>
      </c>
      <c r="I305" s="22">
        <v>172.7</v>
      </c>
      <c r="K305" s="22" t="s">
        <v>5835</v>
      </c>
      <c r="N305" s="25" t="s">
        <v>6261</v>
      </c>
      <c r="O305" s="25" t="s">
        <v>5835</v>
      </c>
      <c r="R305" s="22" t="s">
        <v>5911</v>
      </c>
    </row>
    <row r="306" spans="3:18" ht="16">
      <c r="C306" s="19" t="s">
        <v>377</v>
      </c>
      <c r="D306" s="20" t="s">
        <v>2323</v>
      </c>
      <c r="E306" s="21" t="s">
        <v>6208</v>
      </c>
      <c r="F306" s="21" t="s">
        <v>17</v>
      </c>
      <c r="G306" s="22" t="s">
        <v>5911</v>
      </c>
      <c r="H306" s="22" t="s">
        <v>7828</v>
      </c>
      <c r="I306" s="22">
        <v>1544.3</v>
      </c>
      <c r="K306" s="22" t="s">
        <v>5835</v>
      </c>
      <c r="N306" s="25" t="s">
        <v>6262</v>
      </c>
      <c r="O306" s="25" t="s">
        <v>5835</v>
      </c>
      <c r="R306" s="22" t="s">
        <v>5911</v>
      </c>
    </row>
    <row r="307" spans="3:18" ht="16">
      <c r="C307" s="19" t="s">
        <v>378</v>
      </c>
      <c r="D307" s="20" t="s">
        <v>2324</v>
      </c>
      <c r="E307" s="21" t="s">
        <v>6222</v>
      </c>
      <c r="F307" s="21" t="s">
        <v>8</v>
      </c>
      <c r="G307" s="22" t="s">
        <v>14</v>
      </c>
      <c r="H307" s="22" t="s">
        <v>5835</v>
      </c>
      <c r="I307" s="22">
        <v>54.5</v>
      </c>
      <c r="K307" s="22" t="s">
        <v>5835</v>
      </c>
      <c r="N307" s="25" t="s">
        <v>6263</v>
      </c>
      <c r="O307" s="25" t="s">
        <v>5835</v>
      </c>
      <c r="R307" s="22" t="s">
        <v>14</v>
      </c>
    </row>
    <row r="308" spans="3:18" ht="16">
      <c r="C308" s="19" t="s">
        <v>379</v>
      </c>
      <c r="D308" s="20" t="s">
        <v>2325</v>
      </c>
      <c r="E308" s="21" t="s">
        <v>6033</v>
      </c>
      <c r="F308" s="21" t="s">
        <v>5969</v>
      </c>
      <c r="G308" s="22" t="s">
        <v>5857</v>
      </c>
      <c r="H308" s="22" t="s">
        <v>7828</v>
      </c>
      <c r="I308" s="22">
        <v>810.1</v>
      </c>
      <c r="K308" s="22" t="s">
        <v>5835</v>
      </c>
      <c r="N308" s="25" t="s">
        <v>6264</v>
      </c>
      <c r="O308" s="25" t="s">
        <v>5835</v>
      </c>
      <c r="R308" s="22" t="s">
        <v>5857</v>
      </c>
    </row>
    <row r="309" spans="3:18" ht="16">
      <c r="C309" s="19" t="s">
        <v>380</v>
      </c>
      <c r="D309" s="20" t="s">
        <v>2326</v>
      </c>
      <c r="E309" s="21" t="s">
        <v>6237</v>
      </c>
      <c r="F309" s="21" t="s">
        <v>6231</v>
      </c>
      <c r="G309" s="22" t="s">
        <v>5933</v>
      </c>
      <c r="H309" s="22" t="s">
        <v>5835</v>
      </c>
      <c r="I309" s="22">
        <v>136.30000000000001</v>
      </c>
      <c r="K309" s="22" t="s">
        <v>5835</v>
      </c>
      <c r="N309" s="25" t="s">
        <v>6265</v>
      </c>
      <c r="O309" s="25" t="s">
        <v>5835</v>
      </c>
      <c r="R309" s="22" t="s">
        <v>5933</v>
      </c>
    </row>
    <row r="310" spans="3:18" ht="16">
      <c r="C310" s="19" t="s">
        <v>381</v>
      </c>
      <c r="D310" s="20" t="s">
        <v>2327</v>
      </c>
      <c r="E310" s="21" t="s">
        <v>6266</v>
      </c>
      <c r="F310" s="21" t="s">
        <v>6080</v>
      </c>
      <c r="G310" s="22" t="s">
        <v>5906</v>
      </c>
      <c r="H310" s="22" t="s">
        <v>7828</v>
      </c>
      <c r="I310" s="22">
        <v>152.80000000000001</v>
      </c>
      <c r="K310" s="22" t="s">
        <v>5835</v>
      </c>
      <c r="N310" s="25" t="s">
        <v>6267</v>
      </c>
      <c r="O310" s="25" t="s">
        <v>5835</v>
      </c>
      <c r="R310" s="22" t="s">
        <v>5906</v>
      </c>
    </row>
    <row r="311" spans="3:18" ht="16">
      <c r="C311" s="19" t="s">
        <v>382</v>
      </c>
      <c r="D311" s="20" t="s">
        <v>2328</v>
      </c>
      <c r="E311" s="21" t="s">
        <v>6219</v>
      </c>
      <c r="F311" s="21" t="s">
        <v>17</v>
      </c>
      <c r="G311" s="22" t="s">
        <v>5918</v>
      </c>
      <c r="H311" s="22" t="s">
        <v>5835</v>
      </c>
      <c r="I311" s="22">
        <v>59.9</v>
      </c>
      <c r="K311" s="22" t="s">
        <v>5835</v>
      </c>
      <c r="N311" s="25" t="s">
        <v>6268</v>
      </c>
      <c r="O311" s="25" t="s">
        <v>5835</v>
      </c>
      <c r="R311" s="22" t="s">
        <v>5918</v>
      </c>
    </row>
    <row r="312" spans="3:18" ht="16">
      <c r="C312" s="19" t="s">
        <v>383</v>
      </c>
      <c r="D312" s="20" t="s">
        <v>2329</v>
      </c>
      <c r="E312" s="21" t="s">
        <v>6224</v>
      </c>
      <c r="F312" s="21" t="s">
        <v>17</v>
      </c>
      <c r="G312" s="22" t="s">
        <v>5924</v>
      </c>
      <c r="H312" s="22" t="s">
        <v>7828</v>
      </c>
      <c r="I312" s="22">
        <v>1862.3</v>
      </c>
      <c r="K312" s="22" t="s">
        <v>5835</v>
      </c>
      <c r="N312" s="25" t="s">
        <v>6269</v>
      </c>
      <c r="O312" s="25" t="s">
        <v>5835</v>
      </c>
      <c r="R312" s="22" t="s">
        <v>5924</v>
      </c>
    </row>
    <row r="313" spans="3:18" ht="16">
      <c r="C313" s="19" t="s">
        <v>384</v>
      </c>
      <c r="D313" s="20" t="s">
        <v>2330</v>
      </c>
      <c r="E313" s="21" t="s">
        <v>6224</v>
      </c>
      <c r="F313" s="21" t="s">
        <v>17</v>
      </c>
      <c r="G313" s="22" t="s">
        <v>5924</v>
      </c>
      <c r="H313" s="22" t="s">
        <v>7828</v>
      </c>
      <c r="I313" s="22">
        <v>1195.5</v>
      </c>
      <c r="K313" s="22" t="s">
        <v>5835</v>
      </c>
      <c r="N313" s="25" t="s">
        <v>6270</v>
      </c>
      <c r="O313" s="25" t="s">
        <v>5835</v>
      </c>
      <c r="R313" s="22" t="s">
        <v>5924</v>
      </c>
    </row>
    <row r="314" spans="3:18" ht="16">
      <c r="C314" s="19" t="s">
        <v>385</v>
      </c>
      <c r="D314" s="20" t="s">
        <v>2331</v>
      </c>
      <c r="E314" s="21" t="s">
        <v>6257</v>
      </c>
      <c r="F314" s="21" t="s">
        <v>10</v>
      </c>
      <c r="G314" s="22" t="s">
        <v>5941</v>
      </c>
      <c r="H314" s="22" t="s">
        <v>7828</v>
      </c>
      <c r="I314" s="22">
        <v>2959.4</v>
      </c>
      <c r="K314" s="22" t="s">
        <v>5832</v>
      </c>
      <c r="N314" s="25" t="s">
        <v>6271</v>
      </c>
      <c r="O314" s="25" t="s">
        <v>5835</v>
      </c>
      <c r="R314" s="22" t="s">
        <v>5941</v>
      </c>
    </row>
    <row r="315" spans="3:18" ht="16">
      <c r="C315" s="19" t="s">
        <v>386</v>
      </c>
      <c r="D315" s="20" t="s">
        <v>2332</v>
      </c>
      <c r="E315" s="21" t="s">
        <v>6204</v>
      </c>
      <c r="F315" s="21" t="s">
        <v>6080</v>
      </c>
      <c r="G315" s="22" t="s">
        <v>5906</v>
      </c>
      <c r="H315" s="22" t="s">
        <v>5835</v>
      </c>
      <c r="I315" s="22">
        <v>8.1999999999999993</v>
      </c>
      <c r="K315" s="22" t="s">
        <v>5835</v>
      </c>
      <c r="N315" s="25" t="s">
        <v>6272</v>
      </c>
      <c r="O315" s="25" t="s">
        <v>5835</v>
      </c>
      <c r="R315" s="22" t="s">
        <v>5906</v>
      </c>
    </row>
    <row r="316" spans="3:18" ht="16">
      <c r="C316" s="19" t="s">
        <v>387</v>
      </c>
      <c r="D316" s="20" t="s">
        <v>2333</v>
      </c>
      <c r="E316" s="21" t="s">
        <v>6216</v>
      </c>
      <c r="F316" s="21" t="s">
        <v>6197</v>
      </c>
      <c r="G316" s="22" t="s">
        <v>5909</v>
      </c>
      <c r="H316" s="22" t="s">
        <v>7828</v>
      </c>
      <c r="I316" s="22">
        <v>10544.9</v>
      </c>
      <c r="K316" s="22" t="s">
        <v>5832</v>
      </c>
      <c r="N316" s="25" t="s">
        <v>6273</v>
      </c>
      <c r="O316" s="25" t="s">
        <v>5835</v>
      </c>
      <c r="R316" s="22" t="s">
        <v>5909</v>
      </c>
    </row>
    <row r="317" spans="3:18" ht="16">
      <c r="C317" s="19" t="s">
        <v>388</v>
      </c>
      <c r="D317" s="20" t="s">
        <v>2334</v>
      </c>
      <c r="E317" s="21" t="s">
        <v>6274</v>
      </c>
      <c r="F317" s="21" t="s">
        <v>17</v>
      </c>
      <c r="G317" s="22" t="s">
        <v>5943</v>
      </c>
      <c r="H317" s="22" t="s">
        <v>7828</v>
      </c>
      <c r="I317" s="22">
        <v>3372.5</v>
      </c>
      <c r="K317" s="22" t="s">
        <v>5835</v>
      </c>
      <c r="N317" s="25" t="s">
        <v>6275</v>
      </c>
      <c r="O317" s="25" t="s">
        <v>5835</v>
      </c>
      <c r="R317" s="22" t="s">
        <v>5943</v>
      </c>
    </row>
    <row r="318" spans="3:18" ht="16">
      <c r="C318" s="19" t="s">
        <v>389</v>
      </c>
      <c r="D318" s="20" t="s">
        <v>2335</v>
      </c>
      <c r="E318" s="21" t="s">
        <v>6252</v>
      </c>
      <c r="F318" s="21" t="s">
        <v>6080</v>
      </c>
      <c r="G318" s="22" t="s">
        <v>5915</v>
      </c>
      <c r="H318" s="22" t="s">
        <v>7828</v>
      </c>
      <c r="I318" s="22">
        <v>999.5</v>
      </c>
      <c r="K318" s="22" t="s">
        <v>5835</v>
      </c>
      <c r="N318" s="25" t="s">
        <v>6276</v>
      </c>
      <c r="O318" s="25" t="s">
        <v>5835</v>
      </c>
      <c r="R318" s="22" t="s">
        <v>5915</v>
      </c>
    </row>
    <row r="319" spans="3:18" ht="16">
      <c r="C319" s="19" t="s">
        <v>390</v>
      </c>
      <c r="D319" s="20" t="s">
        <v>2336</v>
      </c>
      <c r="E319" s="21" t="s">
        <v>6277</v>
      </c>
      <c r="F319" s="21" t="s">
        <v>17</v>
      </c>
      <c r="G319" s="22" t="s">
        <v>5915</v>
      </c>
      <c r="H319" s="22" t="s">
        <v>5835</v>
      </c>
      <c r="I319" s="22">
        <v>89.4</v>
      </c>
      <c r="K319" s="22" t="s">
        <v>5835</v>
      </c>
      <c r="N319" s="25" t="s">
        <v>6278</v>
      </c>
      <c r="O319" s="25" t="s">
        <v>5835</v>
      </c>
      <c r="R319" s="22" t="s">
        <v>5915</v>
      </c>
    </row>
    <row r="320" spans="3:18" ht="16">
      <c r="C320" s="19" t="s">
        <v>391</v>
      </c>
      <c r="D320" s="20" t="s">
        <v>2337</v>
      </c>
      <c r="E320" s="21" t="s">
        <v>6257</v>
      </c>
      <c r="F320" s="21" t="s">
        <v>10</v>
      </c>
      <c r="G320" s="22" t="s">
        <v>5941</v>
      </c>
      <c r="H320" s="22" t="s">
        <v>7828</v>
      </c>
      <c r="I320" s="22">
        <v>330</v>
      </c>
      <c r="K320" s="22" t="s">
        <v>5835</v>
      </c>
      <c r="N320" s="25" t="s">
        <v>6279</v>
      </c>
      <c r="O320" s="25" t="s">
        <v>5835</v>
      </c>
      <c r="R320" s="22" t="s">
        <v>5941</v>
      </c>
    </row>
    <row r="321" spans="3:18" ht="16">
      <c r="C321" s="19" t="s">
        <v>392</v>
      </c>
      <c r="D321" s="20" t="s">
        <v>2338</v>
      </c>
      <c r="E321" s="21" t="s">
        <v>6280</v>
      </c>
      <c r="F321" s="21" t="s">
        <v>6281</v>
      </c>
      <c r="G321" s="22" t="s">
        <v>5906</v>
      </c>
      <c r="H321" s="22" t="s">
        <v>5835</v>
      </c>
      <c r="I321" s="22">
        <v>19.600000000000001</v>
      </c>
      <c r="K321" s="22" t="s">
        <v>5835</v>
      </c>
      <c r="N321" s="25" t="s">
        <v>6282</v>
      </c>
      <c r="O321" s="25" t="s">
        <v>5835</v>
      </c>
      <c r="R321" s="22" t="s">
        <v>5906</v>
      </c>
    </row>
    <row r="322" spans="3:18" ht="16">
      <c r="C322" s="19" t="s">
        <v>393</v>
      </c>
      <c r="D322" s="20" t="s">
        <v>2339</v>
      </c>
      <c r="E322" s="21" t="s">
        <v>6067</v>
      </c>
      <c r="F322" s="21" t="s">
        <v>17</v>
      </c>
      <c r="G322" s="22" t="s">
        <v>5920</v>
      </c>
      <c r="H322" s="22" t="s">
        <v>7828</v>
      </c>
      <c r="I322" s="22">
        <v>268.39999999999998</v>
      </c>
      <c r="K322" s="22" t="s">
        <v>5835</v>
      </c>
      <c r="N322" s="25" t="s">
        <v>6283</v>
      </c>
      <c r="O322" s="25" t="s">
        <v>5835</v>
      </c>
      <c r="R322" s="22" t="s">
        <v>5920</v>
      </c>
    </row>
    <row r="323" spans="3:18" ht="16">
      <c r="C323" s="19" t="s">
        <v>394</v>
      </c>
      <c r="D323" s="20" t="s">
        <v>2340</v>
      </c>
      <c r="E323" s="21" t="s">
        <v>6199</v>
      </c>
      <c r="F323" s="21" t="s">
        <v>6200</v>
      </c>
      <c r="G323" s="22" t="s">
        <v>5881</v>
      </c>
      <c r="H323" s="22" t="s">
        <v>7828</v>
      </c>
      <c r="I323" s="22">
        <v>321.89999999999998</v>
      </c>
      <c r="K323" s="22" t="s">
        <v>5835</v>
      </c>
      <c r="N323" s="25" t="s">
        <v>6284</v>
      </c>
      <c r="O323" s="25" t="s">
        <v>5835</v>
      </c>
      <c r="R323" s="22" t="s">
        <v>5881</v>
      </c>
    </row>
    <row r="324" spans="3:18" ht="16">
      <c r="C324" s="19" t="s">
        <v>395</v>
      </c>
      <c r="D324" s="20" t="s">
        <v>2341</v>
      </c>
      <c r="E324" s="21" t="s">
        <v>6285</v>
      </c>
      <c r="F324" s="21" t="s">
        <v>6281</v>
      </c>
      <c r="G324" s="22" t="s">
        <v>5945</v>
      </c>
      <c r="H324" s="22" t="s">
        <v>7828</v>
      </c>
      <c r="I324" s="22">
        <v>2985.8</v>
      </c>
      <c r="K324" s="22" t="s">
        <v>5832</v>
      </c>
      <c r="N324" s="25" t="s">
        <v>6286</v>
      </c>
      <c r="O324" s="25" t="s">
        <v>5835</v>
      </c>
      <c r="R324" s="22" t="s">
        <v>5945</v>
      </c>
    </row>
    <row r="325" spans="3:18" ht="16">
      <c r="C325" s="19" t="s">
        <v>396</v>
      </c>
      <c r="D325" s="20" t="s">
        <v>2342</v>
      </c>
      <c r="E325" s="21" t="s">
        <v>6224</v>
      </c>
      <c r="F325" s="21" t="s">
        <v>17</v>
      </c>
      <c r="G325" s="22" t="s">
        <v>5945</v>
      </c>
      <c r="H325" s="22" t="s">
        <v>5835</v>
      </c>
      <c r="I325" s="22">
        <v>71.099999999999994</v>
      </c>
      <c r="K325" s="22" t="s">
        <v>5835</v>
      </c>
      <c r="N325" s="25" t="s">
        <v>6287</v>
      </c>
      <c r="O325" s="25" t="s">
        <v>5835</v>
      </c>
      <c r="R325" s="22" t="s">
        <v>5945</v>
      </c>
    </row>
    <row r="326" spans="3:18" ht="16">
      <c r="C326" s="19" t="s">
        <v>397</v>
      </c>
      <c r="D326" s="20" t="s">
        <v>2343</v>
      </c>
      <c r="E326" s="21" t="s">
        <v>6224</v>
      </c>
      <c r="F326" s="21" t="s">
        <v>17</v>
      </c>
      <c r="G326" s="22" t="s">
        <v>5924</v>
      </c>
      <c r="H326" s="22" t="s">
        <v>5835</v>
      </c>
      <c r="I326" s="22">
        <v>31.3</v>
      </c>
      <c r="K326" s="22" t="s">
        <v>5835</v>
      </c>
      <c r="N326" s="25" t="s">
        <v>6288</v>
      </c>
      <c r="O326" s="25" t="s">
        <v>5835</v>
      </c>
      <c r="R326" s="22" t="s">
        <v>5924</v>
      </c>
    </row>
    <row r="327" spans="3:18" ht="16">
      <c r="C327" s="19" t="s">
        <v>398</v>
      </c>
      <c r="D327" s="20" t="s">
        <v>2344</v>
      </c>
      <c r="E327" s="21" t="s">
        <v>6257</v>
      </c>
      <c r="F327" s="21" t="s">
        <v>10</v>
      </c>
      <c r="G327" s="22" t="s">
        <v>5947</v>
      </c>
      <c r="H327" s="22" t="s">
        <v>5835</v>
      </c>
      <c r="I327" s="22">
        <v>106</v>
      </c>
      <c r="K327" s="22" t="s">
        <v>5835</v>
      </c>
      <c r="N327" s="25" t="s">
        <v>6289</v>
      </c>
      <c r="O327" s="25" t="s">
        <v>5835</v>
      </c>
      <c r="R327" s="22" t="s">
        <v>5947</v>
      </c>
    </row>
    <row r="328" spans="3:18" ht="16">
      <c r="C328" s="19" t="s">
        <v>399</v>
      </c>
      <c r="D328" s="20" t="s">
        <v>2345</v>
      </c>
      <c r="E328" s="21" t="s">
        <v>6277</v>
      </c>
      <c r="F328" s="21" t="s">
        <v>17</v>
      </c>
      <c r="G328" s="22" t="s">
        <v>5911</v>
      </c>
      <c r="H328" s="22" t="s">
        <v>5835</v>
      </c>
      <c r="I328" s="22">
        <v>119.5</v>
      </c>
      <c r="K328" s="22" t="s">
        <v>5835</v>
      </c>
      <c r="N328" s="25" t="s">
        <v>6290</v>
      </c>
      <c r="O328" s="25" t="s">
        <v>5835</v>
      </c>
      <c r="R328" s="22" t="s">
        <v>5911</v>
      </c>
    </row>
    <row r="329" spans="3:18" ht="16">
      <c r="C329" s="19" t="s">
        <v>400</v>
      </c>
      <c r="D329" s="20" t="s">
        <v>2346</v>
      </c>
      <c r="E329" s="21" t="s">
        <v>6254</v>
      </c>
      <c r="F329" s="21" t="s">
        <v>8</v>
      </c>
      <c r="G329" s="22" t="s">
        <v>12</v>
      </c>
      <c r="H329" s="22" t="s">
        <v>7828</v>
      </c>
      <c r="I329" s="22">
        <v>1362.8</v>
      </c>
      <c r="K329" s="22" t="s">
        <v>5835</v>
      </c>
      <c r="N329" s="25" t="s">
        <v>6291</v>
      </c>
      <c r="O329" s="25" t="s">
        <v>5835</v>
      </c>
      <c r="R329" s="22" t="s">
        <v>12</v>
      </c>
    </row>
    <row r="330" spans="3:18" ht="16">
      <c r="C330" s="19" t="s">
        <v>401</v>
      </c>
      <c r="D330" s="20" t="s">
        <v>2347</v>
      </c>
      <c r="E330" s="21" t="s">
        <v>6224</v>
      </c>
      <c r="F330" s="21" t="s">
        <v>17</v>
      </c>
      <c r="G330" s="22" t="s">
        <v>5924</v>
      </c>
      <c r="H330" s="22" t="s">
        <v>5835</v>
      </c>
      <c r="I330" s="22">
        <v>52.7</v>
      </c>
      <c r="K330" s="22" t="s">
        <v>5835</v>
      </c>
      <c r="N330" s="25" t="s">
        <v>6292</v>
      </c>
      <c r="O330" s="25" t="s">
        <v>5835</v>
      </c>
      <c r="R330" s="22" t="s">
        <v>5924</v>
      </c>
    </row>
    <row r="331" spans="3:18" ht="16">
      <c r="C331" s="19" t="s">
        <v>402</v>
      </c>
      <c r="D331" s="20" t="s">
        <v>2348</v>
      </c>
      <c r="E331" s="21" t="s">
        <v>6293</v>
      </c>
      <c r="F331" s="21" t="s">
        <v>8</v>
      </c>
      <c r="G331" s="22" t="s">
        <v>5875</v>
      </c>
      <c r="H331" s="22" t="s">
        <v>5835</v>
      </c>
      <c r="I331" s="22">
        <v>39.299999999999997</v>
      </c>
      <c r="K331" s="22" t="s">
        <v>5835</v>
      </c>
      <c r="N331" s="25" t="s">
        <v>6294</v>
      </c>
      <c r="O331" s="25" t="s">
        <v>5835</v>
      </c>
      <c r="R331" s="22" t="s">
        <v>5875</v>
      </c>
    </row>
    <row r="332" spans="3:18" ht="16">
      <c r="C332" s="19" t="s">
        <v>403</v>
      </c>
      <c r="D332" s="20" t="s">
        <v>2349</v>
      </c>
      <c r="E332" s="21" t="s">
        <v>6295</v>
      </c>
      <c r="F332" s="21" t="s">
        <v>5928</v>
      </c>
      <c r="G332" s="22" t="s">
        <v>5928</v>
      </c>
      <c r="H332" s="22" t="s">
        <v>7828</v>
      </c>
      <c r="I332" s="22">
        <v>1461</v>
      </c>
      <c r="K332" s="22" t="s">
        <v>5832</v>
      </c>
      <c r="N332" s="25" t="s">
        <v>6296</v>
      </c>
      <c r="O332" s="25" t="s">
        <v>5835</v>
      </c>
      <c r="R332" s="22" t="s">
        <v>5928</v>
      </c>
    </row>
    <row r="333" spans="3:18" ht="16">
      <c r="C333" s="19" t="s">
        <v>404</v>
      </c>
      <c r="D333" s="20" t="s">
        <v>2350</v>
      </c>
      <c r="E333" s="21" t="s">
        <v>6297</v>
      </c>
      <c r="F333" s="21" t="s">
        <v>6200</v>
      </c>
      <c r="G333" s="22" t="s">
        <v>5949</v>
      </c>
      <c r="H333" s="22" t="s">
        <v>7828</v>
      </c>
      <c r="I333" s="22">
        <v>924.5</v>
      </c>
      <c r="K333" s="22" t="s">
        <v>5835</v>
      </c>
      <c r="N333" s="25" t="s">
        <v>6298</v>
      </c>
      <c r="O333" s="25" t="s">
        <v>5835</v>
      </c>
      <c r="R333" s="22" t="s">
        <v>5949</v>
      </c>
    </row>
    <row r="334" spans="3:18" ht="16">
      <c r="C334" s="19" t="s">
        <v>405</v>
      </c>
      <c r="D334" s="20" t="s">
        <v>2351</v>
      </c>
      <c r="E334" s="21" t="s">
        <v>6299</v>
      </c>
      <c r="F334" s="21" t="s">
        <v>5913</v>
      </c>
      <c r="G334" s="22" t="s">
        <v>5952</v>
      </c>
      <c r="H334" s="22" t="s">
        <v>7828</v>
      </c>
      <c r="I334" s="22">
        <v>10084.6</v>
      </c>
      <c r="K334" s="22" t="s">
        <v>5832</v>
      </c>
      <c r="N334" s="25" t="s">
        <v>6300</v>
      </c>
      <c r="O334" s="25" t="s">
        <v>5835</v>
      </c>
      <c r="R334" s="22" t="s">
        <v>5952</v>
      </c>
    </row>
    <row r="335" spans="3:18" ht="16">
      <c r="C335" s="19" t="s">
        <v>406</v>
      </c>
      <c r="D335" s="20" t="s">
        <v>2352</v>
      </c>
      <c r="E335" s="21" t="s">
        <v>6025</v>
      </c>
      <c r="F335" s="21" t="s">
        <v>17</v>
      </c>
      <c r="G335" s="22" t="s">
        <v>5855</v>
      </c>
      <c r="H335" s="22" t="s">
        <v>5835</v>
      </c>
      <c r="I335" s="22">
        <v>21.8</v>
      </c>
      <c r="K335" s="22" t="s">
        <v>5835</v>
      </c>
      <c r="N335" s="25" t="s">
        <v>6301</v>
      </c>
      <c r="O335" s="25" t="s">
        <v>5835</v>
      </c>
      <c r="R335" s="22" t="s">
        <v>5855</v>
      </c>
    </row>
    <row r="336" spans="3:18" ht="16">
      <c r="C336" s="19" t="s">
        <v>407</v>
      </c>
      <c r="D336" s="20" t="s">
        <v>2353</v>
      </c>
      <c r="E336" s="21" t="s">
        <v>6237</v>
      </c>
      <c r="F336" s="21" t="s">
        <v>6231</v>
      </c>
      <c r="G336" s="22" t="s">
        <v>5933</v>
      </c>
      <c r="H336" s="22" t="s">
        <v>5835</v>
      </c>
      <c r="I336" s="22">
        <v>70.7</v>
      </c>
      <c r="K336" s="22" t="s">
        <v>5835</v>
      </c>
      <c r="N336" s="25" t="s">
        <v>6302</v>
      </c>
      <c r="O336" s="25" t="s">
        <v>5835</v>
      </c>
      <c r="R336" s="22" t="s">
        <v>5933</v>
      </c>
    </row>
    <row r="337" spans="3:18" ht="16">
      <c r="C337" s="19" t="s">
        <v>408</v>
      </c>
      <c r="D337" s="20" t="s">
        <v>2354</v>
      </c>
      <c r="E337" s="21" t="s">
        <v>6166</v>
      </c>
      <c r="F337" s="21" t="s">
        <v>6080</v>
      </c>
      <c r="G337" s="22" t="s">
        <v>5954</v>
      </c>
      <c r="H337" s="22" t="s">
        <v>5835</v>
      </c>
      <c r="I337" s="22">
        <v>20.7</v>
      </c>
      <c r="K337" s="22" t="s">
        <v>5835</v>
      </c>
      <c r="N337" s="25" t="s">
        <v>6303</v>
      </c>
      <c r="O337" s="25" t="s">
        <v>5835</v>
      </c>
      <c r="R337" s="22" t="s">
        <v>5954</v>
      </c>
    </row>
    <row r="338" spans="3:18" ht="16">
      <c r="C338" s="19" t="s">
        <v>409</v>
      </c>
      <c r="D338" s="20" t="s">
        <v>2355</v>
      </c>
      <c r="E338" s="21" t="s">
        <v>6304</v>
      </c>
      <c r="F338" s="21" t="s">
        <v>17</v>
      </c>
      <c r="G338" s="22" t="s">
        <v>5906</v>
      </c>
      <c r="H338" s="22" t="s">
        <v>5835</v>
      </c>
      <c r="I338" s="22">
        <v>56.1</v>
      </c>
      <c r="K338" s="22" t="s">
        <v>5835</v>
      </c>
      <c r="N338" s="25" t="s">
        <v>6305</v>
      </c>
      <c r="O338" s="25" t="s">
        <v>5835</v>
      </c>
      <c r="R338" s="22" t="s">
        <v>5906</v>
      </c>
    </row>
    <row r="339" spans="3:18" ht="16">
      <c r="C339" s="19" t="s">
        <v>410</v>
      </c>
      <c r="D339" s="20" t="s">
        <v>2356</v>
      </c>
      <c r="E339" s="21" t="s">
        <v>6209</v>
      </c>
      <c r="F339" s="21" t="s">
        <v>5913</v>
      </c>
      <c r="G339" s="22" t="s">
        <v>5913</v>
      </c>
      <c r="H339" s="22" t="s">
        <v>5835</v>
      </c>
      <c r="I339" s="22">
        <v>71.3</v>
      </c>
      <c r="K339" s="22" t="s">
        <v>5835</v>
      </c>
      <c r="N339" s="25" t="s">
        <v>6306</v>
      </c>
      <c r="O339" s="25" t="s">
        <v>5835</v>
      </c>
      <c r="R339" s="22" t="s">
        <v>5913</v>
      </c>
    </row>
    <row r="340" spans="3:18" ht="16">
      <c r="C340" s="19" t="s">
        <v>411</v>
      </c>
      <c r="D340" s="20" t="s">
        <v>2357</v>
      </c>
      <c r="E340" s="21" t="s">
        <v>6025</v>
      </c>
      <c r="F340" s="21" t="s">
        <v>17</v>
      </c>
      <c r="G340" s="22" t="s">
        <v>5855</v>
      </c>
      <c r="H340" s="22" t="s">
        <v>5835</v>
      </c>
      <c r="I340" s="22">
        <v>81.900000000000006</v>
      </c>
      <c r="K340" s="22" t="s">
        <v>5835</v>
      </c>
      <c r="N340" s="25" t="s">
        <v>6307</v>
      </c>
      <c r="O340" s="25" t="s">
        <v>5835</v>
      </c>
      <c r="R340" s="22" t="s">
        <v>5855</v>
      </c>
    </row>
    <row r="341" spans="3:18" ht="16">
      <c r="C341" s="19" t="s">
        <v>412</v>
      </c>
      <c r="D341" s="20" t="s">
        <v>2358</v>
      </c>
      <c r="E341" s="21" t="s">
        <v>6025</v>
      </c>
      <c r="F341" s="21" t="s">
        <v>17</v>
      </c>
      <c r="G341" s="22" t="s">
        <v>5902</v>
      </c>
      <c r="H341" s="22" t="s">
        <v>7828</v>
      </c>
      <c r="I341" s="22">
        <v>284.3</v>
      </c>
      <c r="K341" s="22" t="s">
        <v>5835</v>
      </c>
      <c r="N341" s="25" t="s">
        <v>6308</v>
      </c>
      <c r="O341" s="25" t="s">
        <v>5835</v>
      </c>
      <c r="R341" s="22" t="s">
        <v>5902</v>
      </c>
    </row>
    <row r="342" spans="3:18" ht="16">
      <c r="C342" s="19" t="s">
        <v>413</v>
      </c>
      <c r="D342" s="20" t="s">
        <v>2359</v>
      </c>
      <c r="E342" s="21" t="s">
        <v>6254</v>
      </c>
      <c r="F342" s="21" t="s">
        <v>8</v>
      </c>
      <c r="G342" s="22" t="s">
        <v>5935</v>
      </c>
      <c r="H342" s="22" t="s">
        <v>5835</v>
      </c>
      <c r="I342" s="22">
        <v>65.5</v>
      </c>
      <c r="K342" s="22" t="s">
        <v>5835</v>
      </c>
      <c r="N342" s="25" t="s">
        <v>6309</v>
      </c>
      <c r="O342" s="25" t="s">
        <v>5835</v>
      </c>
      <c r="R342" s="22" t="s">
        <v>5935</v>
      </c>
    </row>
    <row r="343" spans="3:18" ht="16">
      <c r="C343" s="19" t="s">
        <v>414</v>
      </c>
      <c r="D343" s="20" t="s">
        <v>2360</v>
      </c>
      <c r="E343" s="21" t="s">
        <v>6304</v>
      </c>
      <c r="F343" s="21" t="s">
        <v>17</v>
      </c>
      <c r="G343" s="22" t="s">
        <v>5913</v>
      </c>
      <c r="H343" s="22" t="s">
        <v>5835</v>
      </c>
      <c r="I343" s="22">
        <v>38.4</v>
      </c>
      <c r="K343" s="22" t="s">
        <v>5835</v>
      </c>
      <c r="N343" s="25" t="s">
        <v>6310</v>
      </c>
      <c r="O343" s="25" t="s">
        <v>5835</v>
      </c>
      <c r="R343" s="22" t="s">
        <v>5913</v>
      </c>
    </row>
    <row r="344" spans="3:18" ht="16">
      <c r="C344" s="19" t="s">
        <v>415</v>
      </c>
      <c r="D344" s="20" t="s">
        <v>2361</v>
      </c>
      <c r="E344" s="21" t="s">
        <v>6224</v>
      </c>
      <c r="F344" s="21" t="s">
        <v>17</v>
      </c>
      <c r="G344" s="22" t="s">
        <v>5924</v>
      </c>
      <c r="H344" s="22" t="s">
        <v>5835</v>
      </c>
      <c r="I344" s="22">
        <v>32.799999999999997</v>
      </c>
      <c r="K344" s="22" t="s">
        <v>5835</v>
      </c>
      <c r="N344" s="25" t="s">
        <v>6311</v>
      </c>
      <c r="O344" s="25" t="s">
        <v>5835</v>
      </c>
      <c r="R344" s="22" t="s">
        <v>5924</v>
      </c>
    </row>
    <row r="345" spans="3:18" ht="16">
      <c r="C345" s="19" t="s">
        <v>416</v>
      </c>
      <c r="D345" s="20" t="s">
        <v>2362</v>
      </c>
      <c r="E345" s="21" t="s">
        <v>6199</v>
      </c>
      <c r="F345" s="21" t="s">
        <v>6200</v>
      </c>
      <c r="G345" s="22" t="s">
        <v>5881</v>
      </c>
      <c r="H345" s="22" t="s">
        <v>5835</v>
      </c>
      <c r="I345" s="22">
        <v>46.3</v>
      </c>
      <c r="K345" s="22" t="s">
        <v>5835</v>
      </c>
      <c r="N345" s="25" t="s">
        <v>6312</v>
      </c>
      <c r="O345" s="25" t="s">
        <v>5835</v>
      </c>
      <c r="R345" s="22" t="s">
        <v>5881</v>
      </c>
    </row>
    <row r="346" spans="3:18" ht="16">
      <c r="C346" s="19" t="s">
        <v>417</v>
      </c>
      <c r="D346" s="20" t="s">
        <v>2363</v>
      </c>
      <c r="E346" s="21" t="s">
        <v>6313</v>
      </c>
      <c r="F346" s="21" t="s">
        <v>6314</v>
      </c>
      <c r="G346" s="22" t="s">
        <v>5958</v>
      </c>
      <c r="H346" s="22" t="s">
        <v>5835</v>
      </c>
      <c r="I346" s="22">
        <v>57.3</v>
      </c>
      <c r="K346" s="22" t="s">
        <v>5835</v>
      </c>
      <c r="N346" s="25" t="s">
        <v>6315</v>
      </c>
      <c r="O346" s="25" t="s">
        <v>5835</v>
      </c>
      <c r="R346" s="22" t="s">
        <v>5958</v>
      </c>
    </row>
    <row r="347" spans="3:18" ht="16">
      <c r="C347" s="19" t="s">
        <v>418</v>
      </c>
      <c r="D347" s="20" t="s">
        <v>2364</v>
      </c>
      <c r="E347" s="21" t="s">
        <v>6219</v>
      </c>
      <c r="F347" s="21" t="s">
        <v>17</v>
      </c>
      <c r="G347" s="22" t="s">
        <v>5918</v>
      </c>
      <c r="H347" s="22" t="s">
        <v>5835</v>
      </c>
      <c r="I347" s="22">
        <v>171.7</v>
      </c>
      <c r="K347" s="22" t="s">
        <v>5835</v>
      </c>
      <c r="N347" s="25" t="s">
        <v>6316</v>
      </c>
      <c r="O347" s="25" t="s">
        <v>5835</v>
      </c>
      <c r="R347" s="22" t="s">
        <v>5918</v>
      </c>
    </row>
    <row r="348" spans="3:18" ht="16">
      <c r="C348" s="19" t="s">
        <v>419</v>
      </c>
      <c r="D348" s="20" t="s">
        <v>2365</v>
      </c>
      <c r="E348" s="21" t="s">
        <v>6166</v>
      </c>
      <c r="F348" s="21" t="s">
        <v>6080</v>
      </c>
      <c r="G348" s="22" t="s">
        <v>5911</v>
      </c>
      <c r="H348" s="22" t="s">
        <v>7828</v>
      </c>
      <c r="I348" s="22">
        <v>51.6</v>
      </c>
      <c r="K348" s="22" t="s">
        <v>5835</v>
      </c>
      <c r="N348" s="25" t="s">
        <v>6317</v>
      </c>
      <c r="O348" s="25" t="s">
        <v>5835</v>
      </c>
      <c r="R348" s="22" t="s">
        <v>5911</v>
      </c>
    </row>
    <row r="349" spans="3:18" ht="16">
      <c r="C349" s="19" t="s">
        <v>420</v>
      </c>
      <c r="D349" s="20" t="s">
        <v>2366</v>
      </c>
      <c r="E349" s="21" t="s">
        <v>6237</v>
      </c>
      <c r="F349" s="21" t="s">
        <v>6231</v>
      </c>
      <c r="G349" s="22" t="s">
        <v>5933</v>
      </c>
      <c r="H349" s="22" t="s">
        <v>5835</v>
      </c>
      <c r="I349" s="22">
        <v>28.1</v>
      </c>
      <c r="K349" s="22" t="s">
        <v>5835</v>
      </c>
      <c r="N349" s="25" t="s">
        <v>6318</v>
      </c>
      <c r="O349" s="25" t="s">
        <v>5835</v>
      </c>
      <c r="R349" s="22" t="s">
        <v>5933</v>
      </c>
    </row>
    <row r="350" spans="3:18" ht="16">
      <c r="C350" s="19" t="s">
        <v>421</v>
      </c>
      <c r="D350" s="20" t="s">
        <v>2367</v>
      </c>
      <c r="E350" s="21" t="s">
        <v>6319</v>
      </c>
      <c r="F350" s="21" t="s">
        <v>17</v>
      </c>
      <c r="G350" s="22" t="s">
        <v>5855</v>
      </c>
      <c r="H350" s="22" t="s">
        <v>5835</v>
      </c>
      <c r="I350" s="22">
        <v>11.9</v>
      </c>
      <c r="K350" s="22" t="s">
        <v>5835</v>
      </c>
      <c r="N350" s="25" t="s">
        <v>6320</v>
      </c>
      <c r="O350" s="25" t="s">
        <v>5835</v>
      </c>
      <c r="R350" s="22" t="s">
        <v>5855</v>
      </c>
    </row>
    <row r="351" spans="3:18" ht="16">
      <c r="C351" s="19" t="s">
        <v>423</v>
      </c>
      <c r="D351" s="20" t="s">
        <v>2368</v>
      </c>
      <c r="E351" s="21" t="s">
        <v>6313</v>
      </c>
      <c r="F351" s="21" t="s">
        <v>6314</v>
      </c>
      <c r="G351" s="22" t="s">
        <v>5933</v>
      </c>
      <c r="H351" s="22" t="s">
        <v>5835</v>
      </c>
      <c r="I351" s="22">
        <v>71.2</v>
      </c>
      <c r="K351" s="22" t="s">
        <v>5835</v>
      </c>
      <c r="N351" s="25" t="s">
        <v>6321</v>
      </c>
      <c r="O351" s="25" t="s">
        <v>5835</v>
      </c>
      <c r="R351" s="22" t="s">
        <v>5933</v>
      </c>
    </row>
    <row r="352" spans="3:18" ht="16">
      <c r="C352" s="19" t="s">
        <v>424</v>
      </c>
      <c r="D352" s="20" t="s">
        <v>2369</v>
      </c>
      <c r="E352" s="21" t="s">
        <v>6199</v>
      </c>
      <c r="F352" s="21" t="s">
        <v>6200</v>
      </c>
      <c r="G352" s="22" t="s">
        <v>7825</v>
      </c>
      <c r="H352" s="22" t="s">
        <v>5835</v>
      </c>
      <c r="I352" s="22">
        <v>10.9</v>
      </c>
      <c r="K352" s="22" t="s">
        <v>5835</v>
      </c>
      <c r="N352" s="25" t="s">
        <v>6322</v>
      </c>
      <c r="O352" s="25" t="s">
        <v>5835</v>
      </c>
      <c r="R352" s="22" t="s">
        <v>6202</v>
      </c>
    </row>
    <row r="353" spans="3:18" ht="16">
      <c r="C353" s="19" t="s">
        <v>425</v>
      </c>
      <c r="D353" s="20" t="s">
        <v>2370</v>
      </c>
      <c r="E353" s="21" t="s">
        <v>6257</v>
      </c>
      <c r="F353" s="21" t="s">
        <v>10</v>
      </c>
      <c r="G353" s="22" t="s">
        <v>5947</v>
      </c>
      <c r="H353" s="22" t="s">
        <v>5835</v>
      </c>
      <c r="I353" s="22">
        <v>87.8</v>
      </c>
      <c r="K353" s="22" t="s">
        <v>5835</v>
      </c>
      <c r="N353" s="25" t="s">
        <v>6323</v>
      </c>
      <c r="O353" s="25" t="s">
        <v>5835</v>
      </c>
      <c r="R353" s="22" t="s">
        <v>5947</v>
      </c>
    </row>
    <row r="354" spans="3:18" ht="16">
      <c r="C354" s="19" t="s">
        <v>426</v>
      </c>
      <c r="D354" s="20" t="s">
        <v>2371</v>
      </c>
      <c r="E354" s="21" t="s">
        <v>6199</v>
      </c>
      <c r="F354" s="21" t="s">
        <v>6200</v>
      </c>
      <c r="G354" s="22" t="s">
        <v>5960</v>
      </c>
      <c r="H354" s="22" t="s">
        <v>5835</v>
      </c>
      <c r="I354" s="22">
        <v>17.7</v>
      </c>
      <c r="K354" s="22" t="s">
        <v>5835</v>
      </c>
      <c r="N354" s="25" t="s">
        <v>6324</v>
      </c>
      <c r="O354" s="25" t="s">
        <v>5835</v>
      </c>
      <c r="R354" s="22" t="s">
        <v>5960</v>
      </c>
    </row>
    <row r="355" spans="3:18" ht="16">
      <c r="C355" s="19" t="s">
        <v>427</v>
      </c>
      <c r="D355" s="20" t="s">
        <v>2372</v>
      </c>
      <c r="E355" s="21" t="s">
        <v>6277</v>
      </c>
      <c r="F355" s="21" t="s">
        <v>17</v>
      </c>
      <c r="G355" s="22" t="s">
        <v>5954</v>
      </c>
      <c r="H355" s="22" t="s">
        <v>7828</v>
      </c>
      <c r="I355" s="22">
        <v>283.89999999999998</v>
      </c>
      <c r="K355" s="22" t="s">
        <v>5835</v>
      </c>
      <c r="N355" s="25" t="s">
        <v>6325</v>
      </c>
      <c r="O355" s="25" t="s">
        <v>5835</v>
      </c>
      <c r="R355" s="22" t="s">
        <v>5954</v>
      </c>
    </row>
    <row r="356" spans="3:18" ht="16">
      <c r="C356" s="19" t="s">
        <v>428</v>
      </c>
      <c r="D356" s="20" t="s">
        <v>2373</v>
      </c>
      <c r="E356" s="21" t="s">
        <v>6067</v>
      </c>
      <c r="F356" s="21" t="s">
        <v>17</v>
      </c>
      <c r="G356" s="22" t="s">
        <v>5920</v>
      </c>
      <c r="H356" s="22" t="s">
        <v>5835</v>
      </c>
      <c r="I356" s="22">
        <v>17.2</v>
      </c>
      <c r="K356" s="22" t="s">
        <v>5835</v>
      </c>
      <c r="N356" s="25" t="s">
        <v>6326</v>
      </c>
      <c r="O356" s="25" t="s">
        <v>5835</v>
      </c>
      <c r="R356" s="22" t="s">
        <v>5920</v>
      </c>
    </row>
    <row r="357" spans="3:18" ht="16">
      <c r="C357" s="19" t="s">
        <v>429</v>
      </c>
      <c r="D357" s="20" t="s">
        <v>2374</v>
      </c>
      <c r="E357" s="21" t="s">
        <v>6222</v>
      </c>
      <c r="F357" s="21" t="s">
        <v>8</v>
      </c>
      <c r="G357" s="22" t="s">
        <v>14</v>
      </c>
      <c r="H357" s="22" t="s">
        <v>7828</v>
      </c>
      <c r="I357" s="22">
        <v>332.7</v>
      </c>
      <c r="K357" s="22" t="s">
        <v>5835</v>
      </c>
      <c r="N357" s="25" t="s">
        <v>6327</v>
      </c>
      <c r="O357" s="25" t="s">
        <v>5835</v>
      </c>
      <c r="R357" s="22" t="s">
        <v>14</v>
      </c>
    </row>
    <row r="358" spans="3:18" ht="16">
      <c r="C358" s="19" t="s">
        <v>430</v>
      </c>
      <c r="D358" s="20" t="s">
        <v>2375</v>
      </c>
      <c r="E358" s="21" t="s">
        <v>6250</v>
      </c>
      <c r="F358" s="21" t="s">
        <v>5831</v>
      </c>
      <c r="G358" s="22" t="s">
        <v>5949</v>
      </c>
      <c r="H358" s="22" t="s">
        <v>5835</v>
      </c>
      <c r="I358" s="22">
        <v>66.2</v>
      </c>
      <c r="K358" s="22" t="s">
        <v>5835</v>
      </c>
      <c r="N358" s="25" t="s">
        <v>6328</v>
      </c>
      <c r="O358" s="25" t="s">
        <v>5835</v>
      </c>
      <c r="R358" s="22" t="s">
        <v>5949</v>
      </c>
    </row>
    <row r="359" spans="3:18" ht="16">
      <c r="C359" s="19" t="s">
        <v>6329</v>
      </c>
      <c r="D359" s="20" t="s">
        <v>6330</v>
      </c>
      <c r="E359" s="21" t="s">
        <v>6252</v>
      </c>
      <c r="F359" s="21" t="s">
        <v>6080</v>
      </c>
      <c r="G359" s="22" t="s">
        <v>7825</v>
      </c>
      <c r="H359" s="22" t="s">
        <v>5835</v>
      </c>
      <c r="I359" s="22" t="s">
        <v>5835</v>
      </c>
      <c r="K359" s="22" t="s">
        <v>5835</v>
      </c>
      <c r="N359" s="25" t="s">
        <v>6331</v>
      </c>
      <c r="O359" s="25" t="s">
        <v>5835</v>
      </c>
      <c r="R359" s="22" t="s">
        <v>6202</v>
      </c>
    </row>
    <row r="360" spans="3:18" ht="16">
      <c r="C360" s="19" t="s">
        <v>431</v>
      </c>
      <c r="D360" s="20" t="s">
        <v>2376</v>
      </c>
      <c r="E360" s="21" t="s">
        <v>6226</v>
      </c>
      <c r="F360" s="21" t="s">
        <v>5913</v>
      </c>
      <c r="G360" s="22" t="s">
        <v>5913</v>
      </c>
      <c r="H360" s="22" t="s">
        <v>5835</v>
      </c>
      <c r="I360" s="22">
        <v>11.4</v>
      </c>
      <c r="K360" s="22" t="s">
        <v>5835</v>
      </c>
      <c r="N360" s="25" t="s">
        <v>6332</v>
      </c>
      <c r="O360" s="25" t="s">
        <v>5835</v>
      </c>
      <c r="R360" s="22" t="s">
        <v>5913</v>
      </c>
    </row>
    <row r="361" spans="3:18" ht="16">
      <c r="C361" s="19" t="s">
        <v>432</v>
      </c>
      <c r="D361" s="20" t="s">
        <v>13</v>
      </c>
      <c r="E361" s="21" t="s">
        <v>6222</v>
      </c>
      <c r="F361" s="21" t="s">
        <v>8</v>
      </c>
      <c r="G361" s="22" t="s">
        <v>14</v>
      </c>
      <c r="H361" s="22" t="s">
        <v>7828</v>
      </c>
      <c r="I361" s="22">
        <v>1241</v>
      </c>
      <c r="K361" s="22" t="s">
        <v>5835</v>
      </c>
      <c r="N361" s="25" t="s">
        <v>6333</v>
      </c>
      <c r="O361" s="25" t="s">
        <v>5835</v>
      </c>
      <c r="R361" s="22" t="s">
        <v>14</v>
      </c>
    </row>
    <row r="362" spans="3:18" ht="16">
      <c r="C362" s="19" t="s">
        <v>433</v>
      </c>
      <c r="D362" s="20" t="s">
        <v>2377</v>
      </c>
      <c r="E362" s="21" t="s">
        <v>6237</v>
      </c>
      <c r="F362" s="21" t="s">
        <v>6231</v>
      </c>
      <c r="G362" s="22" t="s">
        <v>5933</v>
      </c>
      <c r="H362" s="22" t="s">
        <v>5835</v>
      </c>
      <c r="I362" s="22">
        <v>75.400000000000006</v>
      </c>
      <c r="K362" s="22" t="s">
        <v>5835</v>
      </c>
      <c r="N362" s="25" t="s">
        <v>6334</v>
      </c>
      <c r="O362" s="25" t="s">
        <v>5835</v>
      </c>
      <c r="R362" s="22" t="s">
        <v>5933</v>
      </c>
    </row>
    <row r="363" spans="3:18" ht="16">
      <c r="C363" s="19" t="s">
        <v>434</v>
      </c>
      <c r="D363" s="20" t="s">
        <v>2378</v>
      </c>
      <c r="E363" s="21" t="s">
        <v>6233</v>
      </c>
      <c r="F363" s="21" t="s">
        <v>5928</v>
      </c>
      <c r="G363" s="22" t="s">
        <v>5928</v>
      </c>
      <c r="H363" s="22" t="s">
        <v>7828</v>
      </c>
      <c r="I363" s="22">
        <v>417.3</v>
      </c>
      <c r="K363" s="22" t="s">
        <v>5835</v>
      </c>
      <c r="N363" s="25" t="s">
        <v>6335</v>
      </c>
      <c r="O363" s="25" t="s">
        <v>5835</v>
      </c>
      <c r="R363" s="22" t="s">
        <v>5928</v>
      </c>
    </row>
    <row r="364" spans="3:18" ht="16">
      <c r="C364" s="19" t="s">
        <v>435</v>
      </c>
      <c r="D364" s="20" t="s">
        <v>2379</v>
      </c>
      <c r="E364" s="21" t="s">
        <v>6313</v>
      </c>
      <c r="F364" s="21" t="s">
        <v>6314</v>
      </c>
      <c r="G364" s="22" t="s">
        <v>5958</v>
      </c>
      <c r="H364" s="22" t="s">
        <v>7828</v>
      </c>
      <c r="I364" s="22">
        <v>56.1</v>
      </c>
      <c r="K364" s="22" t="s">
        <v>5835</v>
      </c>
      <c r="N364" s="25" t="s">
        <v>6336</v>
      </c>
      <c r="O364" s="25" t="s">
        <v>5835</v>
      </c>
      <c r="R364" s="22" t="s">
        <v>5958</v>
      </c>
    </row>
    <row r="365" spans="3:18" ht="16">
      <c r="C365" s="19" t="s">
        <v>436</v>
      </c>
      <c r="D365" s="20" t="s">
        <v>9</v>
      </c>
      <c r="E365" s="21" t="s">
        <v>6257</v>
      </c>
      <c r="F365" s="21" t="s">
        <v>10</v>
      </c>
      <c r="G365" s="22" t="s">
        <v>5941</v>
      </c>
      <c r="H365" s="22" t="s">
        <v>7828</v>
      </c>
      <c r="I365" s="22">
        <v>22423.8</v>
      </c>
      <c r="K365" s="22" t="s">
        <v>5832</v>
      </c>
      <c r="N365" s="25" t="s">
        <v>6337</v>
      </c>
      <c r="O365" s="25" t="s">
        <v>5835</v>
      </c>
      <c r="R365" s="22" t="s">
        <v>5941</v>
      </c>
    </row>
    <row r="366" spans="3:18" ht="16">
      <c r="C366" s="19" t="s">
        <v>437</v>
      </c>
      <c r="D366" s="20" t="s">
        <v>2380</v>
      </c>
      <c r="E366" s="21" t="s">
        <v>6199</v>
      </c>
      <c r="F366" s="21" t="s">
        <v>6200</v>
      </c>
      <c r="G366" s="22" t="s">
        <v>5962</v>
      </c>
      <c r="H366" s="22" t="s">
        <v>7828</v>
      </c>
      <c r="I366" s="22">
        <v>240.4</v>
      </c>
      <c r="K366" s="22" t="s">
        <v>5835</v>
      </c>
      <c r="N366" s="25" t="s">
        <v>6338</v>
      </c>
      <c r="O366" s="25" t="s">
        <v>5835</v>
      </c>
      <c r="R366" s="22" t="s">
        <v>5962</v>
      </c>
    </row>
    <row r="367" spans="3:18" ht="16">
      <c r="C367" s="19" t="s">
        <v>438</v>
      </c>
      <c r="D367" s="20" t="s">
        <v>2381</v>
      </c>
      <c r="E367" s="21" t="s">
        <v>6319</v>
      </c>
      <c r="F367" s="21" t="s">
        <v>17</v>
      </c>
      <c r="G367" s="22" t="s">
        <v>5855</v>
      </c>
      <c r="H367" s="22" t="s">
        <v>5835</v>
      </c>
      <c r="I367" s="22">
        <v>86</v>
      </c>
      <c r="K367" s="22" t="s">
        <v>5835</v>
      </c>
      <c r="N367" s="25" t="s">
        <v>6339</v>
      </c>
      <c r="O367" s="25" t="s">
        <v>5835</v>
      </c>
      <c r="R367" s="22" t="s">
        <v>5855</v>
      </c>
    </row>
    <row r="368" spans="3:18" ht="16">
      <c r="C368" s="19" t="s">
        <v>439</v>
      </c>
      <c r="D368" s="20" t="s">
        <v>2382</v>
      </c>
      <c r="E368" s="21" t="s">
        <v>6257</v>
      </c>
      <c r="F368" s="21" t="s">
        <v>10</v>
      </c>
      <c r="G368" s="22" t="s">
        <v>5937</v>
      </c>
      <c r="H368" s="22" t="s">
        <v>7828</v>
      </c>
      <c r="I368" s="22">
        <v>369.2</v>
      </c>
      <c r="K368" s="22" t="s">
        <v>5835</v>
      </c>
      <c r="N368" s="25" t="s">
        <v>6340</v>
      </c>
      <c r="O368" s="25" t="s">
        <v>5835</v>
      </c>
      <c r="R368" s="22" t="s">
        <v>5937</v>
      </c>
    </row>
    <row r="369" spans="3:18" ht="16">
      <c r="C369" s="19" t="s">
        <v>440</v>
      </c>
      <c r="D369" s="20" t="s">
        <v>2383</v>
      </c>
      <c r="E369" s="21" t="s">
        <v>6166</v>
      </c>
      <c r="F369" s="21" t="s">
        <v>6080</v>
      </c>
      <c r="G369" s="22" t="s">
        <v>5933</v>
      </c>
      <c r="H369" s="22" t="s">
        <v>5835</v>
      </c>
      <c r="I369" s="22">
        <v>61.9</v>
      </c>
      <c r="K369" s="22" t="s">
        <v>5835</v>
      </c>
      <c r="N369" s="25" t="s">
        <v>6341</v>
      </c>
      <c r="O369" s="25" t="s">
        <v>5835</v>
      </c>
      <c r="R369" s="22" t="s">
        <v>5933</v>
      </c>
    </row>
    <row r="370" spans="3:18" ht="16">
      <c r="C370" s="19" t="s">
        <v>441</v>
      </c>
      <c r="D370" s="20" t="s">
        <v>2384</v>
      </c>
      <c r="E370" s="21" t="s">
        <v>6067</v>
      </c>
      <c r="F370" s="21" t="s">
        <v>17</v>
      </c>
      <c r="G370" s="22" t="s">
        <v>5920</v>
      </c>
      <c r="H370" s="22" t="s">
        <v>5835</v>
      </c>
      <c r="I370" s="22">
        <v>29.5</v>
      </c>
      <c r="K370" s="22" t="s">
        <v>5835</v>
      </c>
      <c r="N370" s="25" t="s">
        <v>6342</v>
      </c>
      <c r="O370" s="25" t="s">
        <v>5835</v>
      </c>
      <c r="R370" s="22" t="s">
        <v>5920</v>
      </c>
    </row>
    <row r="371" spans="3:18" ht="16">
      <c r="C371" s="19" t="s">
        <v>442</v>
      </c>
      <c r="D371" s="20" t="s">
        <v>2385</v>
      </c>
      <c r="E371" s="21" t="s">
        <v>6166</v>
      </c>
      <c r="F371" s="21" t="s">
        <v>6080</v>
      </c>
      <c r="G371" s="22" t="s">
        <v>7825</v>
      </c>
      <c r="H371" s="22" t="s">
        <v>5835</v>
      </c>
      <c r="I371" s="22">
        <v>27.2</v>
      </c>
      <c r="K371" s="22" t="s">
        <v>5835</v>
      </c>
      <c r="N371" s="25" t="s">
        <v>6343</v>
      </c>
      <c r="O371" s="25" t="s">
        <v>5835</v>
      </c>
      <c r="R371" s="22" t="s">
        <v>6202</v>
      </c>
    </row>
    <row r="372" spans="3:18" ht="16">
      <c r="C372" s="19" t="s">
        <v>443</v>
      </c>
      <c r="D372" s="20" t="s">
        <v>2386</v>
      </c>
      <c r="E372" s="21" t="s">
        <v>6067</v>
      </c>
      <c r="F372" s="21" t="s">
        <v>17</v>
      </c>
      <c r="G372" s="22" t="s">
        <v>5920</v>
      </c>
      <c r="H372" s="22" t="s">
        <v>5835</v>
      </c>
      <c r="I372" s="22">
        <v>33.200000000000003</v>
      </c>
      <c r="K372" s="22" t="s">
        <v>5835</v>
      </c>
      <c r="N372" s="25" t="s">
        <v>6344</v>
      </c>
      <c r="O372" s="25" t="s">
        <v>5835</v>
      </c>
      <c r="R372" s="22" t="s">
        <v>5920</v>
      </c>
    </row>
    <row r="373" spans="3:18" ht="16">
      <c r="C373" s="19" t="s">
        <v>444</v>
      </c>
      <c r="D373" s="20" t="s">
        <v>2387</v>
      </c>
      <c r="E373" s="21" t="s">
        <v>6254</v>
      </c>
      <c r="F373" s="21" t="s">
        <v>8</v>
      </c>
      <c r="G373" s="22" t="s">
        <v>5935</v>
      </c>
      <c r="H373" s="22" t="s">
        <v>5835</v>
      </c>
      <c r="I373" s="22">
        <v>109.4</v>
      </c>
      <c r="K373" s="22" t="s">
        <v>5835</v>
      </c>
      <c r="N373" s="25" t="s">
        <v>6345</v>
      </c>
      <c r="O373" s="25" t="s">
        <v>5835</v>
      </c>
      <c r="R373" s="22" t="s">
        <v>5935</v>
      </c>
    </row>
    <row r="374" spans="3:18" ht="16">
      <c r="C374" s="19" t="s">
        <v>445</v>
      </c>
      <c r="D374" s="20" t="s">
        <v>2388</v>
      </c>
      <c r="E374" s="21" t="s">
        <v>6304</v>
      </c>
      <c r="F374" s="21" t="s">
        <v>17</v>
      </c>
      <c r="G374" s="22" t="s">
        <v>5924</v>
      </c>
      <c r="H374" s="22" t="s">
        <v>5835</v>
      </c>
      <c r="I374" s="22">
        <v>48.6</v>
      </c>
      <c r="K374" s="22" t="s">
        <v>5835</v>
      </c>
      <c r="N374" s="25" t="s">
        <v>6346</v>
      </c>
      <c r="O374" s="25" t="s">
        <v>5835</v>
      </c>
      <c r="R374" s="22" t="s">
        <v>5924</v>
      </c>
    </row>
    <row r="375" spans="3:18" ht="16">
      <c r="C375" s="19" t="s">
        <v>446</v>
      </c>
      <c r="D375" s="20" t="s">
        <v>2389</v>
      </c>
      <c r="E375" s="21" t="s">
        <v>6199</v>
      </c>
      <c r="F375" s="21" t="s">
        <v>6200</v>
      </c>
      <c r="G375" s="22" t="s">
        <v>5962</v>
      </c>
      <c r="H375" s="22" t="s">
        <v>5835</v>
      </c>
      <c r="I375" s="22">
        <v>158.4</v>
      </c>
      <c r="K375" s="22" t="s">
        <v>5835</v>
      </c>
      <c r="N375" s="25" t="s">
        <v>6347</v>
      </c>
      <c r="O375" s="25" t="s">
        <v>5835</v>
      </c>
      <c r="R375" s="22" t="s">
        <v>5962</v>
      </c>
    </row>
    <row r="376" spans="3:18" ht="16">
      <c r="C376" s="19" t="s">
        <v>447</v>
      </c>
      <c r="D376" s="20" t="s">
        <v>2390</v>
      </c>
      <c r="E376" s="21" t="s">
        <v>6274</v>
      </c>
      <c r="F376" s="21" t="s">
        <v>17</v>
      </c>
      <c r="G376" s="22" t="s">
        <v>5935</v>
      </c>
      <c r="H376" s="22" t="s">
        <v>5835</v>
      </c>
      <c r="I376" s="22">
        <v>224.2</v>
      </c>
      <c r="K376" s="22" t="s">
        <v>5835</v>
      </c>
      <c r="N376" s="25" t="s">
        <v>6348</v>
      </c>
      <c r="O376" s="25" t="s">
        <v>5835</v>
      </c>
      <c r="R376" s="22" t="s">
        <v>5935</v>
      </c>
    </row>
    <row r="377" spans="3:18" ht="16">
      <c r="C377" s="19" t="s">
        <v>448</v>
      </c>
      <c r="D377" s="20" t="s">
        <v>2391</v>
      </c>
      <c r="E377" s="21" t="s">
        <v>6313</v>
      </c>
      <c r="F377" s="21" t="s">
        <v>6314</v>
      </c>
      <c r="G377" s="22" t="s">
        <v>5958</v>
      </c>
      <c r="H377" s="22" t="s">
        <v>7828</v>
      </c>
      <c r="I377" s="22">
        <v>43.8</v>
      </c>
      <c r="K377" s="22" t="s">
        <v>5835</v>
      </c>
      <c r="N377" s="25" t="s">
        <v>6349</v>
      </c>
      <c r="O377" s="25" t="s">
        <v>5835</v>
      </c>
      <c r="R377" s="22" t="s">
        <v>5958</v>
      </c>
    </row>
    <row r="378" spans="3:18" ht="16">
      <c r="C378" s="19" t="s">
        <v>449</v>
      </c>
      <c r="D378" s="20" t="s">
        <v>2392</v>
      </c>
      <c r="E378" s="21" t="s">
        <v>6313</v>
      </c>
      <c r="F378" s="21" t="s">
        <v>6314</v>
      </c>
      <c r="G378" s="22" t="s">
        <v>5958</v>
      </c>
      <c r="H378" s="22" t="s">
        <v>5835</v>
      </c>
      <c r="I378" s="22">
        <v>26.5</v>
      </c>
      <c r="K378" s="22" t="s">
        <v>5835</v>
      </c>
      <c r="N378" s="25" t="s">
        <v>6350</v>
      </c>
      <c r="O378" s="25" t="s">
        <v>5835</v>
      </c>
      <c r="R378" s="22" t="s">
        <v>5958</v>
      </c>
    </row>
    <row r="379" spans="3:18" ht="16">
      <c r="C379" s="19" t="s">
        <v>450</v>
      </c>
      <c r="D379" s="20" t="s">
        <v>2393</v>
      </c>
      <c r="E379" s="21" t="s">
        <v>6219</v>
      </c>
      <c r="F379" s="21" t="s">
        <v>17</v>
      </c>
      <c r="G379" s="22" t="s">
        <v>5918</v>
      </c>
      <c r="H379" s="22" t="s">
        <v>5835</v>
      </c>
      <c r="I379" s="22">
        <v>121.9</v>
      </c>
      <c r="K379" s="22" t="s">
        <v>5835</v>
      </c>
      <c r="N379" s="25" t="s">
        <v>6351</v>
      </c>
      <c r="O379" s="25" t="s">
        <v>5835</v>
      </c>
      <c r="R379" s="22" t="s">
        <v>5918</v>
      </c>
    </row>
    <row r="380" spans="3:18" ht="16">
      <c r="C380" s="19" t="s">
        <v>451</v>
      </c>
      <c r="D380" s="20" t="s">
        <v>2394</v>
      </c>
      <c r="E380" s="21" t="s">
        <v>6243</v>
      </c>
      <c r="F380" s="21" t="s">
        <v>17</v>
      </c>
      <c r="G380" s="22" t="s">
        <v>5873</v>
      </c>
      <c r="H380" s="22" t="s">
        <v>7828</v>
      </c>
      <c r="I380" s="22">
        <v>1350.3</v>
      </c>
      <c r="K380" s="22" t="s">
        <v>5835</v>
      </c>
      <c r="N380" s="25" t="s">
        <v>6352</v>
      </c>
      <c r="O380" s="25" t="s">
        <v>5835</v>
      </c>
      <c r="R380" s="22" t="s">
        <v>5873</v>
      </c>
    </row>
    <row r="381" spans="3:18" ht="16">
      <c r="C381" s="19" t="s">
        <v>452</v>
      </c>
      <c r="D381" s="20" t="s">
        <v>2395</v>
      </c>
      <c r="E381" s="21" t="s">
        <v>6067</v>
      </c>
      <c r="F381" s="21" t="s">
        <v>17</v>
      </c>
      <c r="G381" s="22" t="s">
        <v>5873</v>
      </c>
      <c r="H381" s="22" t="s">
        <v>5835</v>
      </c>
      <c r="I381" s="22">
        <v>148.69999999999999</v>
      </c>
      <c r="K381" s="22" t="s">
        <v>5835</v>
      </c>
      <c r="N381" s="25" t="s">
        <v>6353</v>
      </c>
      <c r="O381" s="25" t="s">
        <v>5835</v>
      </c>
      <c r="R381" s="22" t="s">
        <v>5873</v>
      </c>
    </row>
    <row r="382" spans="3:18" ht="16">
      <c r="C382" s="19" t="s">
        <v>453</v>
      </c>
      <c r="D382" s="20" t="s">
        <v>2396</v>
      </c>
      <c r="E382" s="21" t="s">
        <v>6079</v>
      </c>
      <c r="F382" s="21" t="s">
        <v>6080</v>
      </c>
      <c r="G382" s="22" t="s">
        <v>5954</v>
      </c>
      <c r="H382" s="22" t="s">
        <v>5835</v>
      </c>
      <c r="I382" s="22">
        <v>32.799999999999997</v>
      </c>
      <c r="K382" s="22" t="s">
        <v>5835</v>
      </c>
      <c r="N382" s="25" t="s">
        <v>6354</v>
      </c>
      <c r="O382" s="25" t="s">
        <v>5835</v>
      </c>
      <c r="R382" s="22" t="s">
        <v>5954</v>
      </c>
    </row>
    <row r="383" spans="3:18" ht="16">
      <c r="C383" s="19" t="s">
        <v>454</v>
      </c>
      <c r="D383" s="20" t="s">
        <v>2397</v>
      </c>
      <c r="E383" s="21" t="s">
        <v>6219</v>
      </c>
      <c r="F383" s="21" t="s">
        <v>17</v>
      </c>
      <c r="G383" s="22" t="s">
        <v>5918</v>
      </c>
      <c r="H383" s="22" t="s">
        <v>5835</v>
      </c>
      <c r="I383" s="22">
        <v>60.3</v>
      </c>
      <c r="K383" s="22" t="s">
        <v>5835</v>
      </c>
      <c r="N383" s="25" t="s">
        <v>6355</v>
      </c>
      <c r="O383" s="25" t="s">
        <v>5835</v>
      </c>
      <c r="R383" s="22" t="s">
        <v>5918</v>
      </c>
    </row>
    <row r="384" spans="3:18" ht="16">
      <c r="C384" s="19" t="s">
        <v>455</v>
      </c>
      <c r="D384" s="20" t="s">
        <v>2398</v>
      </c>
      <c r="E384" s="21" t="s">
        <v>6313</v>
      </c>
      <c r="F384" s="21" t="s">
        <v>6314</v>
      </c>
      <c r="G384" s="22" t="s">
        <v>5958</v>
      </c>
      <c r="H384" s="22" t="s">
        <v>7828</v>
      </c>
      <c r="I384" s="22">
        <v>168.6</v>
      </c>
      <c r="K384" s="22" t="s">
        <v>5835</v>
      </c>
      <c r="N384" s="25" t="s">
        <v>6356</v>
      </c>
      <c r="O384" s="25" t="s">
        <v>5835</v>
      </c>
      <c r="R384" s="22" t="s">
        <v>5958</v>
      </c>
    </row>
    <row r="385" spans="3:18" ht="16">
      <c r="C385" s="19" t="s">
        <v>456</v>
      </c>
      <c r="D385" s="20" t="s">
        <v>2399</v>
      </c>
      <c r="E385" s="21" t="s">
        <v>6199</v>
      </c>
      <c r="F385" s="21" t="s">
        <v>6200</v>
      </c>
      <c r="G385" s="22" t="s">
        <v>5930</v>
      </c>
      <c r="H385" s="22" t="s">
        <v>5835</v>
      </c>
      <c r="I385" s="22">
        <v>173.3</v>
      </c>
      <c r="K385" s="22" t="s">
        <v>5835</v>
      </c>
      <c r="N385" s="25" t="s">
        <v>6357</v>
      </c>
      <c r="O385" s="25" t="s">
        <v>5835</v>
      </c>
      <c r="R385" s="22" t="s">
        <v>5930</v>
      </c>
    </row>
    <row r="386" spans="3:18" ht="16">
      <c r="C386" s="19" t="s">
        <v>457</v>
      </c>
      <c r="D386" s="20" t="s">
        <v>2400</v>
      </c>
      <c r="E386" s="21" t="s">
        <v>6358</v>
      </c>
      <c r="F386" s="21" t="s">
        <v>6281</v>
      </c>
      <c r="G386" s="22" t="s">
        <v>5945</v>
      </c>
      <c r="H386" s="22" t="s">
        <v>5835</v>
      </c>
      <c r="I386" s="22">
        <v>14</v>
      </c>
      <c r="K386" s="22" t="s">
        <v>5835</v>
      </c>
      <c r="N386" s="25" t="s">
        <v>6359</v>
      </c>
      <c r="O386" s="25" t="s">
        <v>5835</v>
      </c>
      <c r="R386" s="22" t="s">
        <v>5945</v>
      </c>
    </row>
    <row r="387" spans="3:18" ht="16">
      <c r="C387" s="19" t="s">
        <v>458</v>
      </c>
      <c r="D387" s="20" t="s">
        <v>2401</v>
      </c>
      <c r="E387" s="21" t="s">
        <v>6067</v>
      </c>
      <c r="F387" s="21" t="s">
        <v>17</v>
      </c>
      <c r="G387" s="22" t="s">
        <v>5862</v>
      </c>
      <c r="H387" s="22" t="s">
        <v>5835</v>
      </c>
      <c r="I387" s="22">
        <v>18.7</v>
      </c>
      <c r="K387" s="22" t="s">
        <v>5835</v>
      </c>
      <c r="N387" s="25" t="s">
        <v>6360</v>
      </c>
      <c r="O387" s="25" t="s">
        <v>5835</v>
      </c>
      <c r="R387" s="22" t="s">
        <v>5862</v>
      </c>
    </row>
    <row r="388" spans="3:18" ht="16">
      <c r="C388" s="19" t="s">
        <v>459</v>
      </c>
      <c r="D388" s="20" t="s">
        <v>2402</v>
      </c>
      <c r="E388" s="21" t="s">
        <v>6219</v>
      </c>
      <c r="F388" s="21" t="s">
        <v>17</v>
      </c>
      <c r="G388" s="22" t="s">
        <v>5918</v>
      </c>
      <c r="H388" s="22" t="s">
        <v>5835</v>
      </c>
      <c r="I388" s="22">
        <v>33.299999999999997</v>
      </c>
      <c r="K388" s="22" t="s">
        <v>5835</v>
      </c>
      <c r="N388" s="25" t="s">
        <v>6361</v>
      </c>
      <c r="O388" s="25" t="s">
        <v>5835</v>
      </c>
      <c r="R388" s="22" t="s">
        <v>5918</v>
      </c>
    </row>
    <row r="389" spans="3:18" ht="16">
      <c r="C389" s="19" t="s">
        <v>460</v>
      </c>
      <c r="D389" s="20" t="s">
        <v>2403</v>
      </c>
      <c r="E389" s="21" t="s">
        <v>6209</v>
      </c>
      <c r="F389" s="21" t="s">
        <v>5913</v>
      </c>
      <c r="G389" s="22" t="s">
        <v>5913</v>
      </c>
      <c r="H389" s="22" t="s">
        <v>5835</v>
      </c>
      <c r="I389" s="22">
        <v>35.700000000000003</v>
      </c>
      <c r="K389" s="22" t="s">
        <v>5835</v>
      </c>
      <c r="N389" s="25" t="s">
        <v>6362</v>
      </c>
      <c r="O389" s="25" t="s">
        <v>5835</v>
      </c>
      <c r="R389" s="22" t="s">
        <v>5913</v>
      </c>
    </row>
    <row r="390" spans="3:18" ht="16">
      <c r="C390" s="19" t="s">
        <v>461</v>
      </c>
      <c r="D390" s="20" t="s">
        <v>2404</v>
      </c>
      <c r="E390" s="21" t="s">
        <v>6199</v>
      </c>
      <c r="F390" s="21" t="s">
        <v>6200</v>
      </c>
      <c r="G390" s="22" t="s">
        <v>5881</v>
      </c>
      <c r="H390" s="22" t="s">
        <v>7828</v>
      </c>
      <c r="I390" s="22">
        <v>172</v>
      </c>
      <c r="K390" s="22" t="s">
        <v>5835</v>
      </c>
      <c r="N390" s="25" t="s">
        <v>6363</v>
      </c>
      <c r="O390" s="25" t="s">
        <v>5835</v>
      </c>
      <c r="R390" s="22" t="s">
        <v>5881</v>
      </c>
    </row>
    <row r="391" spans="3:18" ht="16">
      <c r="C391" s="19" t="s">
        <v>462</v>
      </c>
      <c r="D391" s="20" t="s">
        <v>2405</v>
      </c>
      <c r="E391" s="21" t="s">
        <v>6079</v>
      </c>
      <c r="F391" s="21" t="s">
        <v>6080</v>
      </c>
      <c r="G391" s="22" t="s">
        <v>5954</v>
      </c>
      <c r="H391" s="22" t="s">
        <v>5835</v>
      </c>
      <c r="I391" s="22">
        <v>36.6</v>
      </c>
      <c r="K391" s="22" t="s">
        <v>5835</v>
      </c>
      <c r="N391" s="25" t="s">
        <v>6364</v>
      </c>
      <c r="O391" s="25" t="s">
        <v>5835</v>
      </c>
      <c r="R391" s="22" t="s">
        <v>5954</v>
      </c>
    </row>
    <row r="392" spans="3:18" ht="16">
      <c r="C392" s="19" t="s">
        <v>463</v>
      </c>
      <c r="D392" s="20" t="s">
        <v>2406</v>
      </c>
      <c r="E392" s="21" t="s">
        <v>6250</v>
      </c>
      <c r="F392" s="21" t="s">
        <v>6200</v>
      </c>
      <c r="G392" s="22" t="s">
        <v>5949</v>
      </c>
      <c r="H392" s="22" t="s">
        <v>5835</v>
      </c>
      <c r="I392" s="22">
        <v>92.8</v>
      </c>
      <c r="K392" s="22" t="s">
        <v>5835</v>
      </c>
      <c r="N392" s="25" t="s">
        <v>6365</v>
      </c>
      <c r="O392" s="25" t="s">
        <v>5835</v>
      </c>
      <c r="R392" s="22" t="s">
        <v>5949</v>
      </c>
    </row>
    <row r="393" spans="3:18" ht="16">
      <c r="C393" s="19" t="s">
        <v>464</v>
      </c>
      <c r="D393" s="20" t="s">
        <v>2407</v>
      </c>
      <c r="E393" s="21" t="s">
        <v>6214</v>
      </c>
      <c r="F393" s="21" t="s">
        <v>6080</v>
      </c>
      <c r="G393" s="22" t="s">
        <v>5881</v>
      </c>
      <c r="H393" s="22" t="s">
        <v>5835</v>
      </c>
      <c r="I393" s="22">
        <v>8.4</v>
      </c>
      <c r="K393" s="22" t="s">
        <v>5835</v>
      </c>
      <c r="N393" s="25" t="s">
        <v>6366</v>
      </c>
      <c r="O393" s="25" t="s">
        <v>5835</v>
      </c>
      <c r="R393" s="22" t="s">
        <v>5881</v>
      </c>
    </row>
    <row r="394" spans="3:18" ht="16">
      <c r="C394" s="19" t="s">
        <v>465</v>
      </c>
      <c r="D394" s="20" t="s">
        <v>2408</v>
      </c>
      <c r="E394" s="21" t="s">
        <v>6219</v>
      </c>
      <c r="F394" s="21" t="s">
        <v>17</v>
      </c>
      <c r="G394" s="22" t="s">
        <v>5918</v>
      </c>
      <c r="H394" s="22" t="s">
        <v>7828</v>
      </c>
      <c r="I394" s="22">
        <v>384.8</v>
      </c>
      <c r="K394" s="22" t="s">
        <v>5835</v>
      </c>
      <c r="N394" s="25" t="s">
        <v>6367</v>
      </c>
      <c r="O394" s="25" t="s">
        <v>5835</v>
      </c>
      <c r="R394" s="22" t="s">
        <v>5918</v>
      </c>
    </row>
    <row r="395" spans="3:18" ht="16">
      <c r="C395" s="19" t="s">
        <v>466</v>
      </c>
      <c r="D395" s="20" t="s">
        <v>2409</v>
      </c>
      <c r="E395" s="21" t="s">
        <v>6274</v>
      </c>
      <c r="F395" s="21" t="s">
        <v>17</v>
      </c>
      <c r="G395" s="22" t="s">
        <v>5935</v>
      </c>
      <c r="H395" s="22" t="s">
        <v>5835</v>
      </c>
      <c r="I395" s="22">
        <v>110.9</v>
      </c>
      <c r="K395" s="22" t="s">
        <v>5835</v>
      </c>
      <c r="N395" s="25" t="s">
        <v>6368</v>
      </c>
      <c r="O395" s="25" t="s">
        <v>5835</v>
      </c>
      <c r="R395" s="22" t="s">
        <v>5935</v>
      </c>
    </row>
    <row r="396" spans="3:18" ht="16">
      <c r="C396" s="19" t="s">
        <v>467</v>
      </c>
      <c r="D396" s="20" t="s">
        <v>2410</v>
      </c>
      <c r="E396" s="21" t="s">
        <v>6166</v>
      </c>
      <c r="F396" s="21" t="s">
        <v>6080</v>
      </c>
      <c r="G396" s="22" t="s">
        <v>5915</v>
      </c>
      <c r="H396" s="22" t="s">
        <v>5835</v>
      </c>
      <c r="I396" s="22">
        <v>60.3</v>
      </c>
      <c r="K396" s="22" t="s">
        <v>5835</v>
      </c>
      <c r="N396" s="25" t="s">
        <v>6369</v>
      </c>
      <c r="O396" s="25" t="s">
        <v>5835</v>
      </c>
      <c r="R396" s="22" t="s">
        <v>5915</v>
      </c>
    </row>
    <row r="397" spans="3:18" ht="16">
      <c r="C397" s="19" t="s">
        <v>468</v>
      </c>
      <c r="D397" s="20" t="s">
        <v>2411</v>
      </c>
      <c r="E397" s="21" t="s">
        <v>5968</v>
      </c>
      <c r="F397" s="21" t="s">
        <v>5969</v>
      </c>
      <c r="G397" s="22" t="s">
        <v>7827</v>
      </c>
      <c r="H397" s="22" t="s">
        <v>5835</v>
      </c>
      <c r="I397" s="22">
        <v>13.4</v>
      </c>
      <c r="K397" s="22" t="s">
        <v>5835</v>
      </c>
      <c r="N397" s="25" t="s">
        <v>6370</v>
      </c>
      <c r="O397" s="25" t="s">
        <v>5835</v>
      </c>
      <c r="R397" s="22" t="s">
        <v>5940</v>
      </c>
    </row>
    <row r="398" spans="3:18" ht="16">
      <c r="C398" s="19" t="s">
        <v>469</v>
      </c>
      <c r="D398" s="20" t="s">
        <v>2412</v>
      </c>
      <c r="E398" s="21" t="s">
        <v>5926</v>
      </c>
      <c r="F398" s="21" t="s">
        <v>5927</v>
      </c>
      <c r="G398" s="22" t="s">
        <v>5867</v>
      </c>
      <c r="H398" s="22" t="s">
        <v>5835</v>
      </c>
      <c r="I398" s="22">
        <v>47.5</v>
      </c>
      <c r="K398" s="22" t="s">
        <v>5835</v>
      </c>
      <c r="N398" s="25" t="s">
        <v>6371</v>
      </c>
      <c r="O398" s="25" t="s">
        <v>5835</v>
      </c>
      <c r="R398" s="22" t="s">
        <v>5867</v>
      </c>
    </row>
    <row r="399" spans="3:18" ht="16">
      <c r="C399" s="19" t="s">
        <v>470</v>
      </c>
      <c r="D399" s="20" t="s">
        <v>2413</v>
      </c>
      <c r="E399" s="21" t="s">
        <v>6372</v>
      </c>
      <c r="F399" s="21" t="s">
        <v>6197</v>
      </c>
      <c r="G399" s="22" t="s">
        <v>5915</v>
      </c>
      <c r="H399" s="22" t="s">
        <v>7828</v>
      </c>
      <c r="I399" s="22">
        <v>311.89999999999998</v>
      </c>
      <c r="K399" s="22" t="s">
        <v>5835</v>
      </c>
      <c r="N399" s="25" t="s">
        <v>6373</v>
      </c>
      <c r="O399" s="25" t="s">
        <v>5835</v>
      </c>
      <c r="R399" s="22" t="s">
        <v>5915</v>
      </c>
    </row>
    <row r="400" spans="3:18" ht="16">
      <c r="C400" s="19" t="s">
        <v>471</v>
      </c>
      <c r="D400" s="20" t="s">
        <v>2414</v>
      </c>
      <c r="E400" s="21" t="s">
        <v>5923</v>
      </c>
      <c r="F400" s="21" t="s">
        <v>5831</v>
      </c>
      <c r="G400" s="22" t="s">
        <v>5840</v>
      </c>
      <c r="H400" s="22" t="s">
        <v>5835</v>
      </c>
      <c r="I400" s="22">
        <v>213.9</v>
      </c>
      <c r="K400" s="22" t="s">
        <v>5835</v>
      </c>
      <c r="N400" s="25">
        <v>0</v>
      </c>
      <c r="O400" s="25" t="s">
        <v>5835</v>
      </c>
      <c r="R400" s="22" t="s">
        <v>5840</v>
      </c>
    </row>
    <row r="401" spans="3:18" ht="16">
      <c r="C401" s="19" t="s">
        <v>472</v>
      </c>
      <c r="D401" s="20" t="s">
        <v>2415</v>
      </c>
      <c r="E401" s="21" t="s">
        <v>5923</v>
      </c>
      <c r="F401" s="21" t="s">
        <v>5831</v>
      </c>
      <c r="G401" s="22" t="s">
        <v>5833</v>
      </c>
      <c r="H401" s="22" t="s">
        <v>7828</v>
      </c>
      <c r="I401" s="22">
        <v>466.1</v>
      </c>
      <c r="K401" s="22" t="s">
        <v>5835</v>
      </c>
      <c r="N401" s="25" t="s">
        <v>6374</v>
      </c>
      <c r="O401" s="25" t="s">
        <v>5835</v>
      </c>
      <c r="R401" s="22" t="s">
        <v>5833</v>
      </c>
    </row>
    <row r="402" spans="3:18" ht="16">
      <c r="C402" s="19" t="s">
        <v>473</v>
      </c>
      <c r="D402" s="20" t="s">
        <v>2416</v>
      </c>
      <c r="E402" s="21" t="s">
        <v>5923</v>
      </c>
      <c r="F402" s="21" t="s">
        <v>5831</v>
      </c>
      <c r="G402" s="22" t="s">
        <v>5840</v>
      </c>
      <c r="H402" s="22" t="s">
        <v>5835</v>
      </c>
      <c r="I402" s="22">
        <v>71.099999999999994</v>
      </c>
      <c r="K402" s="22" t="s">
        <v>5835</v>
      </c>
      <c r="N402" s="25" t="s">
        <v>6375</v>
      </c>
      <c r="O402" s="25" t="s">
        <v>5835</v>
      </c>
      <c r="R402" s="22" t="s">
        <v>5840</v>
      </c>
    </row>
    <row r="403" spans="3:18" ht="16">
      <c r="C403" s="19" t="s">
        <v>474</v>
      </c>
      <c r="D403" s="20" t="s">
        <v>2417</v>
      </c>
      <c r="E403" s="21" t="s">
        <v>5923</v>
      </c>
      <c r="F403" s="21" t="s">
        <v>5831</v>
      </c>
      <c r="G403" s="22" t="s">
        <v>5840</v>
      </c>
      <c r="H403" s="22" t="s">
        <v>5835</v>
      </c>
      <c r="I403" s="22">
        <v>38.700000000000003</v>
      </c>
      <c r="K403" s="22" t="s">
        <v>5835</v>
      </c>
      <c r="N403" s="25" t="s">
        <v>6376</v>
      </c>
      <c r="O403" s="25" t="s">
        <v>5835</v>
      </c>
      <c r="R403" s="22" t="s">
        <v>5840</v>
      </c>
    </row>
    <row r="404" spans="3:18" ht="16">
      <c r="C404" s="19" t="s">
        <v>475</v>
      </c>
      <c r="D404" s="20" t="s">
        <v>2418</v>
      </c>
      <c r="E404" s="21" t="s">
        <v>5923</v>
      </c>
      <c r="F404" s="21" t="s">
        <v>5831</v>
      </c>
      <c r="G404" s="22" t="s">
        <v>5840</v>
      </c>
      <c r="H404" s="22" t="s">
        <v>5835</v>
      </c>
      <c r="I404" s="22">
        <v>29.4</v>
      </c>
      <c r="K404" s="22" t="s">
        <v>5835</v>
      </c>
      <c r="N404" s="25" t="s">
        <v>6377</v>
      </c>
      <c r="O404" s="25" t="s">
        <v>5835</v>
      </c>
      <c r="R404" s="22" t="s">
        <v>5840</v>
      </c>
    </row>
    <row r="405" spans="3:18" ht="16">
      <c r="C405" s="19" t="s">
        <v>476</v>
      </c>
      <c r="D405" s="20" t="s">
        <v>2419</v>
      </c>
      <c r="E405" s="21" t="s">
        <v>5923</v>
      </c>
      <c r="F405" s="21" t="s">
        <v>5831</v>
      </c>
      <c r="G405" s="22" t="s">
        <v>5840</v>
      </c>
      <c r="H405" s="22" t="s">
        <v>5835</v>
      </c>
      <c r="I405" s="22">
        <v>150.80000000000001</v>
      </c>
      <c r="K405" s="22" t="s">
        <v>5835</v>
      </c>
      <c r="N405" s="25" t="s">
        <v>6378</v>
      </c>
      <c r="O405" s="25" t="s">
        <v>5835</v>
      </c>
      <c r="R405" s="22" t="s">
        <v>5840</v>
      </c>
    </row>
    <row r="406" spans="3:18" ht="16">
      <c r="C406" s="19" t="s">
        <v>477</v>
      </c>
      <c r="D406" s="20" t="s">
        <v>2420</v>
      </c>
      <c r="E406" s="21" t="s">
        <v>5923</v>
      </c>
      <c r="F406" s="21" t="s">
        <v>5831</v>
      </c>
      <c r="G406" s="22" t="s">
        <v>5840</v>
      </c>
      <c r="H406" s="22" t="s">
        <v>5835</v>
      </c>
      <c r="I406" s="22">
        <v>63.2</v>
      </c>
      <c r="K406" s="22" t="s">
        <v>5835</v>
      </c>
      <c r="N406" s="25" t="s">
        <v>6379</v>
      </c>
      <c r="O406" s="25" t="s">
        <v>5835</v>
      </c>
      <c r="R406" s="22" t="s">
        <v>5840</v>
      </c>
    </row>
    <row r="407" spans="3:18" ht="16">
      <c r="C407" s="19" t="s">
        <v>478</v>
      </c>
      <c r="D407" s="20" t="s">
        <v>2421</v>
      </c>
      <c r="E407" s="21" t="s">
        <v>5923</v>
      </c>
      <c r="F407" s="21" t="s">
        <v>5831</v>
      </c>
      <c r="G407" s="22" t="s">
        <v>5840</v>
      </c>
      <c r="H407" s="22" t="s">
        <v>5835</v>
      </c>
      <c r="I407" s="22">
        <v>176.1</v>
      </c>
      <c r="K407" s="22" t="s">
        <v>5835</v>
      </c>
      <c r="N407" s="25">
        <v>0</v>
      </c>
      <c r="O407" s="25" t="s">
        <v>5835</v>
      </c>
      <c r="R407" s="22" t="s">
        <v>5840</v>
      </c>
    </row>
    <row r="408" spans="3:18" ht="16">
      <c r="C408" s="19" t="s">
        <v>479</v>
      </c>
      <c r="D408" s="20" t="s">
        <v>2422</v>
      </c>
      <c r="E408" s="21" t="s">
        <v>5923</v>
      </c>
      <c r="F408" s="21" t="s">
        <v>5831</v>
      </c>
      <c r="G408" s="22" t="s">
        <v>5840</v>
      </c>
      <c r="H408" s="22" t="s">
        <v>5835</v>
      </c>
      <c r="I408" s="22">
        <v>36.5</v>
      </c>
      <c r="K408" s="22" t="s">
        <v>5835</v>
      </c>
      <c r="N408" s="25" t="s">
        <v>6380</v>
      </c>
      <c r="O408" s="25" t="s">
        <v>5835</v>
      </c>
      <c r="R408" s="22" t="s">
        <v>5840</v>
      </c>
    </row>
    <row r="409" spans="3:18" ht="16">
      <c r="C409" s="19" t="s">
        <v>480</v>
      </c>
      <c r="D409" s="20" t="s">
        <v>2423</v>
      </c>
      <c r="E409" s="21" t="s">
        <v>5923</v>
      </c>
      <c r="F409" s="21" t="s">
        <v>5831</v>
      </c>
      <c r="G409" s="22" t="s">
        <v>5840</v>
      </c>
      <c r="H409" s="22" t="s">
        <v>7828</v>
      </c>
      <c r="I409" s="22">
        <v>293.7</v>
      </c>
      <c r="K409" s="22" t="s">
        <v>5835</v>
      </c>
      <c r="N409" s="25">
        <v>0</v>
      </c>
      <c r="O409" s="25" t="s">
        <v>5835</v>
      </c>
      <c r="R409" s="22" t="s">
        <v>5840</v>
      </c>
    </row>
    <row r="410" spans="3:18" ht="16">
      <c r="C410" s="19" t="s">
        <v>481</v>
      </c>
      <c r="D410" s="20" t="s">
        <v>2424</v>
      </c>
      <c r="E410" s="21" t="s">
        <v>5923</v>
      </c>
      <c r="F410" s="21" t="s">
        <v>5831</v>
      </c>
      <c r="G410" s="22" t="s">
        <v>5840</v>
      </c>
      <c r="H410" s="22" t="s">
        <v>7828</v>
      </c>
      <c r="I410" s="22">
        <v>166.2</v>
      </c>
      <c r="K410" s="22" t="s">
        <v>5835</v>
      </c>
      <c r="N410" s="25" t="s">
        <v>6381</v>
      </c>
      <c r="O410" s="25" t="s">
        <v>5835</v>
      </c>
      <c r="R410" s="22" t="s">
        <v>5840</v>
      </c>
    </row>
    <row r="411" spans="3:18" ht="16">
      <c r="C411" s="19" t="s">
        <v>482</v>
      </c>
      <c r="D411" s="20" t="s">
        <v>2425</v>
      </c>
      <c r="E411" s="21" t="s">
        <v>5923</v>
      </c>
      <c r="F411" s="21" t="s">
        <v>5831</v>
      </c>
      <c r="G411" s="22" t="s">
        <v>5840</v>
      </c>
      <c r="H411" s="22" t="s">
        <v>5835</v>
      </c>
      <c r="I411" s="22">
        <v>74.5</v>
      </c>
      <c r="K411" s="22" t="s">
        <v>5835</v>
      </c>
      <c r="N411" s="25" t="s">
        <v>6382</v>
      </c>
      <c r="O411" s="25" t="s">
        <v>5835</v>
      </c>
      <c r="R411" s="22" t="s">
        <v>5840</v>
      </c>
    </row>
    <row r="412" spans="3:18" ht="16">
      <c r="C412" s="19" t="s">
        <v>483</v>
      </c>
      <c r="D412" s="20" t="s">
        <v>2426</v>
      </c>
      <c r="E412" s="21" t="s">
        <v>5923</v>
      </c>
      <c r="F412" s="21" t="s">
        <v>5831</v>
      </c>
      <c r="G412" s="22" t="s">
        <v>5840</v>
      </c>
      <c r="H412" s="22" t="s">
        <v>5835</v>
      </c>
      <c r="I412" s="22">
        <v>130.4</v>
      </c>
      <c r="K412" s="22" t="s">
        <v>5835</v>
      </c>
      <c r="N412" s="25" t="s">
        <v>6383</v>
      </c>
      <c r="O412" s="25" t="s">
        <v>5835</v>
      </c>
      <c r="R412" s="22" t="s">
        <v>5840</v>
      </c>
    </row>
    <row r="413" spans="3:18" ht="16">
      <c r="C413" s="19" t="s">
        <v>484</v>
      </c>
      <c r="D413" s="20" t="s">
        <v>2427</v>
      </c>
      <c r="E413" s="21" t="s">
        <v>5923</v>
      </c>
      <c r="F413" s="21" t="s">
        <v>5831</v>
      </c>
      <c r="G413" s="22" t="s">
        <v>5840</v>
      </c>
      <c r="H413" s="22" t="s">
        <v>7828</v>
      </c>
      <c r="I413" s="22">
        <v>263.8</v>
      </c>
      <c r="K413" s="22" t="s">
        <v>5835</v>
      </c>
      <c r="N413" s="25" t="s">
        <v>6384</v>
      </c>
      <c r="O413" s="25" t="s">
        <v>5835</v>
      </c>
      <c r="R413" s="22" t="s">
        <v>5840</v>
      </c>
    </row>
    <row r="414" spans="3:18" ht="16">
      <c r="C414" s="19" t="s">
        <v>485</v>
      </c>
      <c r="D414" s="20" t="s">
        <v>2428</v>
      </c>
      <c r="E414" s="21" t="s">
        <v>5923</v>
      </c>
      <c r="F414" s="21" t="s">
        <v>5831</v>
      </c>
      <c r="G414" s="22" t="s">
        <v>5840</v>
      </c>
      <c r="H414" s="22" t="s">
        <v>5835</v>
      </c>
      <c r="I414" s="22">
        <v>117.8</v>
      </c>
      <c r="K414" s="22" t="s">
        <v>5835</v>
      </c>
      <c r="N414" s="25" t="s">
        <v>6385</v>
      </c>
      <c r="O414" s="25" t="s">
        <v>5835</v>
      </c>
      <c r="R414" s="22" t="s">
        <v>5840</v>
      </c>
    </row>
    <row r="415" spans="3:18" ht="16">
      <c r="C415" s="19" t="s">
        <v>486</v>
      </c>
      <c r="D415" s="20" t="s">
        <v>2429</v>
      </c>
      <c r="E415" s="21" t="s">
        <v>5923</v>
      </c>
      <c r="F415" s="21" t="s">
        <v>5831</v>
      </c>
      <c r="G415" s="22" t="s">
        <v>5840</v>
      </c>
      <c r="H415" s="22" t="s">
        <v>5835</v>
      </c>
      <c r="I415" s="22">
        <v>155.69999999999999</v>
      </c>
      <c r="K415" s="22" t="s">
        <v>5835</v>
      </c>
      <c r="N415" s="25" t="s">
        <v>6386</v>
      </c>
      <c r="O415" s="25" t="s">
        <v>5835</v>
      </c>
      <c r="R415" s="22" t="s">
        <v>5840</v>
      </c>
    </row>
    <row r="416" spans="3:18" ht="16">
      <c r="C416" s="19" t="s">
        <v>487</v>
      </c>
      <c r="D416" s="20" t="s">
        <v>2430</v>
      </c>
      <c r="E416" s="21" t="s">
        <v>5923</v>
      </c>
      <c r="F416" s="21" t="s">
        <v>5831</v>
      </c>
      <c r="G416" s="22" t="s">
        <v>5840</v>
      </c>
      <c r="H416" s="22" t="s">
        <v>5835</v>
      </c>
      <c r="I416" s="22">
        <v>96.7</v>
      </c>
      <c r="K416" s="22" t="s">
        <v>5835</v>
      </c>
      <c r="N416" s="25" t="s">
        <v>6387</v>
      </c>
      <c r="O416" s="25" t="s">
        <v>5835</v>
      </c>
      <c r="R416" s="22" t="s">
        <v>5840</v>
      </c>
    </row>
    <row r="417" spans="3:18" ht="16">
      <c r="C417" s="19" t="s">
        <v>488</v>
      </c>
      <c r="D417" s="20" t="s">
        <v>2431</v>
      </c>
      <c r="E417" s="21" t="s">
        <v>5923</v>
      </c>
      <c r="F417" s="21" t="s">
        <v>5831</v>
      </c>
      <c r="G417" s="22" t="s">
        <v>5840</v>
      </c>
      <c r="H417" s="22" t="s">
        <v>5835</v>
      </c>
      <c r="I417" s="22">
        <v>33.200000000000003</v>
      </c>
      <c r="K417" s="22" t="s">
        <v>5835</v>
      </c>
      <c r="N417" s="25">
        <v>0</v>
      </c>
      <c r="O417" s="25" t="s">
        <v>5835</v>
      </c>
      <c r="R417" s="22" t="s">
        <v>5840</v>
      </c>
    </row>
    <row r="418" spans="3:18" ht="16">
      <c r="C418" s="19" t="s">
        <v>489</v>
      </c>
      <c r="D418" s="20" t="s">
        <v>2432</v>
      </c>
      <c r="E418" s="21" t="s">
        <v>5923</v>
      </c>
      <c r="F418" s="21" t="s">
        <v>5831</v>
      </c>
      <c r="G418" s="22" t="s">
        <v>5840</v>
      </c>
      <c r="H418" s="22" t="s">
        <v>5835</v>
      </c>
      <c r="I418" s="22">
        <v>57.4</v>
      </c>
      <c r="K418" s="22" t="s">
        <v>5835</v>
      </c>
      <c r="N418" s="25" t="s">
        <v>6388</v>
      </c>
      <c r="O418" s="25" t="s">
        <v>5835</v>
      </c>
      <c r="R418" s="22" t="s">
        <v>5840</v>
      </c>
    </row>
    <row r="419" spans="3:18" ht="16">
      <c r="C419" s="19" t="s">
        <v>490</v>
      </c>
      <c r="D419" s="20" t="s">
        <v>2433</v>
      </c>
      <c r="E419" s="21" t="s">
        <v>5923</v>
      </c>
      <c r="F419" s="21" t="s">
        <v>5831</v>
      </c>
      <c r="G419" s="22" t="s">
        <v>5840</v>
      </c>
      <c r="H419" s="22" t="s">
        <v>7828</v>
      </c>
      <c r="I419" s="22">
        <v>626.4</v>
      </c>
      <c r="K419" s="22" t="s">
        <v>5835</v>
      </c>
      <c r="N419" s="25">
        <v>0</v>
      </c>
      <c r="O419" s="25" t="s">
        <v>5835</v>
      </c>
      <c r="R419" s="22" t="s">
        <v>5840</v>
      </c>
    </row>
    <row r="420" spans="3:18" ht="16">
      <c r="C420" s="19" t="s">
        <v>491</v>
      </c>
      <c r="D420" s="20" t="s">
        <v>2434</v>
      </c>
      <c r="E420" s="21" t="s">
        <v>5923</v>
      </c>
      <c r="F420" s="21" t="s">
        <v>5831</v>
      </c>
      <c r="G420" s="22" t="s">
        <v>5840</v>
      </c>
      <c r="H420" s="22" t="s">
        <v>7828</v>
      </c>
      <c r="I420" s="22">
        <v>521.70000000000005</v>
      </c>
      <c r="K420" s="22" t="s">
        <v>5835</v>
      </c>
      <c r="N420" s="25">
        <v>0</v>
      </c>
      <c r="O420" s="25" t="s">
        <v>5835</v>
      </c>
      <c r="R420" s="22" t="s">
        <v>5840</v>
      </c>
    </row>
    <row r="421" spans="3:18" ht="16">
      <c r="C421" s="19" t="s">
        <v>492</v>
      </c>
      <c r="D421" s="20" t="s">
        <v>2435</v>
      </c>
      <c r="E421" s="21" t="s">
        <v>5923</v>
      </c>
      <c r="F421" s="21" t="s">
        <v>5831</v>
      </c>
      <c r="G421" s="22" t="s">
        <v>5840</v>
      </c>
      <c r="H421" s="22" t="s">
        <v>7828</v>
      </c>
      <c r="I421" s="22">
        <v>835.5</v>
      </c>
      <c r="K421" s="22" t="s">
        <v>5835</v>
      </c>
      <c r="N421" s="25">
        <v>0</v>
      </c>
      <c r="O421" s="25" t="s">
        <v>5835</v>
      </c>
      <c r="R421" s="22" t="s">
        <v>5840</v>
      </c>
    </row>
    <row r="422" spans="3:18" ht="16">
      <c r="C422" s="19" t="s">
        <v>493</v>
      </c>
      <c r="D422" s="20" t="s">
        <v>2436</v>
      </c>
      <c r="E422" s="21" t="s">
        <v>5923</v>
      </c>
      <c r="F422" s="21" t="s">
        <v>5831</v>
      </c>
      <c r="G422" s="22" t="s">
        <v>5840</v>
      </c>
      <c r="H422" s="22" t="s">
        <v>7828</v>
      </c>
      <c r="I422" s="22">
        <v>355.4</v>
      </c>
      <c r="K422" s="22" t="s">
        <v>5835</v>
      </c>
      <c r="N422" s="25">
        <v>0</v>
      </c>
      <c r="O422" s="25" t="s">
        <v>5835</v>
      </c>
      <c r="R422" s="22" t="s">
        <v>5840</v>
      </c>
    </row>
    <row r="423" spans="3:18" ht="16">
      <c r="C423" s="19" t="s">
        <v>494</v>
      </c>
      <c r="D423" s="20" t="s">
        <v>2437</v>
      </c>
      <c r="E423" s="21" t="s">
        <v>5923</v>
      </c>
      <c r="F423" s="21" t="s">
        <v>5831</v>
      </c>
      <c r="G423" s="22" t="s">
        <v>5840</v>
      </c>
      <c r="H423" s="22" t="s">
        <v>5835</v>
      </c>
      <c r="I423" s="22">
        <v>159.30000000000001</v>
      </c>
      <c r="K423" s="22" t="s">
        <v>5835</v>
      </c>
      <c r="N423" s="25" t="s">
        <v>6389</v>
      </c>
      <c r="O423" s="25" t="s">
        <v>5835</v>
      </c>
      <c r="R423" s="22" t="s">
        <v>5840</v>
      </c>
    </row>
    <row r="424" spans="3:18" ht="16">
      <c r="C424" s="19" t="s">
        <v>495</v>
      </c>
      <c r="D424" s="20" t="s">
        <v>2438</v>
      </c>
      <c r="E424" s="21" t="s">
        <v>5923</v>
      </c>
      <c r="F424" s="21" t="s">
        <v>5831</v>
      </c>
      <c r="G424" s="22" t="s">
        <v>5840</v>
      </c>
      <c r="H424" s="22" t="s">
        <v>5835</v>
      </c>
      <c r="I424" s="22">
        <v>103.2</v>
      </c>
      <c r="K424" s="22" t="s">
        <v>5835</v>
      </c>
      <c r="N424" s="25" t="s">
        <v>6390</v>
      </c>
      <c r="O424" s="25" t="s">
        <v>5835</v>
      </c>
      <c r="R424" s="22" t="s">
        <v>5840</v>
      </c>
    </row>
    <row r="425" spans="3:18" ht="16">
      <c r="C425" s="19" t="s">
        <v>496</v>
      </c>
      <c r="D425" s="20" t="s">
        <v>2439</v>
      </c>
      <c r="E425" s="21" t="s">
        <v>5923</v>
      </c>
      <c r="F425" s="21" t="s">
        <v>5831</v>
      </c>
      <c r="G425" s="22" t="s">
        <v>5840</v>
      </c>
      <c r="H425" s="22" t="s">
        <v>5835</v>
      </c>
      <c r="I425" s="22">
        <v>126.8</v>
      </c>
      <c r="K425" s="22" t="s">
        <v>5835</v>
      </c>
      <c r="N425" s="25" t="s">
        <v>6391</v>
      </c>
      <c r="O425" s="25" t="s">
        <v>5835</v>
      </c>
      <c r="R425" s="22" t="s">
        <v>5840</v>
      </c>
    </row>
    <row r="426" spans="3:18" ht="16">
      <c r="C426" s="19" t="s">
        <v>497</v>
      </c>
      <c r="D426" s="20" t="s">
        <v>2440</v>
      </c>
      <c r="E426" s="21" t="s">
        <v>5923</v>
      </c>
      <c r="F426" s="21" t="s">
        <v>5831</v>
      </c>
      <c r="G426" s="22" t="s">
        <v>5840</v>
      </c>
      <c r="H426" s="22" t="s">
        <v>7828</v>
      </c>
      <c r="I426" s="22">
        <v>350.2</v>
      </c>
      <c r="K426" s="22" t="s">
        <v>5835</v>
      </c>
      <c r="N426" s="25">
        <v>0</v>
      </c>
      <c r="O426" s="25" t="s">
        <v>5835</v>
      </c>
      <c r="R426" s="22" t="s">
        <v>5840</v>
      </c>
    </row>
    <row r="427" spans="3:18" ht="16">
      <c r="C427" s="19" t="s">
        <v>499</v>
      </c>
      <c r="D427" s="20" t="s">
        <v>2442</v>
      </c>
      <c r="E427" s="21" t="s">
        <v>5923</v>
      </c>
      <c r="F427" s="21" t="s">
        <v>5831</v>
      </c>
      <c r="G427" s="22" t="s">
        <v>5833</v>
      </c>
      <c r="H427" s="22" t="s">
        <v>7828</v>
      </c>
      <c r="I427" s="22">
        <v>440.1</v>
      </c>
      <c r="K427" s="22" t="s">
        <v>5835</v>
      </c>
      <c r="N427" s="25" t="s">
        <v>6392</v>
      </c>
      <c r="O427" s="25" t="s">
        <v>5835</v>
      </c>
      <c r="R427" s="22" t="s">
        <v>5833</v>
      </c>
    </row>
    <row r="428" spans="3:18" ht="16">
      <c r="C428" s="19" t="s">
        <v>500</v>
      </c>
      <c r="D428" s="20" t="s">
        <v>2443</v>
      </c>
      <c r="E428" s="21" t="s">
        <v>5980</v>
      </c>
      <c r="F428" s="21" t="s">
        <v>5852</v>
      </c>
      <c r="G428" s="22" t="s">
        <v>5964</v>
      </c>
      <c r="H428" s="22" t="s">
        <v>5835</v>
      </c>
      <c r="I428" s="22">
        <v>47.8</v>
      </c>
      <c r="K428" s="22" t="s">
        <v>5835</v>
      </c>
      <c r="N428" s="25" t="s">
        <v>6393</v>
      </c>
      <c r="O428" s="25" t="s">
        <v>5835</v>
      </c>
      <c r="R428" s="22" t="s">
        <v>5964</v>
      </c>
    </row>
    <row r="429" spans="3:18" ht="16">
      <c r="C429" s="19" t="s">
        <v>501</v>
      </c>
      <c r="D429" s="20" t="s">
        <v>2444</v>
      </c>
      <c r="E429" s="21" t="s">
        <v>6001</v>
      </c>
      <c r="F429" s="21" t="s">
        <v>5966</v>
      </c>
      <c r="G429" s="22" t="s">
        <v>5966</v>
      </c>
      <c r="H429" s="22" t="s">
        <v>7828</v>
      </c>
      <c r="I429" s="22">
        <v>4221.8</v>
      </c>
      <c r="K429" s="22" t="s">
        <v>5832</v>
      </c>
      <c r="N429" s="25" t="s">
        <v>6394</v>
      </c>
      <c r="O429" s="25" t="s">
        <v>5835</v>
      </c>
      <c r="R429" s="22" t="s">
        <v>5966</v>
      </c>
    </row>
    <row r="430" spans="3:18" ht="16">
      <c r="C430" s="19" t="s">
        <v>502</v>
      </c>
      <c r="D430" s="20" t="s">
        <v>2445</v>
      </c>
      <c r="E430" s="21" t="s">
        <v>6001</v>
      </c>
      <c r="F430" s="21" t="s">
        <v>5966</v>
      </c>
      <c r="G430" s="22" t="s">
        <v>5966</v>
      </c>
      <c r="H430" s="22" t="s">
        <v>5835</v>
      </c>
      <c r="I430" s="22">
        <v>130.30000000000001</v>
      </c>
      <c r="K430" s="22" t="s">
        <v>5835</v>
      </c>
      <c r="N430" s="25" t="s">
        <v>6395</v>
      </c>
      <c r="O430" s="25" t="s">
        <v>5835</v>
      </c>
      <c r="R430" s="22" t="s">
        <v>5966</v>
      </c>
    </row>
    <row r="431" spans="3:18" ht="16">
      <c r="C431" s="19" t="s">
        <v>503</v>
      </c>
      <c r="D431" s="20" t="s">
        <v>2446</v>
      </c>
      <c r="E431" s="21" t="s">
        <v>6001</v>
      </c>
      <c r="F431" s="21" t="s">
        <v>5966</v>
      </c>
      <c r="G431" s="22" t="s">
        <v>5966</v>
      </c>
      <c r="H431" s="22" t="s">
        <v>7828</v>
      </c>
      <c r="I431" s="22">
        <v>410.7</v>
      </c>
      <c r="K431" s="22" t="s">
        <v>5835</v>
      </c>
      <c r="N431" s="25" t="s">
        <v>6396</v>
      </c>
      <c r="O431" s="25" t="s">
        <v>5835</v>
      </c>
      <c r="R431" s="22" t="s">
        <v>5966</v>
      </c>
    </row>
    <row r="432" spans="3:18" ht="16">
      <c r="C432" s="19" t="s">
        <v>504</v>
      </c>
      <c r="D432" s="20" t="s">
        <v>2447</v>
      </c>
      <c r="E432" s="21" t="s">
        <v>6001</v>
      </c>
      <c r="F432" s="21" t="s">
        <v>5966</v>
      </c>
      <c r="G432" s="22" t="s">
        <v>5853</v>
      </c>
      <c r="H432" s="22" t="s">
        <v>7828</v>
      </c>
      <c r="I432" s="22">
        <v>364.4</v>
      </c>
      <c r="K432" s="22" t="s">
        <v>5835</v>
      </c>
      <c r="N432" s="25" t="s">
        <v>6397</v>
      </c>
      <c r="O432" s="25" t="s">
        <v>5835</v>
      </c>
      <c r="R432" s="22" t="s">
        <v>5853</v>
      </c>
    </row>
    <row r="433" spans="3:18" ht="16">
      <c r="C433" s="19" t="s">
        <v>505</v>
      </c>
      <c r="D433" s="20" t="s">
        <v>2448</v>
      </c>
      <c r="E433" s="21" t="s">
        <v>6001</v>
      </c>
      <c r="F433" s="21" t="s">
        <v>5966</v>
      </c>
      <c r="G433" s="22" t="s">
        <v>5853</v>
      </c>
      <c r="H433" s="22" t="s">
        <v>5835</v>
      </c>
      <c r="I433" s="22">
        <v>156.4</v>
      </c>
      <c r="K433" s="22" t="s">
        <v>5835</v>
      </c>
      <c r="N433" s="25" t="s">
        <v>6398</v>
      </c>
      <c r="O433" s="25" t="s">
        <v>5835</v>
      </c>
      <c r="R433" s="22" t="s">
        <v>5853</v>
      </c>
    </row>
    <row r="434" spans="3:18" ht="16">
      <c r="C434" s="19" t="s">
        <v>506</v>
      </c>
      <c r="D434" s="20" t="s">
        <v>2449</v>
      </c>
      <c r="E434" s="21" t="s">
        <v>6001</v>
      </c>
      <c r="F434" s="21" t="s">
        <v>5966</v>
      </c>
      <c r="G434" s="22" t="s">
        <v>5966</v>
      </c>
      <c r="H434" s="22" t="s">
        <v>7828</v>
      </c>
      <c r="I434" s="22">
        <v>2189.5</v>
      </c>
      <c r="K434" s="22" t="s">
        <v>5835</v>
      </c>
      <c r="N434" s="25" t="s">
        <v>6394</v>
      </c>
      <c r="O434" s="25" t="s">
        <v>5835</v>
      </c>
      <c r="R434" s="22" t="s">
        <v>5966</v>
      </c>
    </row>
    <row r="435" spans="3:18" ht="16">
      <c r="C435" s="19" t="s">
        <v>507</v>
      </c>
      <c r="D435" s="20" t="s">
        <v>2450</v>
      </c>
      <c r="E435" s="21" t="s">
        <v>6001</v>
      </c>
      <c r="F435" s="21" t="s">
        <v>5966</v>
      </c>
      <c r="G435" s="22" t="s">
        <v>5970</v>
      </c>
      <c r="H435" s="22" t="s">
        <v>7828</v>
      </c>
      <c r="I435" s="22">
        <v>1311.1</v>
      </c>
      <c r="K435" s="22" t="s">
        <v>5835</v>
      </c>
      <c r="N435" s="25" t="s">
        <v>6399</v>
      </c>
      <c r="O435" s="25" t="s">
        <v>5835</v>
      </c>
      <c r="R435" s="22" t="s">
        <v>5970</v>
      </c>
    </row>
    <row r="436" spans="3:18" ht="16">
      <c r="C436" s="19" t="s">
        <v>508</v>
      </c>
      <c r="D436" s="20" t="s">
        <v>2451</v>
      </c>
      <c r="E436" s="21" t="s">
        <v>6001</v>
      </c>
      <c r="F436" s="21" t="s">
        <v>5966</v>
      </c>
      <c r="G436" s="22" t="s">
        <v>5853</v>
      </c>
      <c r="H436" s="22" t="s">
        <v>5835</v>
      </c>
      <c r="I436" s="22">
        <v>31.5</v>
      </c>
      <c r="K436" s="22" t="s">
        <v>5835</v>
      </c>
      <c r="N436" s="25" t="s">
        <v>6400</v>
      </c>
      <c r="O436" s="25" t="s">
        <v>5835</v>
      </c>
      <c r="R436" s="22" t="s">
        <v>5853</v>
      </c>
    </row>
    <row r="437" spans="3:18" ht="16">
      <c r="C437" s="19" t="s">
        <v>509</v>
      </c>
      <c r="D437" s="20" t="s">
        <v>2452</v>
      </c>
      <c r="E437" s="21" t="s">
        <v>6001</v>
      </c>
      <c r="F437" s="21" t="s">
        <v>5966</v>
      </c>
      <c r="G437" s="22" t="s">
        <v>5966</v>
      </c>
      <c r="H437" s="22" t="s">
        <v>5835</v>
      </c>
      <c r="I437" s="22">
        <v>82</v>
      </c>
      <c r="K437" s="22" t="s">
        <v>5835</v>
      </c>
      <c r="N437" s="25" t="s">
        <v>6401</v>
      </c>
      <c r="O437" s="25" t="s">
        <v>5835</v>
      </c>
      <c r="R437" s="22" t="s">
        <v>5966</v>
      </c>
    </row>
    <row r="438" spans="3:18" ht="16">
      <c r="C438" s="19" t="s">
        <v>510</v>
      </c>
      <c r="D438" s="20" t="s">
        <v>2453</v>
      </c>
      <c r="E438" s="21" t="s">
        <v>6001</v>
      </c>
      <c r="F438" s="21" t="s">
        <v>5966</v>
      </c>
      <c r="G438" s="22" t="s">
        <v>5853</v>
      </c>
      <c r="H438" s="22" t="s">
        <v>5835</v>
      </c>
      <c r="I438" s="22">
        <v>39.1</v>
      </c>
      <c r="K438" s="22" t="s">
        <v>5835</v>
      </c>
      <c r="N438" s="25" t="s">
        <v>6402</v>
      </c>
      <c r="O438" s="25" t="s">
        <v>5835</v>
      </c>
      <c r="R438" s="22" t="s">
        <v>5853</v>
      </c>
    </row>
    <row r="439" spans="3:18" ht="16">
      <c r="C439" s="19" t="s">
        <v>511</v>
      </c>
      <c r="D439" s="20" t="s">
        <v>2454</v>
      </c>
      <c r="E439" s="21" t="s">
        <v>5968</v>
      </c>
      <c r="F439" s="21" t="s">
        <v>5969</v>
      </c>
      <c r="G439" s="22" t="s">
        <v>5964</v>
      </c>
      <c r="H439" s="22" t="s">
        <v>5835</v>
      </c>
      <c r="I439" s="22">
        <v>51</v>
      </c>
      <c r="K439" s="22" t="s">
        <v>5835</v>
      </c>
      <c r="N439" s="25" t="s">
        <v>6403</v>
      </c>
      <c r="O439" s="25" t="s">
        <v>5835</v>
      </c>
      <c r="R439" s="22" t="s">
        <v>5964</v>
      </c>
    </row>
    <row r="440" spans="3:18" ht="16">
      <c r="C440" s="19" t="s">
        <v>512</v>
      </c>
      <c r="D440" s="20" t="s">
        <v>2455</v>
      </c>
      <c r="E440" s="21" t="s">
        <v>6001</v>
      </c>
      <c r="F440" s="21" t="s">
        <v>5966</v>
      </c>
      <c r="G440" s="22" t="s">
        <v>5966</v>
      </c>
      <c r="H440" s="22" t="s">
        <v>7828</v>
      </c>
      <c r="I440" s="22">
        <v>2503</v>
      </c>
      <c r="K440" s="22" t="s">
        <v>5835</v>
      </c>
      <c r="N440" s="25" t="s">
        <v>6394</v>
      </c>
      <c r="O440" s="25" t="s">
        <v>5835</v>
      </c>
      <c r="R440" s="22" t="s">
        <v>5966</v>
      </c>
    </row>
    <row r="441" spans="3:18" ht="16">
      <c r="C441" s="19" t="s">
        <v>513</v>
      </c>
      <c r="D441" s="20" t="s">
        <v>2456</v>
      </c>
      <c r="E441" s="21" t="s">
        <v>5968</v>
      </c>
      <c r="F441" s="21" t="s">
        <v>5969</v>
      </c>
      <c r="G441" s="22" t="s">
        <v>5972</v>
      </c>
      <c r="H441" s="22" t="s">
        <v>5835</v>
      </c>
      <c r="I441" s="22">
        <v>20.3</v>
      </c>
      <c r="K441" s="22" t="s">
        <v>5835</v>
      </c>
      <c r="N441" s="25" t="s">
        <v>6404</v>
      </c>
      <c r="O441" s="25" t="s">
        <v>5835</v>
      </c>
      <c r="R441" s="22" t="s">
        <v>5972</v>
      </c>
    </row>
    <row r="442" spans="3:18" ht="16">
      <c r="C442" s="19" t="s">
        <v>514</v>
      </c>
      <c r="D442" s="20" t="s">
        <v>2457</v>
      </c>
      <c r="E442" s="21" t="s">
        <v>6001</v>
      </c>
      <c r="F442" s="21" t="s">
        <v>5966</v>
      </c>
      <c r="G442" s="22" t="s">
        <v>5966</v>
      </c>
      <c r="H442" s="22" t="s">
        <v>5835</v>
      </c>
      <c r="I442" s="22">
        <v>115.6</v>
      </c>
      <c r="K442" s="22" t="s">
        <v>5835</v>
      </c>
      <c r="N442" s="25" t="s">
        <v>6405</v>
      </c>
      <c r="O442" s="25" t="s">
        <v>5835</v>
      </c>
      <c r="R442" s="22" t="s">
        <v>5966</v>
      </c>
    </row>
    <row r="443" spans="3:18" ht="16">
      <c r="C443" s="19" t="s">
        <v>515</v>
      </c>
      <c r="D443" s="20" t="s">
        <v>2458</v>
      </c>
      <c r="E443" s="21" t="s">
        <v>6001</v>
      </c>
      <c r="F443" s="21" t="s">
        <v>5966</v>
      </c>
      <c r="G443" s="22" t="s">
        <v>5970</v>
      </c>
      <c r="H443" s="22" t="s">
        <v>7828</v>
      </c>
      <c r="I443" s="22">
        <v>2019.7</v>
      </c>
      <c r="K443" s="22" t="s">
        <v>5835</v>
      </c>
      <c r="N443" s="25" t="s">
        <v>6399</v>
      </c>
      <c r="O443" s="25" t="s">
        <v>5835</v>
      </c>
      <c r="R443" s="22" t="s">
        <v>5970</v>
      </c>
    </row>
    <row r="444" spans="3:18" ht="16">
      <c r="C444" s="19" t="s">
        <v>516</v>
      </c>
      <c r="D444" s="20" t="s">
        <v>2459</v>
      </c>
      <c r="E444" s="21" t="s">
        <v>6001</v>
      </c>
      <c r="F444" s="21" t="s">
        <v>5966</v>
      </c>
      <c r="G444" s="22" t="s">
        <v>5970</v>
      </c>
      <c r="H444" s="22" t="s">
        <v>5835</v>
      </c>
      <c r="I444" s="22">
        <v>70.3</v>
      </c>
      <c r="K444" s="22" t="s">
        <v>5835</v>
      </c>
      <c r="N444" s="25" t="s">
        <v>6406</v>
      </c>
      <c r="O444" s="25" t="s">
        <v>5835</v>
      </c>
      <c r="R444" s="22" t="s">
        <v>5970</v>
      </c>
    </row>
    <row r="445" spans="3:18" ht="16">
      <c r="C445" s="19" t="s">
        <v>517</v>
      </c>
      <c r="D445" s="20" t="s">
        <v>2460</v>
      </c>
      <c r="E445" s="21" t="s">
        <v>6001</v>
      </c>
      <c r="F445" s="21" t="s">
        <v>5966</v>
      </c>
      <c r="G445" s="22" t="s">
        <v>7827</v>
      </c>
      <c r="H445" s="22" t="s">
        <v>7828</v>
      </c>
      <c r="I445" s="22">
        <v>1609.7</v>
      </c>
      <c r="K445" s="22" t="s">
        <v>5835</v>
      </c>
      <c r="N445" s="25" t="s">
        <v>6407</v>
      </c>
      <c r="O445" s="25" t="s">
        <v>5835</v>
      </c>
      <c r="R445" s="22" t="s">
        <v>5940</v>
      </c>
    </row>
    <row r="446" spans="3:18" ht="16">
      <c r="C446" s="19" t="s">
        <v>518</v>
      </c>
      <c r="D446" s="20" t="s">
        <v>2461</v>
      </c>
      <c r="E446" s="21" t="s">
        <v>6001</v>
      </c>
      <c r="F446" s="21" t="s">
        <v>5966</v>
      </c>
      <c r="G446" s="22" t="s">
        <v>5970</v>
      </c>
      <c r="H446" s="22" t="s">
        <v>7828</v>
      </c>
      <c r="I446" s="22">
        <v>392.8</v>
      </c>
      <c r="K446" s="22" t="s">
        <v>5835</v>
      </c>
      <c r="N446" s="25" t="s">
        <v>6408</v>
      </c>
      <c r="O446" s="25" t="s">
        <v>5835</v>
      </c>
      <c r="R446" s="22" t="s">
        <v>5970</v>
      </c>
    </row>
    <row r="447" spans="3:18" ht="16">
      <c r="C447" s="19" t="s">
        <v>519</v>
      </c>
      <c r="D447" s="20" t="s">
        <v>6409</v>
      </c>
      <c r="E447" s="21" t="s">
        <v>6001</v>
      </c>
      <c r="F447" s="21" t="s">
        <v>5966</v>
      </c>
      <c r="G447" s="22" t="s">
        <v>5853</v>
      </c>
      <c r="H447" s="22" t="s">
        <v>5835</v>
      </c>
      <c r="I447" s="22">
        <v>101.5</v>
      </c>
      <c r="K447" s="22" t="s">
        <v>5835</v>
      </c>
      <c r="N447" s="25" t="s">
        <v>6410</v>
      </c>
      <c r="O447" s="25" t="s">
        <v>5835</v>
      </c>
      <c r="R447" s="22" t="s">
        <v>5853</v>
      </c>
    </row>
    <row r="448" spans="3:18" ht="16">
      <c r="C448" s="19" t="s">
        <v>520</v>
      </c>
      <c r="D448" s="20" t="s">
        <v>2462</v>
      </c>
      <c r="E448" s="21" t="s">
        <v>6001</v>
      </c>
      <c r="F448" s="21" t="s">
        <v>5966</v>
      </c>
      <c r="G448" s="22" t="s">
        <v>5966</v>
      </c>
      <c r="H448" s="22" t="s">
        <v>7828</v>
      </c>
      <c r="I448" s="22">
        <v>398.6</v>
      </c>
      <c r="K448" s="22" t="s">
        <v>5835</v>
      </c>
      <c r="N448" s="25" t="s">
        <v>6396</v>
      </c>
      <c r="O448" s="25" t="s">
        <v>5835</v>
      </c>
      <c r="R448" s="22" t="s">
        <v>5966</v>
      </c>
    </row>
    <row r="449" spans="3:18" ht="16">
      <c r="C449" s="19" t="s">
        <v>523</v>
      </c>
      <c r="D449" s="20" t="s">
        <v>2465</v>
      </c>
      <c r="E449" s="21" t="s">
        <v>6001</v>
      </c>
      <c r="F449" s="21" t="s">
        <v>5966</v>
      </c>
      <c r="G449" s="22" t="s">
        <v>5853</v>
      </c>
      <c r="H449" s="22" t="s">
        <v>5835</v>
      </c>
      <c r="I449" s="22">
        <v>24.4</v>
      </c>
      <c r="K449" s="22" t="s">
        <v>5835</v>
      </c>
      <c r="N449" s="25" t="s">
        <v>6411</v>
      </c>
      <c r="O449" s="25" t="s">
        <v>5835</v>
      </c>
      <c r="R449" s="22" t="s">
        <v>5853</v>
      </c>
    </row>
    <row r="450" spans="3:18" ht="16">
      <c r="C450" s="19" t="s">
        <v>525</v>
      </c>
      <c r="D450" s="20" t="s">
        <v>2467</v>
      </c>
      <c r="E450" s="21" t="s">
        <v>6033</v>
      </c>
      <c r="F450" s="21" t="s">
        <v>5966</v>
      </c>
      <c r="G450" s="22" t="s">
        <v>5970</v>
      </c>
      <c r="H450" s="22" t="s">
        <v>7828</v>
      </c>
      <c r="I450" s="22">
        <v>370.9</v>
      </c>
      <c r="K450" s="22" t="s">
        <v>5835</v>
      </c>
      <c r="N450" s="25" t="s">
        <v>6412</v>
      </c>
      <c r="O450" s="25" t="s">
        <v>5835</v>
      </c>
      <c r="R450" s="22" t="s">
        <v>5970</v>
      </c>
    </row>
    <row r="451" spans="3:18" ht="16">
      <c r="C451" s="19" t="s">
        <v>527</v>
      </c>
      <c r="D451" s="20" t="s">
        <v>2469</v>
      </c>
      <c r="E451" s="21" t="s">
        <v>6413</v>
      </c>
      <c r="F451" s="21" t="s">
        <v>5852</v>
      </c>
      <c r="G451" s="22" t="s">
        <v>5849</v>
      </c>
      <c r="H451" s="22" t="s">
        <v>5835</v>
      </c>
      <c r="I451" s="22">
        <v>50.6</v>
      </c>
      <c r="K451" s="22" t="s">
        <v>5835</v>
      </c>
      <c r="N451" s="25" t="s">
        <v>6414</v>
      </c>
      <c r="O451" s="25" t="s">
        <v>5835</v>
      </c>
      <c r="R451" s="22" t="s">
        <v>5849</v>
      </c>
    </row>
    <row r="452" spans="3:18" ht="16">
      <c r="C452" s="19" t="s">
        <v>528</v>
      </c>
      <c r="D452" s="20" t="s">
        <v>2470</v>
      </c>
      <c r="E452" s="21" t="s">
        <v>6413</v>
      </c>
      <c r="F452" s="21" t="s">
        <v>5852</v>
      </c>
      <c r="G452" s="22" t="s">
        <v>5849</v>
      </c>
      <c r="H452" s="22" t="s">
        <v>5835</v>
      </c>
      <c r="I452" s="22">
        <v>20.399999999999999</v>
      </c>
      <c r="K452" s="22" t="s">
        <v>5835</v>
      </c>
      <c r="N452" s="25" t="s">
        <v>6415</v>
      </c>
      <c r="O452" s="25" t="s">
        <v>5835</v>
      </c>
      <c r="R452" s="22" t="s">
        <v>5849</v>
      </c>
    </row>
    <row r="453" spans="3:18" ht="16">
      <c r="C453" s="19" t="s">
        <v>529</v>
      </c>
      <c r="D453" s="20" t="s">
        <v>2471</v>
      </c>
      <c r="E453" s="21" t="s">
        <v>6413</v>
      </c>
      <c r="F453" s="21" t="s">
        <v>5852</v>
      </c>
      <c r="G453" s="22" t="s">
        <v>5849</v>
      </c>
      <c r="H453" s="22" t="s">
        <v>5835</v>
      </c>
      <c r="I453" s="22">
        <v>154.30000000000001</v>
      </c>
      <c r="K453" s="22" t="s">
        <v>5835</v>
      </c>
      <c r="N453" s="25" t="s">
        <v>6416</v>
      </c>
      <c r="O453" s="25" t="s">
        <v>5835</v>
      </c>
      <c r="R453" s="22" t="s">
        <v>5849</v>
      </c>
    </row>
    <row r="454" spans="3:18" ht="16">
      <c r="C454" s="19" t="s">
        <v>530</v>
      </c>
      <c r="D454" s="20" t="s">
        <v>2472</v>
      </c>
      <c r="E454" s="21" t="s">
        <v>6413</v>
      </c>
      <c r="F454" s="21" t="s">
        <v>5852</v>
      </c>
      <c r="G454" s="22" t="s">
        <v>5849</v>
      </c>
      <c r="H454" s="22" t="s">
        <v>5835</v>
      </c>
      <c r="I454" s="22">
        <v>33.299999999999997</v>
      </c>
      <c r="K454" s="22" t="s">
        <v>5835</v>
      </c>
      <c r="N454" s="25" t="s">
        <v>6417</v>
      </c>
      <c r="O454" s="25" t="s">
        <v>5835</v>
      </c>
      <c r="R454" s="22" t="s">
        <v>5849</v>
      </c>
    </row>
    <row r="455" spans="3:18" ht="16">
      <c r="C455" s="19" t="s">
        <v>531</v>
      </c>
      <c r="D455" s="20" t="s">
        <v>2473</v>
      </c>
      <c r="E455" s="21" t="s">
        <v>6413</v>
      </c>
      <c r="F455" s="21" t="s">
        <v>5852</v>
      </c>
      <c r="G455" s="22" t="s">
        <v>5849</v>
      </c>
      <c r="H455" s="22" t="s">
        <v>5835</v>
      </c>
      <c r="I455" s="22">
        <v>66</v>
      </c>
      <c r="K455" s="22" t="s">
        <v>5835</v>
      </c>
      <c r="N455" s="25" t="s">
        <v>6418</v>
      </c>
      <c r="O455" s="25" t="s">
        <v>5835</v>
      </c>
      <c r="R455" s="22" t="s">
        <v>5849</v>
      </c>
    </row>
    <row r="456" spans="3:18" ht="16">
      <c r="C456" s="19" t="s">
        <v>532</v>
      </c>
      <c r="D456" s="20" t="s">
        <v>2474</v>
      </c>
      <c r="E456" s="21" t="s">
        <v>6413</v>
      </c>
      <c r="F456" s="21" t="s">
        <v>5852</v>
      </c>
      <c r="G456" s="22" t="s">
        <v>5849</v>
      </c>
      <c r="H456" s="22" t="s">
        <v>7828</v>
      </c>
      <c r="I456" s="22">
        <v>245.9</v>
      </c>
      <c r="K456" s="22" t="s">
        <v>5835</v>
      </c>
      <c r="N456" s="25" t="s">
        <v>6419</v>
      </c>
      <c r="O456" s="25" t="s">
        <v>5835</v>
      </c>
      <c r="R456" s="22" t="s">
        <v>5849</v>
      </c>
    </row>
    <row r="457" spans="3:18" ht="16">
      <c r="C457" s="19" t="s">
        <v>533</v>
      </c>
      <c r="D457" s="20" t="s">
        <v>2475</v>
      </c>
      <c r="E457" s="21" t="s">
        <v>6413</v>
      </c>
      <c r="F457" s="21" t="s">
        <v>5852</v>
      </c>
      <c r="G457" s="22" t="s">
        <v>5849</v>
      </c>
      <c r="H457" s="22" t="s">
        <v>5835</v>
      </c>
      <c r="I457" s="22">
        <v>23.7</v>
      </c>
      <c r="K457" s="22" t="s">
        <v>5835</v>
      </c>
      <c r="N457" s="25" t="s">
        <v>6420</v>
      </c>
      <c r="O457" s="25" t="s">
        <v>5835</v>
      </c>
      <c r="R457" s="22" t="s">
        <v>5849</v>
      </c>
    </row>
    <row r="458" spans="3:18" ht="16">
      <c r="C458" s="19" t="s">
        <v>536</v>
      </c>
      <c r="D458" s="20" t="s">
        <v>2477</v>
      </c>
      <c r="E458" s="21" t="s">
        <v>6413</v>
      </c>
      <c r="F458" s="21" t="s">
        <v>5852</v>
      </c>
      <c r="G458" s="22" t="s">
        <v>5849</v>
      </c>
      <c r="H458" s="22" t="s">
        <v>5835</v>
      </c>
      <c r="I458" s="22">
        <v>42.7</v>
      </c>
      <c r="K458" s="22" t="s">
        <v>5835</v>
      </c>
      <c r="N458" s="25" t="s">
        <v>6421</v>
      </c>
      <c r="O458" s="25" t="s">
        <v>5835</v>
      </c>
      <c r="R458" s="22" t="s">
        <v>5849</v>
      </c>
    </row>
    <row r="459" spans="3:18" ht="16">
      <c r="C459" s="19" t="s">
        <v>537</v>
      </c>
      <c r="D459" s="20" t="s">
        <v>2478</v>
      </c>
      <c r="E459" s="21" t="s">
        <v>6413</v>
      </c>
      <c r="F459" s="21" t="s">
        <v>5852</v>
      </c>
      <c r="G459" s="22" t="s">
        <v>5849</v>
      </c>
      <c r="H459" s="22" t="s">
        <v>5835</v>
      </c>
      <c r="I459" s="22">
        <v>152.5</v>
      </c>
      <c r="K459" s="22" t="s">
        <v>5835</v>
      </c>
      <c r="N459" s="25" t="s">
        <v>6422</v>
      </c>
      <c r="O459" s="25" t="s">
        <v>5835</v>
      </c>
      <c r="R459" s="22" t="s">
        <v>5849</v>
      </c>
    </row>
    <row r="460" spans="3:18" ht="16">
      <c r="C460" s="19" t="s">
        <v>540</v>
      </c>
      <c r="D460" s="20" t="s">
        <v>2481</v>
      </c>
      <c r="E460" s="21" t="s">
        <v>6413</v>
      </c>
      <c r="F460" s="21" t="s">
        <v>5852</v>
      </c>
      <c r="G460" s="22" t="s">
        <v>5849</v>
      </c>
      <c r="H460" s="22" t="s">
        <v>7828</v>
      </c>
      <c r="I460" s="22">
        <v>201.1</v>
      </c>
      <c r="K460" s="22" t="s">
        <v>5835</v>
      </c>
      <c r="N460" s="25" t="s">
        <v>6423</v>
      </c>
      <c r="O460" s="25" t="s">
        <v>5835</v>
      </c>
      <c r="R460" s="22" t="s">
        <v>5849</v>
      </c>
    </row>
    <row r="461" spans="3:18" ht="16">
      <c r="C461" s="19" t="s">
        <v>542</v>
      </c>
      <c r="D461" s="20" t="s">
        <v>2483</v>
      </c>
      <c r="E461" s="21" t="s">
        <v>6413</v>
      </c>
      <c r="F461" s="21" t="s">
        <v>5852</v>
      </c>
      <c r="G461" s="22" t="s">
        <v>5849</v>
      </c>
      <c r="H461" s="22" t="s">
        <v>5835</v>
      </c>
      <c r="I461" s="22">
        <v>149.30000000000001</v>
      </c>
      <c r="K461" s="22" t="s">
        <v>5835</v>
      </c>
      <c r="N461" s="25" t="s">
        <v>6424</v>
      </c>
      <c r="O461" s="25" t="s">
        <v>5835</v>
      </c>
      <c r="R461" s="22" t="s">
        <v>5849</v>
      </c>
    </row>
    <row r="462" spans="3:18" ht="16">
      <c r="C462" s="19" t="s">
        <v>546</v>
      </c>
      <c r="D462" s="20" t="s">
        <v>2487</v>
      </c>
      <c r="E462" s="21" t="s">
        <v>6413</v>
      </c>
      <c r="F462" s="21" t="s">
        <v>5852</v>
      </c>
      <c r="G462" s="22" t="s">
        <v>5849</v>
      </c>
      <c r="H462" s="22" t="s">
        <v>5835</v>
      </c>
      <c r="I462" s="22">
        <v>36.5</v>
      </c>
      <c r="K462" s="22" t="s">
        <v>5835</v>
      </c>
      <c r="N462" s="25" t="s">
        <v>6425</v>
      </c>
      <c r="O462" s="25" t="s">
        <v>5835</v>
      </c>
      <c r="R462" s="22" t="s">
        <v>5849</v>
      </c>
    </row>
    <row r="463" spans="3:18" ht="16">
      <c r="C463" s="19" t="s">
        <v>550</v>
      </c>
      <c r="D463" s="20" t="s">
        <v>2491</v>
      </c>
      <c r="E463" s="21" t="s">
        <v>6413</v>
      </c>
      <c r="F463" s="21" t="s">
        <v>5852</v>
      </c>
      <c r="G463" s="22" t="s">
        <v>5849</v>
      </c>
      <c r="H463" s="22" t="s">
        <v>5835</v>
      </c>
      <c r="I463" s="22">
        <v>52.9</v>
      </c>
      <c r="K463" s="22" t="s">
        <v>5835</v>
      </c>
      <c r="N463" s="25" t="s">
        <v>6426</v>
      </c>
      <c r="O463" s="25" t="s">
        <v>5835</v>
      </c>
      <c r="R463" s="22" t="s">
        <v>5849</v>
      </c>
    </row>
    <row r="464" spans="3:18" ht="16">
      <c r="C464" s="19" t="s">
        <v>553</v>
      </c>
      <c r="D464" s="20" t="s">
        <v>2493</v>
      </c>
      <c r="E464" s="21" t="s">
        <v>5851</v>
      </c>
      <c r="F464" s="21" t="s">
        <v>5852</v>
      </c>
      <c r="G464" s="22" t="s">
        <v>5849</v>
      </c>
      <c r="H464" s="22" t="s">
        <v>7828</v>
      </c>
      <c r="I464" s="22">
        <v>125.9</v>
      </c>
      <c r="K464" s="22" t="s">
        <v>5835</v>
      </c>
      <c r="N464" s="25" t="s">
        <v>6427</v>
      </c>
      <c r="O464" s="25" t="s">
        <v>5835</v>
      </c>
      <c r="R464" s="22" t="s">
        <v>5849</v>
      </c>
    </row>
    <row r="465" spans="3:18" ht="16">
      <c r="C465" s="19" t="s">
        <v>557</v>
      </c>
      <c r="D465" s="20" t="s">
        <v>2497</v>
      </c>
      <c r="E465" s="21" t="s">
        <v>5968</v>
      </c>
      <c r="F465" s="21" t="s">
        <v>5835</v>
      </c>
      <c r="G465" s="22" t="s">
        <v>7827</v>
      </c>
      <c r="H465" s="22" t="s">
        <v>5835</v>
      </c>
      <c r="I465" s="22">
        <v>85.4</v>
      </c>
      <c r="K465" s="22" t="s">
        <v>5835</v>
      </c>
      <c r="N465" s="25" t="s">
        <v>5835</v>
      </c>
      <c r="O465" s="25" t="s">
        <v>5835</v>
      </c>
      <c r="R465" s="22" t="s">
        <v>5940</v>
      </c>
    </row>
    <row r="466" spans="3:18" ht="16">
      <c r="C466" s="19" t="s">
        <v>558</v>
      </c>
      <c r="D466" s="20" t="s">
        <v>2498</v>
      </c>
      <c r="E466" s="21" t="s">
        <v>6428</v>
      </c>
      <c r="F466" s="21" t="s">
        <v>5835</v>
      </c>
      <c r="G466" s="22" t="s">
        <v>5974</v>
      </c>
      <c r="H466" s="22" t="s">
        <v>7828</v>
      </c>
      <c r="I466" s="22">
        <v>2486.4</v>
      </c>
      <c r="K466" s="22" t="s">
        <v>5835</v>
      </c>
      <c r="N466" s="25" t="s">
        <v>6429</v>
      </c>
      <c r="O466" s="25" t="s">
        <v>5835</v>
      </c>
      <c r="R466" s="22" t="s">
        <v>5974</v>
      </c>
    </row>
    <row r="467" spans="3:18" ht="16">
      <c r="C467" s="19" t="s">
        <v>6430</v>
      </c>
      <c r="D467" s="20" t="s">
        <v>6431</v>
      </c>
      <c r="E467" s="21" t="s">
        <v>6428</v>
      </c>
      <c r="F467" s="21" t="s">
        <v>5835</v>
      </c>
      <c r="G467" s="22" t="s">
        <v>5974</v>
      </c>
      <c r="H467" s="22" t="s">
        <v>7828</v>
      </c>
      <c r="I467" s="22">
        <v>592.29999999999995</v>
      </c>
      <c r="K467" s="22" t="s">
        <v>5835</v>
      </c>
      <c r="N467" s="25" t="s">
        <v>6429</v>
      </c>
      <c r="O467" s="25" t="s">
        <v>5835</v>
      </c>
      <c r="R467" s="22" t="s">
        <v>5974</v>
      </c>
    </row>
    <row r="468" spans="3:18" ht="16">
      <c r="C468" s="19" t="s">
        <v>559</v>
      </c>
      <c r="D468" s="20" t="s">
        <v>2499</v>
      </c>
      <c r="E468" s="21" t="s">
        <v>6428</v>
      </c>
      <c r="F468" s="21" t="s">
        <v>5835</v>
      </c>
      <c r="G468" s="22" t="s">
        <v>5974</v>
      </c>
      <c r="H468" s="22" t="s">
        <v>7828</v>
      </c>
      <c r="I468" s="22">
        <v>1252.8</v>
      </c>
      <c r="K468" s="22" t="s">
        <v>5835</v>
      </c>
      <c r="N468" s="25" t="s">
        <v>6429</v>
      </c>
      <c r="O468" s="25" t="s">
        <v>5835</v>
      </c>
      <c r="R468" s="22" t="s">
        <v>5974</v>
      </c>
    </row>
    <row r="469" spans="3:18" ht="16">
      <c r="C469" s="19" t="s">
        <v>560</v>
      </c>
      <c r="D469" s="20" t="s">
        <v>2500</v>
      </c>
      <c r="E469" s="21" t="s">
        <v>6432</v>
      </c>
      <c r="F469" s="21" t="s">
        <v>5835</v>
      </c>
      <c r="G469" s="22" t="s">
        <v>5974</v>
      </c>
      <c r="H469" s="22" t="s">
        <v>5835</v>
      </c>
      <c r="I469" s="22">
        <v>58.1</v>
      </c>
      <c r="K469" s="22" t="s">
        <v>5835</v>
      </c>
      <c r="N469" s="25" t="s">
        <v>6433</v>
      </c>
      <c r="O469" s="25" t="s">
        <v>5835</v>
      </c>
      <c r="R469" s="22" t="s">
        <v>5974</v>
      </c>
    </row>
    <row r="470" spans="3:18" ht="16">
      <c r="C470" s="19" t="s">
        <v>561</v>
      </c>
      <c r="D470" s="20" t="s">
        <v>2501</v>
      </c>
      <c r="E470" s="21" t="s">
        <v>6428</v>
      </c>
      <c r="F470" s="21" t="s">
        <v>5835</v>
      </c>
      <c r="G470" s="22" t="s">
        <v>5974</v>
      </c>
      <c r="H470" s="22" t="s">
        <v>5835</v>
      </c>
      <c r="I470" s="22">
        <v>205.5</v>
      </c>
      <c r="K470" s="22" t="s">
        <v>5835</v>
      </c>
      <c r="N470" s="25" t="s">
        <v>6434</v>
      </c>
      <c r="O470" s="25" t="s">
        <v>5835</v>
      </c>
      <c r="R470" s="22" t="s">
        <v>5974</v>
      </c>
    </row>
    <row r="471" spans="3:18" ht="16">
      <c r="C471" s="19" t="s">
        <v>562</v>
      </c>
      <c r="D471" s="20" t="s">
        <v>2502</v>
      </c>
      <c r="E471" s="21" t="s">
        <v>6432</v>
      </c>
      <c r="F471" s="21" t="s">
        <v>5835</v>
      </c>
      <c r="G471" s="22" t="s">
        <v>5974</v>
      </c>
      <c r="H471" s="22" t="s">
        <v>5835</v>
      </c>
      <c r="I471" s="22">
        <v>107.9</v>
      </c>
      <c r="K471" s="22" t="s">
        <v>5835</v>
      </c>
      <c r="N471" s="25" t="s">
        <v>6435</v>
      </c>
      <c r="O471" s="25" t="s">
        <v>5835</v>
      </c>
      <c r="R471" s="22" t="s">
        <v>5974</v>
      </c>
    </row>
    <row r="472" spans="3:18" ht="16">
      <c r="C472" s="19" t="s">
        <v>563</v>
      </c>
      <c r="D472" s="20" t="s">
        <v>2503</v>
      </c>
      <c r="E472" s="21" t="s">
        <v>6428</v>
      </c>
      <c r="F472" s="21" t="s">
        <v>5835</v>
      </c>
      <c r="G472" s="22" t="s">
        <v>5974</v>
      </c>
      <c r="H472" s="22" t="s">
        <v>7828</v>
      </c>
      <c r="I472" s="22">
        <v>1480.6</v>
      </c>
      <c r="K472" s="22" t="s">
        <v>5835</v>
      </c>
      <c r="N472" s="25" t="s">
        <v>6429</v>
      </c>
      <c r="O472" s="25" t="s">
        <v>5835</v>
      </c>
      <c r="R472" s="22" t="s">
        <v>5974</v>
      </c>
    </row>
    <row r="473" spans="3:18" ht="16">
      <c r="C473" s="19" t="s">
        <v>564</v>
      </c>
      <c r="D473" s="20" t="s">
        <v>2504</v>
      </c>
      <c r="E473" s="21" t="s">
        <v>6428</v>
      </c>
      <c r="F473" s="21" t="s">
        <v>5835</v>
      </c>
      <c r="G473" s="22" t="s">
        <v>5974</v>
      </c>
      <c r="H473" s="22" t="s">
        <v>5835</v>
      </c>
      <c r="I473" s="22">
        <v>225.5</v>
      </c>
      <c r="K473" s="22" t="s">
        <v>5835</v>
      </c>
      <c r="N473" s="25" t="s">
        <v>6436</v>
      </c>
      <c r="O473" s="25" t="s">
        <v>5835</v>
      </c>
      <c r="R473" s="22" t="s">
        <v>5974</v>
      </c>
    </row>
    <row r="474" spans="3:18" ht="16">
      <c r="C474" s="19" t="s">
        <v>565</v>
      </c>
      <c r="D474" s="20" t="s">
        <v>2505</v>
      </c>
      <c r="E474" s="21" t="s">
        <v>6428</v>
      </c>
      <c r="F474" s="21" t="s">
        <v>5835</v>
      </c>
      <c r="G474" s="22" t="s">
        <v>5974</v>
      </c>
      <c r="H474" s="22" t="s">
        <v>7828</v>
      </c>
      <c r="I474" s="22">
        <v>767.1</v>
      </c>
      <c r="K474" s="22" t="s">
        <v>5835</v>
      </c>
      <c r="N474" s="25" t="s">
        <v>6429</v>
      </c>
      <c r="O474" s="25" t="s">
        <v>5835</v>
      </c>
      <c r="R474" s="22" t="s">
        <v>5974</v>
      </c>
    </row>
    <row r="475" spans="3:18" ht="16">
      <c r="C475" s="19" t="s">
        <v>566</v>
      </c>
      <c r="D475" s="20" t="s">
        <v>2506</v>
      </c>
      <c r="E475" s="21" t="s">
        <v>6428</v>
      </c>
      <c r="F475" s="21" t="s">
        <v>5835</v>
      </c>
      <c r="G475" s="22" t="s">
        <v>5974</v>
      </c>
      <c r="H475" s="22" t="s">
        <v>7828</v>
      </c>
      <c r="I475" s="22">
        <v>557.9</v>
      </c>
      <c r="K475" s="22" t="s">
        <v>5835</v>
      </c>
      <c r="N475" s="25" t="s">
        <v>6429</v>
      </c>
      <c r="O475" s="25" t="s">
        <v>5835</v>
      </c>
      <c r="R475" s="22" t="s">
        <v>5974</v>
      </c>
    </row>
    <row r="476" spans="3:18" ht="16">
      <c r="C476" s="19" t="s">
        <v>567</v>
      </c>
      <c r="D476" s="20" t="s">
        <v>2507</v>
      </c>
      <c r="E476" s="21" t="s">
        <v>6428</v>
      </c>
      <c r="F476" s="21" t="s">
        <v>5835</v>
      </c>
      <c r="G476" s="22" t="s">
        <v>5974</v>
      </c>
      <c r="H476" s="22" t="s">
        <v>7828</v>
      </c>
      <c r="I476" s="22">
        <v>271.10000000000002</v>
      </c>
      <c r="K476" s="22" t="s">
        <v>5835</v>
      </c>
      <c r="N476" s="25" t="s">
        <v>6437</v>
      </c>
      <c r="O476" s="25" t="s">
        <v>5835</v>
      </c>
      <c r="R476" s="22" t="s">
        <v>5974</v>
      </c>
    </row>
    <row r="477" spans="3:18" ht="16">
      <c r="C477" s="19" t="s">
        <v>568</v>
      </c>
      <c r="D477" s="20" t="s">
        <v>2508</v>
      </c>
      <c r="E477" s="21" t="s">
        <v>6432</v>
      </c>
      <c r="F477" s="21" t="s">
        <v>5835</v>
      </c>
      <c r="G477" s="22" t="s">
        <v>5974</v>
      </c>
      <c r="H477" s="22" t="s">
        <v>7828</v>
      </c>
      <c r="I477" s="22">
        <v>304</v>
      </c>
      <c r="K477" s="22" t="s">
        <v>5835</v>
      </c>
      <c r="N477" s="25" t="s">
        <v>6438</v>
      </c>
      <c r="O477" s="25" t="s">
        <v>5835</v>
      </c>
      <c r="R477" s="22" t="s">
        <v>5974</v>
      </c>
    </row>
    <row r="478" spans="3:18" ht="16">
      <c r="C478" s="19" t="s">
        <v>569</v>
      </c>
      <c r="D478" s="20" t="s">
        <v>2509</v>
      </c>
      <c r="E478" s="21" t="s">
        <v>6432</v>
      </c>
      <c r="F478" s="21" t="s">
        <v>5835</v>
      </c>
      <c r="G478" s="22" t="s">
        <v>5974</v>
      </c>
      <c r="H478" s="22" t="s">
        <v>5835</v>
      </c>
      <c r="I478" s="22">
        <v>177.7</v>
      </c>
      <c r="K478" s="22" t="s">
        <v>5835</v>
      </c>
      <c r="N478" s="25" t="s">
        <v>6439</v>
      </c>
      <c r="O478" s="25" t="s">
        <v>5835</v>
      </c>
      <c r="R478" s="22" t="s">
        <v>5974</v>
      </c>
    </row>
    <row r="479" spans="3:18" ht="16">
      <c r="C479" s="19" t="s">
        <v>570</v>
      </c>
      <c r="D479" s="20" t="s">
        <v>2510</v>
      </c>
      <c r="E479" s="21" t="s">
        <v>6432</v>
      </c>
      <c r="F479" s="21" t="s">
        <v>5835</v>
      </c>
      <c r="G479" s="22" t="s">
        <v>5974</v>
      </c>
      <c r="H479" s="22" t="s">
        <v>5835</v>
      </c>
      <c r="I479" s="22">
        <v>83</v>
      </c>
      <c r="K479" s="22" t="s">
        <v>5835</v>
      </c>
      <c r="N479" s="25" t="s">
        <v>6438</v>
      </c>
      <c r="O479" s="25" t="s">
        <v>5835</v>
      </c>
      <c r="R479" s="22" t="s">
        <v>5974</v>
      </c>
    </row>
    <row r="480" spans="3:18" ht="16">
      <c r="C480" s="19" t="s">
        <v>571</v>
      </c>
      <c r="D480" s="20" t="s">
        <v>2511</v>
      </c>
      <c r="E480" s="21" t="s">
        <v>6440</v>
      </c>
      <c r="F480" s="21" t="s">
        <v>5835</v>
      </c>
      <c r="G480" s="22" t="s">
        <v>5974</v>
      </c>
      <c r="H480" s="22" t="s">
        <v>7828</v>
      </c>
      <c r="I480" s="22">
        <v>297.89999999999998</v>
      </c>
      <c r="K480" s="22" t="s">
        <v>5835</v>
      </c>
      <c r="N480" s="25" t="s">
        <v>6441</v>
      </c>
      <c r="O480" s="25" t="s">
        <v>5835</v>
      </c>
      <c r="R480" s="22" t="s">
        <v>5974</v>
      </c>
    </row>
    <row r="481" spans="3:18" ht="16">
      <c r="C481" s="19" t="s">
        <v>572</v>
      </c>
      <c r="D481" s="20" t="s">
        <v>2512</v>
      </c>
      <c r="E481" s="21" t="s">
        <v>6432</v>
      </c>
      <c r="F481" s="21" t="s">
        <v>5835</v>
      </c>
      <c r="G481" s="22" t="s">
        <v>5974</v>
      </c>
      <c r="H481" s="22" t="s">
        <v>7828</v>
      </c>
      <c r="I481" s="22">
        <v>283.3</v>
      </c>
      <c r="K481" s="22" t="s">
        <v>5835</v>
      </c>
      <c r="N481" s="25" t="s">
        <v>6442</v>
      </c>
      <c r="O481" s="25" t="s">
        <v>5835</v>
      </c>
      <c r="R481" s="22" t="s">
        <v>5974</v>
      </c>
    </row>
    <row r="482" spans="3:18" ht="16">
      <c r="C482" s="19" t="s">
        <v>573</v>
      </c>
      <c r="D482" s="20" t="s">
        <v>2513</v>
      </c>
      <c r="E482" s="21" t="s">
        <v>6443</v>
      </c>
      <c r="F482" s="21" t="s">
        <v>5835</v>
      </c>
      <c r="G482" s="22" t="s">
        <v>5974</v>
      </c>
      <c r="H482" s="22" t="s">
        <v>7828</v>
      </c>
      <c r="I482" s="22">
        <v>3899.5</v>
      </c>
      <c r="K482" s="22" t="s">
        <v>5832</v>
      </c>
      <c r="N482" s="25" t="s">
        <v>6444</v>
      </c>
      <c r="O482" s="25" t="s">
        <v>5835</v>
      </c>
      <c r="R482" s="22" t="s">
        <v>5974</v>
      </c>
    </row>
    <row r="483" spans="3:18" ht="16">
      <c r="C483" s="19" t="s">
        <v>574</v>
      </c>
      <c r="D483" s="20" t="s">
        <v>2514</v>
      </c>
      <c r="E483" s="21" t="s">
        <v>6443</v>
      </c>
      <c r="F483" s="21" t="s">
        <v>5835</v>
      </c>
      <c r="G483" s="22" t="s">
        <v>5974</v>
      </c>
      <c r="H483" s="22" t="s">
        <v>7828</v>
      </c>
      <c r="I483" s="22">
        <v>12563.7</v>
      </c>
      <c r="K483" s="22" t="s">
        <v>5832</v>
      </c>
      <c r="N483" s="25" t="s">
        <v>6444</v>
      </c>
      <c r="O483" s="25" t="s">
        <v>5835</v>
      </c>
      <c r="R483" s="22" t="s">
        <v>5974</v>
      </c>
    </row>
    <row r="484" spans="3:18" ht="16">
      <c r="C484" s="19" t="s">
        <v>575</v>
      </c>
      <c r="D484" s="20" t="s">
        <v>2515</v>
      </c>
      <c r="E484" s="21" t="s">
        <v>6443</v>
      </c>
      <c r="F484" s="21" t="s">
        <v>5835</v>
      </c>
      <c r="G484" s="22" t="s">
        <v>5974</v>
      </c>
      <c r="H484" s="22" t="s">
        <v>7828</v>
      </c>
      <c r="I484" s="22">
        <v>10159</v>
      </c>
      <c r="K484" s="22" t="s">
        <v>5832</v>
      </c>
      <c r="N484" s="25" t="s">
        <v>6444</v>
      </c>
      <c r="O484" s="25" t="s">
        <v>5835</v>
      </c>
      <c r="R484" s="22" t="s">
        <v>5974</v>
      </c>
    </row>
    <row r="485" spans="3:18" ht="16">
      <c r="C485" s="19" t="s">
        <v>576</v>
      </c>
      <c r="D485" s="20" t="s">
        <v>6445</v>
      </c>
      <c r="E485" s="21" t="s">
        <v>6443</v>
      </c>
      <c r="F485" s="21" t="s">
        <v>5835</v>
      </c>
      <c r="G485" s="22" t="s">
        <v>5974</v>
      </c>
      <c r="H485" s="22" t="s">
        <v>7828</v>
      </c>
      <c r="I485" s="22">
        <v>2767.7</v>
      </c>
      <c r="K485" s="22" t="s">
        <v>5832</v>
      </c>
      <c r="N485" s="25" t="s">
        <v>6444</v>
      </c>
      <c r="O485" s="25" t="s">
        <v>5835</v>
      </c>
      <c r="R485" s="22" t="s">
        <v>5974</v>
      </c>
    </row>
    <row r="486" spans="3:18" ht="16">
      <c r="C486" s="19" t="s">
        <v>577</v>
      </c>
      <c r="D486" s="20" t="s">
        <v>2516</v>
      </c>
      <c r="E486" s="21" t="s">
        <v>6443</v>
      </c>
      <c r="F486" s="21" t="s">
        <v>5835</v>
      </c>
      <c r="G486" s="22" t="s">
        <v>5974</v>
      </c>
      <c r="H486" s="22" t="s">
        <v>7828</v>
      </c>
      <c r="I486" s="22">
        <v>5550.5</v>
      </c>
      <c r="K486" s="22" t="s">
        <v>5832</v>
      </c>
      <c r="N486" s="25" t="s">
        <v>6444</v>
      </c>
      <c r="O486" s="25" t="s">
        <v>5835</v>
      </c>
      <c r="R486" s="22" t="s">
        <v>5974</v>
      </c>
    </row>
    <row r="487" spans="3:18" ht="16">
      <c r="C487" s="19" t="s">
        <v>578</v>
      </c>
      <c r="D487" s="20" t="s">
        <v>2517</v>
      </c>
      <c r="E487" s="21" t="s">
        <v>6443</v>
      </c>
      <c r="F487" s="21" t="s">
        <v>5835</v>
      </c>
      <c r="G487" s="22" t="s">
        <v>5974</v>
      </c>
      <c r="H487" s="22" t="s">
        <v>7828</v>
      </c>
      <c r="I487" s="22">
        <v>4102.8999999999996</v>
      </c>
      <c r="K487" s="22" t="s">
        <v>5832</v>
      </c>
      <c r="N487" s="25" t="s">
        <v>6444</v>
      </c>
      <c r="O487" s="25" t="s">
        <v>5835</v>
      </c>
      <c r="R487" s="22" t="s">
        <v>5974</v>
      </c>
    </row>
    <row r="488" spans="3:18" ht="16">
      <c r="C488" s="19" t="s">
        <v>579</v>
      </c>
      <c r="D488" s="20" t="s">
        <v>2518</v>
      </c>
      <c r="E488" s="21" t="s">
        <v>6443</v>
      </c>
      <c r="F488" s="21" t="s">
        <v>5835</v>
      </c>
      <c r="G488" s="22" t="s">
        <v>5974</v>
      </c>
      <c r="H488" s="22" t="s">
        <v>7828</v>
      </c>
      <c r="I488" s="22">
        <v>6274.5</v>
      </c>
      <c r="K488" s="22" t="s">
        <v>5832</v>
      </c>
      <c r="N488" s="25" t="s">
        <v>6444</v>
      </c>
      <c r="O488" s="25" t="s">
        <v>5835</v>
      </c>
      <c r="R488" s="22" t="s">
        <v>5974</v>
      </c>
    </row>
    <row r="489" spans="3:18" ht="16">
      <c r="C489" s="19" t="s">
        <v>580</v>
      </c>
      <c r="D489" s="20" t="s">
        <v>6446</v>
      </c>
      <c r="E489" s="21" t="s">
        <v>6443</v>
      </c>
      <c r="F489" s="21" t="s">
        <v>5835</v>
      </c>
      <c r="G489" s="22" t="s">
        <v>5974</v>
      </c>
      <c r="H489" s="22" t="s">
        <v>7828</v>
      </c>
      <c r="I489" s="22">
        <v>2378.9</v>
      </c>
      <c r="K489" s="22" t="s">
        <v>5832</v>
      </c>
      <c r="N489" s="25" t="s">
        <v>6444</v>
      </c>
      <c r="O489" s="25" t="s">
        <v>5835</v>
      </c>
      <c r="R489" s="22" t="s">
        <v>5974</v>
      </c>
    </row>
    <row r="490" spans="3:18" ht="16">
      <c r="C490" s="19" t="s">
        <v>6447</v>
      </c>
      <c r="D490" s="20" t="s">
        <v>6448</v>
      </c>
      <c r="E490" s="21" t="s">
        <v>6443</v>
      </c>
      <c r="F490" s="21" t="s">
        <v>5835</v>
      </c>
      <c r="G490" s="22" t="s">
        <v>5974</v>
      </c>
      <c r="H490" s="22" t="s">
        <v>7828</v>
      </c>
      <c r="I490" s="22">
        <v>2044.1</v>
      </c>
      <c r="K490" s="22" t="s">
        <v>5835</v>
      </c>
      <c r="N490" s="25" t="s">
        <v>6444</v>
      </c>
      <c r="O490" s="25" t="s">
        <v>5835</v>
      </c>
      <c r="R490" s="22" t="s">
        <v>5974</v>
      </c>
    </row>
    <row r="491" spans="3:18" ht="16">
      <c r="C491" s="19" t="s">
        <v>581</v>
      </c>
      <c r="D491" s="20" t="s">
        <v>2519</v>
      </c>
      <c r="E491" s="21" t="s">
        <v>6443</v>
      </c>
      <c r="F491" s="21" t="s">
        <v>5835</v>
      </c>
      <c r="G491" s="22" t="s">
        <v>5974</v>
      </c>
      <c r="H491" s="22" t="s">
        <v>7828</v>
      </c>
      <c r="I491" s="22">
        <v>568.70000000000005</v>
      </c>
      <c r="K491" s="22" t="s">
        <v>5835</v>
      </c>
      <c r="N491" s="25" t="s">
        <v>6444</v>
      </c>
      <c r="O491" s="25" t="s">
        <v>5835</v>
      </c>
      <c r="R491" s="22" t="s">
        <v>5974</v>
      </c>
    </row>
    <row r="492" spans="3:18" ht="16">
      <c r="C492" s="19" t="s">
        <v>582</v>
      </c>
      <c r="D492" s="20" t="s">
        <v>2520</v>
      </c>
      <c r="E492" s="21" t="s">
        <v>6443</v>
      </c>
      <c r="F492" s="21" t="s">
        <v>5835</v>
      </c>
      <c r="G492" s="22" t="s">
        <v>5974</v>
      </c>
      <c r="H492" s="22" t="s">
        <v>7828</v>
      </c>
      <c r="I492" s="22">
        <v>3158.8</v>
      </c>
      <c r="K492" s="22" t="s">
        <v>5832</v>
      </c>
      <c r="N492" s="25" t="s">
        <v>6444</v>
      </c>
      <c r="O492" s="25" t="s">
        <v>5835</v>
      </c>
      <c r="R492" s="22" t="s">
        <v>5974</v>
      </c>
    </row>
    <row r="493" spans="3:18" ht="16">
      <c r="C493" s="19" t="s">
        <v>583</v>
      </c>
      <c r="D493" s="20" t="s">
        <v>2521</v>
      </c>
      <c r="E493" s="21" t="s">
        <v>6443</v>
      </c>
      <c r="F493" s="21" t="s">
        <v>5835</v>
      </c>
      <c r="G493" s="22" t="s">
        <v>5974</v>
      </c>
      <c r="H493" s="22" t="s">
        <v>7828</v>
      </c>
      <c r="I493" s="22">
        <v>8887.6</v>
      </c>
      <c r="K493" s="22" t="s">
        <v>5832</v>
      </c>
      <c r="N493" s="25" t="s">
        <v>6444</v>
      </c>
      <c r="O493" s="25" t="s">
        <v>5835</v>
      </c>
      <c r="R493" s="22" t="s">
        <v>5974</v>
      </c>
    </row>
    <row r="494" spans="3:18" ht="16">
      <c r="C494" s="19" t="s">
        <v>584</v>
      </c>
      <c r="D494" s="20" t="s">
        <v>2522</v>
      </c>
      <c r="E494" s="21" t="s">
        <v>6443</v>
      </c>
      <c r="F494" s="21" t="s">
        <v>5835</v>
      </c>
      <c r="G494" s="22" t="s">
        <v>5974</v>
      </c>
      <c r="H494" s="22" t="s">
        <v>7828</v>
      </c>
      <c r="I494" s="22">
        <v>4159.5</v>
      </c>
      <c r="K494" s="22" t="s">
        <v>5832</v>
      </c>
      <c r="N494" s="25" t="s">
        <v>6444</v>
      </c>
      <c r="O494" s="25" t="s">
        <v>5835</v>
      </c>
      <c r="R494" s="22" t="s">
        <v>5974</v>
      </c>
    </row>
    <row r="495" spans="3:18" ht="16">
      <c r="C495" s="19" t="s">
        <v>585</v>
      </c>
      <c r="D495" s="20" t="s">
        <v>2523</v>
      </c>
      <c r="E495" s="21" t="s">
        <v>6428</v>
      </c>
      <c r="F495" s="21" t="s">
        <v>5835</v>
      </c>
      <c r="G495" s="22" t="s">
        <v>5974</v>
      </c>
      <c r="H495" s="22" t="s">
        <v>7828</v>
      </c>
      <c r="I495" s="22">
        <v>273.2</v>
      </c>
      <c r="K495" s="22" t="s">
        <v>5835</v>
      </c>
      <c r="N495" s="25" t="s">
        <v>6449</v>
      </c>
      <c r="O495" s="25" t="s">
        <v>5835</v>
      </c>
      <c r="R495" s="22" t="s">
        <v>5974</v>
      </c>
    </row>
    <row r="496" spans="3:18" ht="16">
      <c r="C496" s="19" t="s">
        <v>586</v>
      </c>
      <c r="D496" s="20" t="s">
        <v>2524</v>
      </c>
      <c r="E496" s="21" t="s">
        <v>5980</v>
      </c>
      <c r="F496" s="21" t="s">
        <v>5852</v>
      </c>
      <c r="G496" s="22" t="s">
        <v>5964</v>
      </c>
      <c r="H496" s="22" t="s">
        <v>5835</v>
      </c>
      <c r="I496" s="22">
        <v>19.100000000000001</v>
      </c>
      <c r="K496" s="22" t="s">
        <v>5835</v>
      </c>
      <c r="N496" s="25" t="s">
        <v>6450</v>
      </c>
      <c r="O496" s="25" t="s">
        <v>5835</v>
      </c>
      <c r="R496" s="22" t="s">
        <v>5964</v>
      </c>
    </row>
    <row r="497" spans="3:18" ht="16">
      <c r="C497" s="19" t="s">
        <v>587</v>
      </c>
      <c r="D497" s="20" t="s">
        <v>2525</v>
      </c>
      <c r="E497" s="21" t="s">
        <v>5980</v>
      </c>
      <c r="F497" s="21" t="s">
        <v>5852</v>
      </c>
      <c r="G497" s="22" t="s">
        <v>5964</v>
      </c>
      <c r="H497" s="22" t="s">
        <v>7828</v>
      </c>
      <c r="I497" s="22">
        <v>299.7</v>
      </c>
      <c r="K497" s="22" t="s">
        <v>5835</v>
      </c>
      <c r="N497" s="25" t="s">
        <v>6451</v>
      </c>
      <c r="O497" s="25" t="s">
        <v>5835</v>
      </c>
      <c r="R497" s="22" t="s">
        <v>5964</v>
      </c>
    </row>
    <row r="498" spans="3:18" ht="16">
      <c r="C498" s="19" t="s">
        <v>588</v>
      </c>
      <c r="D498" s="20" t="s">
        <v>2526</v>
      </c>
      <c r="E498" s="21" t="s">
        <v>5968</v>
      </c>
      <c r="F498" s="21" t="s">
        <v>5969</v>
      </c>
      <c r="G498" s="22" t="s">
        <v>5853</v>
      </c>
      <c r="H498" s="22" t="s">
        <v>5835</v>
      </c>
      <c r="I498" s="22">
        <v>13.6</v>
      </c>
      <c r="K498" s="22" t="s">
        <v>5835</v>
      </c>
      <c r="N498" s="25" t="s">
        <v>6452</v>
      </c>
      <c r="O498" s="25" t="s">
        <v>5835</v>
      </c>
      <c r="R498" s="22" t="s">
        <v>5853</v>
      </c>
    </row>
    <row r="499" spans="3:18" ht="16">
      <c r="C499" s="19" t="s">
        <v>589</v>
      </c>
      <c r="D499" s="20" t="s">
        <v>2527</v>
      </c>
      <c r="E499" s="21" t="s">
        <v>5980</v>
      </c>
      <c r="F499" s="21" t="s">
        <v>5852</v>
      </c>
      <c r="G499" s="22" t="s">
        <v>5964</v>
      </c>
      <c r="H499" s="22" t="s">
        <v>7828</v>
      </c>
      <c r="I499" s="22">
        <v>137.5</v>
      </c>
      <c r="K499" s="22" t="s">
        <v>5835</v>
      </c>
      <c r="N499" s="25" t="s">
        <v>6453</v>
      </c>
      <c r="O499" s="25" t="s">
        <v>5835</v>
      </c>
      <c r="R499" s="22" t="s">
        <v>5964</v>
      </c>
    </row>
    <row r="500" spans="3:18" ht="16">
      <c r="C500" s="19" t="s">
        <v>590</v>
      </c>
      <c r="D500" s="20" t="s">
        <v>2528</v>
      </c>
      <c r="E500" s="21" t="s">
        <v>5980</v>
      </c>
      <c r="F500" s="21" t="s">
        <v>5852</v>
      </c>
      <c r="G500" s="22" t="s">
        <v>5964</v>
      </c>
      <c r="H500" s="22" t="s">
        <v>5835</v>
      </c>
      <c r="I500" s="22">
        <v>32.200000000000003</v>
      </c>
      <c r="K500" s="22" t="s">
        <v>5835</v>
      </c>
      <c r="N500" s="25" t="s">
        <v>6454</v>
      </c>
      <c r="O500" s="25" t="s">
        <v>5835</v>
      </c>
      <c r="R500" s="22" t="s">
        <v>5964</v>
      </c>
    </row>
    <row r="501" spans="3:18" ht="16">
      <c r="C501" s="19" t="s">
        <v>591</v>
      </c>
      <c r="D501" s="20" t="s">
        <v>2529</v>
      </c>
      <c r="E501" s="21" t="s">
        <v>5980</v>
      </c>
      <c r="F501" s="21" t="s">
        <v>5852</v>
      </c>
      <c r="G501" s="22" t="s">
        <v>5964</v>
      </c>
      <c r="H501" s="22" t="s">
        <v>5835</v>
      </c>
      <c r="I501" s="22">
        <v>99.4</v>
      </c>
      <c r="K501" s="22" t="s">
        <v>5835</v>
      </c>
      <c r="N501" s="25" t="s">
        <v>6455</v>
      </c>
      <c r="O501" s="25" t="s">
        <v>5835</v>
      </c>
      <c r="R501" s="22" t="s">
        <v>5964</v>
      </c>
    </row>
    <row r="502" spans="3:18" ht="16">
      <c r="C502" s="19" t="s">
        <v>592</v>
      </c>
      <c r="D502" s="20" t="s">
        <v>2530</v>
      </c>
      <c r="E502" s="21" t="s">
        <v>5980</v>
      </c>
      <c r="F502" s="21" t="s">
        <v>5852</v>
      </c>
      <c r="G502" s="22" t="s">
        <v>5964</v>
      </c>
      <c r="H502" s="22" t="s">
        <v>5835</v>
      </c>
      <c r="I502" s="22">
        <v>37.9</v>
      </c>
      <c r="K502" s="22" t="s">
        <v>5835</v>
      </c>
      <c r="N502" s="25" t="s">
        <v>6456</v>
      </c>
      <c r="O502" s="25" t="s">
        <v>5835</v>
      </c>
      <c r="R502" s="22" t="s">
        <v>5964</v>
      </c>
    </row>
    <row r="503" spans="3:18" ht="16">
      <c r="C503" s="19" t="s">
        <v>593</v>
      </c>
      <c r="D503" s="20" t="s">
        <v>2531</v>
      </c>
      <c r="E503" s="21" t="s">
        <v>5980</v>
      </c>
      <c r="F503" s="21" t="s">
        <v>5852</v>
      </c>
      <c r="G503" s="22" t="s">
        <v>5964</v>
      </c>
      <c r="H503" s="22" t="s">
        <v>5835</v>
      </c>
      <c r="I503" s="22">
        <v>5.3</v>
      </c>
      <c r="K503" s="22" t="s">
        <v>5835</v>
      </c>
      <c r="N503" s="25" t="s">
        <v>6457</v>
      </c>
      <c r="O503" s="25" t="s">
        <v>5835</v>
      </c>
      <c r="R503" s="22" t="s">
        <v>5964</v>
      </c>
    </row>
    <row r="504" spans="3:18" ht="16">
      <c r="C504" s="19" t="s">
        <v>594</v>
      </c>
      <c r="D504" s="20" t="s">
        <v>2532</v>
      </c>
      <c r="E504" s="21" t="s">
        <v>5980</v>
      </c>
      <c r="F504" s="21" t="s">
        <v>5852</v>
      </c>
      <c r="G504" s="22" t="s">
        <v>5964</v>
      </c>
      <c r="H504" s="22" t="s">
        <v>7828</v>
      </c>
      <c r="I504" s="22">
        <v>2739.3</v>
      </c>
      <c r="K504" s="22" t="s">
        <v>5832</v>
      </c>
      <c r="N504" s="25" t="s">
        <v>6458</v>
      </c>
      <c r="O504" s="25" t="s">
        <v>5835</v>
      </c>
      <c r="R504" s="22" t="s">
        <v>5964</v>
      </c>
    </row>
    <row r="505" spans="3:18" ht="16">
      <c r="C505" s="19" t="s">
        <v>595</v>
      </c>
      <c r="D505" s="20" t="s">
        <v>2533</v>
      </c>
      <c r="E505" s="21" t="s">
        <v>5980</v>
      </c>
      <c r="F505" s="21" t="s">
        <v>5852</v>
      </c>
      <c r="G505" s="22" t="s">
        <v>7827</v>
      </c>
      <c r="H505" s="22" t="s">
        <v>5835</v>
      </c>
      <c r="I505" s="22">
        <v>120.1</v>
      </c>
      <c r="K505" s="22" t="s">
        <v>5835</v>
      </c>
      <c r="N505" s="25" t="s">
        <v>6459</v>
      </c>
      <c r="O505" s="25" t="s">
        <v>5835</v>
      </c>
      <c r="R505" s="22" t="s">
        <v>5940</v>
      </c>
    </row>
    <row r="506" spans="3:18" ht="16">
      <c r="C506" s="19" t="s">
        <v>596</v>
      </c>
      <c r="D506" s="20" t="s">
        <v>2534</v>
      </c>
      <c r="E506" s="21" t="s">
        <v>5980</v>
      </c>
      <c r="F506" s="21" t="s">
        <v>5852</v>
      </c>
      <c r="G506" s="22" t="s">
        <v>5964</v>
      </c>
      <c r="H506" s="22" t="s">
        <v>7828</v>
      </c>
      <c r="I506" s="22">
        <v>598.5</v>
      </c>
      <c r="K506" s="22" t="s">
        <v>5835</v>
      </c>
      <c r="N506" s="25" t="s">
        <v>6460</v>
      </c>
      <c r="O506" s="25" t="s">
        <v>5835</v>
      </c>
      <c r="R506" s="22" t="s">
        <v>5964</v>
      </c>
    </row>
    <row r="507" spans="3:18" ht="16">
      <c r="C507" s="19" t="s">
        <v>598</v>
      </c>
      <c r="D507" s="20" t="s">
        <v>2536</v>
      </c>
      <c r="E507" s="21" t="s">
        <v>5923</v>
      </c>
      <c r="F507" s="21" t="s">
        <v>5831</v>
      </c>
      <c r="G507" s="22" t="s">
        <v>5840</v>
      </c>
      <c r="H507" s="22" t="s">
        <v>7828</v>
      </c>
      <c r="I507" s="22">
        <v>420.3</v>
      </c>
      <c r="K507" s="22" t="s">
        <v>5835</v>
      </c>
      <c r="N507" s="25">
        <v>0</v>
      </c>
      <c r="O507" s="25" t="s">
        <v>5835</v>
      </c>
      <c r="R507" s="22" t="s">
        <v>5840</v>
      </c>
    </row>
    <row r="508" spans="3:18" ht="16">
      <c r="C508" s="19" t="s">
        <v>601</v>
      </c>
      <c r="D508" s="20" t="s">
        <v>2539</v>
      </c>
      <c r="E508" s="21" t="s">
        <v>5980</v>
      </c>
      <c r="F508" s="21" t="s">
        <v>5852</v>
      </c>
      <c r="G508" s="22" t="s">
        <v>5846</v>
      </c>
      <c r="H508" s="22" t="s">
        <v>5835</v>
      </c>
      <c r="I508" s="22">
        <v>10</v>
      </c>
      <c r="K508" s="22" t="s">
        <v>5835</v>
      </c>
      <c r="N508" s="25" t="s">
        <v>6461</v>
      </c>
      <c r="O508" s="25" t="s">
        <v>5835</v>
      </c>
      <c r="R508" s="22" t="s">
        <v>5846</v>
      </c>
    </row>
    <row r="509" spans="3:18" ht="16">
      <c r="C509" s="19" t="s">
        <v>603</v>
      </c>
      <c r="D509" s="20" t="s">
        <v>6462</v>
      </c>
      <c r="E509" s="21" t="s">
        <v>5980</v>
      </c>
      <c r="F509" s="21" t="s">
        <v>5852</v>
      </c>
      <c r="G509" s="22" t="s">
        <v>5964</v>
      </c>
      <c r="H509" s="22" t="s">
        <v>5835</v>
      </c>
      <c r="I509" s="22">
        <v>12.5</v>
      </c>
      <c r="K509" s="22" t="s">
        <v>5835</v>
      </c>
      <c r="N509" s="25" t="s">
        <v>6463</v>
      </c>
      <c r="O509" s="25" t="s">
        <v>5835</v>
      </c>
      <c r="R509" s="22" t="s">
        <v>5964</v>
      </c>
    </row>
    <row r="510" spans="3:18" ht="16">
      <c r="C510" s="19" t="s">
        <v>605</v>
      </c>
      <c r="D510" s="20" t="s">
        <v>2542</v>
      </c>
      <c r="E510" s="21" t="s">
        <v>5980</v>
      </c>
      <c r="F510" s="21" t="s">
        <v>5852</v>
      </c>
      <c r="G510" s="22" t="s">
        <v>7827</v>
      </c>
      <c r="H510" s="22" t="s">
        <v>5835</v>
      </c>
      <c r="I510" s="22">
        <v>26.7</v>
      </c>
      <c r="K510" s="22" t="s">
        <v>5835</v>
      </c>
      <c r="N510" s="25" t="s">
        <v>5835</v>
      </c>
      <c r="O510" s="25" t="s">
        <v>5835</v>
      </c>
      <c r="R510" s="22" t="s">
        <v>5940</v>
      </c>
    </row>
    <row r="511" spans="3:18" ht="16">
      <c r="C511" s="19" t="s">
        <v>609</v>
      </c>
      <c r="D511" s="20" t="s">
        <v>2546</v>
      </c>
      <c r="E511" s="21" t="s">
        <v>6025</v>
      </c>
      <c r="F511" s="21" t="s">
        <v>17</v>
      </c>
      <c r="G511" s="22" t="s">
        <v>5855</v>
      </c>
      <c r="H511" s="22" t="s">
        <v>5835</v>
      </c>
      <c r="I511" s="22">
        <v>13.9</v>
      </c>
      <c r="K511" s="22" t="s">
        <v>5835</v>
      </c>
      <c r="N511" s="25" t="s">
        <v>6464</v>
      </c>
      <c r="O511" s="25" t="s">
        <v>5835</v>
      </c>
      <c r="R511" s="22" t="s">
        <v>5855</v>
      </c>
    </row>
    <row r="512" spans="3:18" ht="16">
      <c r="C512" s="19" t="s">
        <v>610</v>
      </c>
      <c r="D512" s="20" t="s">
        <v>2547</v>
      </c>
      <c r="E512" s="21" t="s">
        <v>6067</v>
      </c>
      <c r="F512" s="21" t="s">
        <v>17</v>
      </c>
      <c r="G512" s="22" t="s">
        <v>5920</v>
      </c>
      <c r="H512" s="22" t="s">
        <v>5835</v>
      </c>
      <c r="I512" s="22">
        <v>75</v>
      </c>
      <c r="K512" s="22" t="s">
        <v>5835</v>
      </c>
      <c r="N512" s="25" t="s">
        <v>6465</v>
      </c>
      <c r="O512" s="25" t="s">
        <v>5835</v>
      </c>
      <c r="R512" s="22" t="s">
        <v>5920</v>
      </c>
    </row>
    <row r="513" spans="3:18" ht="16">
      <c r="C513" s="19" t="s">
        <v>611</v>
      </c>
      <c r="D513" s="20" t="s">
        <v>2548</v>
      </c>
      <c r="E513" s="21" t="s">
        <v>6166</v>
      </c>
      <c r="F513" s="21" t="s">
        <v>6080</v>
      </c>
      <c r="G513" s="22" t="s">
        <v>5970</v>
      </c>
      <c r="H513" s="22" t="s">
        <v>5835</v>
      </c>
      <c r="I513" s="22">
        <v>69.900000000000006</v>
      </c>
      <c r="K513" s="22" t="s">
        <v>5835</v>
      </c>
      <c r="N513" s="25" t="s">
        <v>6466</v>
      </c>
      <c r="O513" s="25" t="s">
        <v>5835</v>
      </c>
      <c r="R513" s="22" t="s">
        <v>5970</v>
      </c>
    </row>
    <row r="514" spans="3:18" ht="16">
      <c r="C514" s="19" t="s">
        <v>612</v>
      </c>
      <c r="D514" s="20" t="s">
        <v>2549</v>
      </c>
      <c r="E514" s="21" t="s">
        <v>6216</v>
      </c>
      <c r="F514" s="21" t="s">
        <v>6197</v>
      </c>
      <c r="G514" s="22" t="s">
        <v>5945</v>
      </c>
      <c r="H514" s="22" t="s">
        <v>7828</v>
      </c>
      <c r="I514" s="22">
        <v>713.2</v>
      </c>
      <c r="K514" s="22" t="s">
        <v>5835</v>
      </c>
      <c r="N514" s="25" t="s">
        <v>6467</v>
      </c>
      <c r="O514" s="25" t="s">
        <v>5835</v>
      </c>
      <c r="R514" s="22" t="s">
        <v>5945</v>
      </c>
    </row>
    <row r="515" spans="3:18" ht="16">
      <c r="C515" s="19" t="s">
        <v>613</v>
      </c>
      <c r="D515" s="20" t="s">
        <v>2550</v>
      </c>
      <c r="E515" s="21" t="s">
        <v>6257</v>
      </c>
      <c r="F515" s="21" t="s">
        <v>10</v>
      </c>
      <c r="G515" s="22" t="s">
        <v>5928</v>
      </c>
      <c r="H515" s="22" t="s">
        <v>5835</v>
      </c>
      <c r="I515" s="22">
        <v>142.80000000000001</v>
      </c>
      <c r="K515" s="22" t="s">
        <v>5835</v>
      </c>
      <c r="N515" s="25" t="s">
        <v>6468</v>
      </c>
      <c r="O515" s="25" t="s">
        <v>5835</v>
      </c>
      <c r="R515" s="22" t="s">
        <v>5928</v>
      </c>
    </row>
    <row r="516" spans="3:18" ht="16">
      <c r="C516" s="19" t="s">
        <v>614</v>
      </c>
      <c r="D516" s="20" t="s">
        <v>2551</v>
      </c>
      <c r="E516" s="21" t="s">
        <v>6469</v>
      </c>
      <c r="F516" s="21" t="s">
        <v>17</v>
      </c>
      <c r="G516" s="22" t="s">
        <v>5976</v>
      </c>
      <c r="H516" s="22" t="s">
        <v>7828</v>
      </c>
      <c r="I516" s="22">
        <v>2923.7</v>
      </c>
      <c r="K516" s="22" t="s">
        <v>5832</v>
      </c>
      <c r="N516" s="25" t="s">
        <v>6470</v>
      </c>
      <c r="O516" s="25" t="s">
        <v>5835</v>
      </c>
      <c r="R516" s="22" t="s">
        <v>5976</v>
      </c>
    </row>
    <row r="517" spans="3:18" ht="16">
      <c r="C517" s="19" t="s">
        <v>615</v>
      </c>
      <c r="D517" s="20" t="s">
        <v>2552</v>
      </c>
      <c r="E517" s="21" t="s">
        <v>6471</v>
      </c>
      <c r="F517" s="21" t="s">
        <v>6231</v>
      </c>
      <c r="G517" s="22" t="s">
        <v>5933</v>
      </c>
      <c r="H517" s="22" t="s">
        <v>7828</v>
      </c>
      <c r="I517" s="22">
        <v>245.7</v>
      </c>
      <c r="K517" s="22" t="s">
        <v>5835</v>
      </c>
      <c r="N517" s="25" t="s">
        <v>6472</v>
      </c>
      <c r="O517" s="25" t="s">
        <v>5835</v>
      </c>
      <c r="R517" s="22" t="s">
        <v>5933</v>
      </c>
    </row>
    <row r="518" spans="3:18" ht="16">
      <c r="C518" s="19" t="s">
        <v>616</v>
      </c>
      <c r="D518" s="20" t="s">
        <v>2553</v>
      </c>
      <c r="E518" s="21" t="s">
        <v>6067</v>
      </c>
      <c r="F518" s="21" t="s">
        <v>17</v>
      </c>
      <c r="G518" s="22" t="s">
        <v>5920</v>
      </c>
      <c r="H518" s="22" t="s">
        <v>5835</v>
      </c>
      <c r="I518" s="22">
        <v>14</v>
      </c>
      <c r="K518" s="22" t="s">
        <v>5835</v>
      </c>
      <c r="N518" s="25" t="s">
        <v>6473</v>
      </c>
      <c r="O518" s="25" t="s">
        <v>5835</v>
      </c>
      <c r="R518" s="22" t="s">
        <v>5920</v>
      </c>
    </row>
    <row r="519" spans="3:18" ht="16">
      <c r="C519" s="19" t="s">
        <v>617</v>
      </c>
      <c r="D519" s="20" t="s">
        <v>2554</v>
      </c>
      <c r="E519" s="21" t="s">
        <v>6243</v>
      </c>
      <c r="F519" s="21" t="s">
        <v>17</v>
      </c>
      <c r="G519" s="22" t="s">
        <v>5873</v>
      </c>
      <c r="H519" s="22" t="s">
        <v>7828</v>
      </c>
      <c r="I519" s="22">
        <v>254.3</v>
      </c>
      <c r="K519" s="22" t="s">
        <v>5835</v>
      </c>
      <c r="N519" s="25" t="s">
        <v>6474</v>
      </c>
      <c r="O519" s="25" t="s">
        <v>5835</v>
      </c>
      <c r="R519" s="22" t="s">
        <v>5873</v>
      </c>
    </row>
    <row r="520" spans="3:18" ht="16">
      <c r="C520" s="19" t="s">
        <v>618</v>
      </c>
      <c r="D520" s="20" t="s">
        <v>2555</v>
      </c>
      <c r="E520" s="21" t="s">
        <v>6257</v>
      </c>
      <c r="F520" s="21" t="s">
        <v>10</v>
      </c>
      <c r="G520" s="22" t="s">
        <v>5978</v>
      </c>
      <c r="H520" s="22" t="s">
        <v>5835</v>
      </c>
      <c r="I520" s="22">
        <v>210.8</v>
      </c>
      <c r="K520" s="22" t="s">
        <v>5835</v>
      </c>
      <c r="N520" s="25" t="s">
        <v>6475</v>
      </c>
      <c r="O520" s="25" t="s">
        <v>5835</v>
      </c>
      <c r="R520" s="22" t="s">
        <v>5978</v>
      </c>
    </row>
    <row r="521" spans="3:18" ht="16">
      <c r="C521" s="19" t="s">
        <v>619</v>
      </c>
      <c r="D521" s="20" t="s">
        <v>2556</v>
      </c>
      <c r="E521" s="21" t="s">
        <v>6025</v>
      </c>
      <c r="F521" s="21" t="s">
        <v>17</v>
      </c>
      <c r="G521" s="22" t="s">
        <v>5855</v>
      </c>
      <c r="H521" s="22" t="s">
        <v>5835</v>
      </c>
      <c r="I521" s="22">
        <v>103.6</v>
      </c>
      <c r="K521" s="22" t="s">
        <v>5835</v>
      </c>
      <c r="N521" s="25" t="s">
        <v>6476</v>
      </c>
      <c r="O521" s="25" t="s">
        <v>5835</v>
      </c>
      <c r="R521" s="22" t="s">
        <v>5855</v>
      </c>
    </row>
    <row r="522" spans="3:18" ht="16">
      <c r="C522" s="19" t="s">
        <v>620</v>
      </c>
      <c r="D522" s="20" t="s">
        <v>2557</v>
      </c>
      <c r="E522" s="21" t="s">
        <v>6228</v>
      </c>
      <c r="F522" s="21" t="s">
        <v>8</v>
      </c>
      <c r="G522" s="22" t="s">
        <v>5962</v>
      </c>
      <c r="H522" s="22" t="s">
        <v>5835</v>
      </c>
      <c r="I522" s="22">
        <v>90.3</v>
      </c>
      <c r="K522" s="22" t="s">
        <v>5835</v>
      </c>
      <c r="N522" s="25" t="s">
        <v>6477</v>
      </c>
      <c r="O522" s="25" t="s">
        <v>5835</v>
      </c>
      <c r="R522" s="22" t="s">
        <v>5962</v>
      </c>
    </row>
    <row r="523" spans="3:18" ht="16">
      <c r="C523" s="19" t="s">
        <v>621</v>
      </c>
      <c r="D523" s="20" t="s">
        <v>2558</v>
      </c>
      <c r="E523" s="21" t="s">
        <v>6277</v>
      </c>
      <c r="F523" s="21" t="s">
        <v>17</v>
      </c>
      <c r="G523" s="22" t="s">
        <v>5902</v>
      </c>
      <c r="H523" s="22" t="s">
        <v>7828</v>
      </c>
      <c r="I523" s="22">
        <v>3280.3</v>
      </c>
      <c r="K523" s="22" t="s">
        <v>5832</v>
      </c>
      <c r="N523" s="25" t="s">
        <v>6478</v>
      </c>
      <c r="O523" s="25" t="s">
        <v>5835</v>
      </c>
      <c r="R523" s="22" t="s">
        <v>5902</v>
      </c>
    </row>
    <row r="524" spans="3:18" ht="16">
      <c r="C524" s="19" t="s">
        <v>622</v>
      </c>
      <c r="D524" s="20" t="s">
        <v>2559</v>
      </c>
      <c r="E524" s="21" t="s">
        <v>6254</v>
      </c>
      <c r="F524" s="21" t="s">
        <v>8</v>
      </c>
      <c r="G524" s="22" t="s">
        <v>5935</v>
      </c>
      <c r="H524" s="22" t="s">
        <v>5835</v>
      </c>
      <c r="I524" s="22">
        <v>10.4</v>
      </c>
      <c r="K524" s="22" t="s">
        <v>5835</v>
      </c>
      <c r="N524" s="25" t="s">
        <v>6479</v>
      </c>
      <c r="O524" s="25" t="s">
        <v>5835</v>
      </c>
      <c r="R524" s="22" t="s">
        <v>5935</v>
      </c>
    </row>
    <row r="525" spans="3:18" ht="16">
      <c r="C525" s="19" t="s">
        <v>623</v>
      </c>
      <c r="D525" s="20" t="s">
        <v>2560</v>
      </c>
      <c r="E525" s="21" t="s">
        <v>6469</v>
      </c>
      <c r="F525" s="21" t="s">
        <v>17</v>
      </c>
      <c r="G525" s="22" t="s">
        <v>5976</v>
      </c>
      <c r="H525" s="22" t="s">
        <v>7828</v>
      </c>
      <c r="I525" s="22">
        <v>349</v>
      </c>
      <c r="K525" s="22" t="s">
        <v>5835</v>
      </c>
      <c r="N525" s="25" t="s">
        <v>6480</v>
      </c>
      <c r="O525" s="25" t="s">
        <v>5835</v>
      </c>
      <c r="R525" s="22" t="s">
        <v>5976</v>
      </c>
    </row>
    <row r="526" spans="3:18" ht="16">
      <c r="C526" s="19" t="s">
        <v>624</v>
      </c>
      <c r="D526" s="20" t="s">
        <v>2561</v>
      </c>
      <c r="E526" s="21" t="s">
        <v>6067</v>
      </c>
      <c r="F526" s="21" t="s">
        <v>17</v>
      </c>
      <c r="G526" s="22" t="s">
        <v>5920</v>
      </c>
      <c r="H526" s="22" t="s">
        <v>5835</v>
      </c>
      <c r="I526" s="22">
        <v>16</v>
      </c>
      <c r="K526" s="22" t="s">
        <v>5835</v>
      </c>
      <c r="N526" s="25" t="s">
        <v>6481</v>
      </c>
      <c r="O526" s="25" t="s">
        <v>5835</v>
      </c>
      <c r="R526" s="22" t="s">
        <v>5920</v>
      </c>
    </row>
    <row r="527" spans="3:18" ht="16">
      <c r="C527" s="19" t="s">
        <v>625</v>
      </c>
      <c r="D527" s="20" t="s">
        <v>2562</v>
      </c>
      <c r="E527" s="21" t="s">
        <v>6285</v>
      </c>
      <c r="F527" s="21" t="s">
        <v>6281</v>
      </c>
      <c r="G527" s="22" t="s">
        <v>5945</v>
      </c>
      <c r="H527" s="22" t="s">
        <v>7828</v>
      </c>
      <c r="I527" s="22">
        <v>138.6</v>
      </c>
      <c r="K527" s="22" t="s">
        <v>5835</v>
      </c>
      <c r="N527" s="25" t="s">
        <v>6482</v>
      </c>
      <c r="O527" s="25" t="s">
        <v>5835</v>
      </c>
      <c r="R527" s="22" t="s">
        <v>5945</v>
      </c>
    </row>
    <row r="528" spans="3:18" ht="16">
      <c r="C528" s="19" t="s">
        <v>626</v>
      </c>
      <c r="D528" s="20" t="s">
        <v>2563</v>
      </c>
      <c r="E528" s="21" t="s">
        <v>6067</v>
      </c>
      <c r="F528" s="21" t="s">
        <v>17</v>
      </c>
      <c r="G528" s="22" t="s">
        <v>5920</v>
      </c>
      <c r="H528" s="22" t="s">
        <v>7828</v>
      </c>
      <c r="I528" s="22">
        <v>539</v>
      </c>
      <c r="K528" s="22" t="s">
        <v>5835</v>
      </c>
      <c r="N528" s="25" t="s">
        <v>6483</v>
      </c>
      <c r="O528" s="25" t="s">
        <v>5835</v>
      </c>
      <c r="R528" s="22" t="s">
        <v>5920</v>
      </c>
    </row>
    <row r="529" spans="3:18" ht="16">
      <c r="C529" s="19" t="s">
        <v>627</v>
      </c>
      <c r="D529" s="20" t="s">
        <v>2564</v>
      </c>
      <c r="E529" s="21" t="s">
        <v>6250</v>
      </c>
      <c r="F529" s="21" t="s">
        <v>6200</v>
      </c>
      <c r="G529" s="22" t="s">
        <v>5879</v>
      </c>
      <c r="H529" s="22" t="s">
        <v>5835</v>
      </c>
      <c r="I529" s="22">
        <v>36.5</v>
      </c>
      <c r="K529" s="22" t="s">
        <v>5835</v>
      </c>
      <c r="N529" s="25" t="s">
        <v>6484</v>
      </c>
      <c r="O529" s="25" t="s">
        <v>5835</v>
      </c>
      <c r="R529" s="22" t="s">
        <v>5879</v>
      </c>
    </row>
    <row r="530" spans="3:18" ht="16">
      <c r="C530" s="19" t="s">
        <v>628</v>
      </c>
      <c r="D530" s="20" t="s">
        <v>2565</v>
      </c>
      <c r="E530" s="21" t="s">
        <v>6209</v>
      </c>
      <c r="F530" s="21" t="s">
        <v>5913</v>
      </c>
      <c r="G530" s="22" t="s">
        <v>5962</v>
      </c>
      <c r="H530" s="22" t="s">
        <v>5835</v>
      </c>
      <c r="I530" s="22">
        <v>27.2</v>
      </c>
      <c r="K530" s="22" t="s">
        <v>5835</v>
      </c>
      <c r="N530" s="25" t="s">
        <v>6485</v>
      </c>
      <c r="O530" s="25" t="s">
        <v>5835</v>
      </c>
      <c r="R530" s="22" t="s">
        <v>5962</v>
      </c>
    </row>
    <row r="531" spans="3:18" ht="16">
      <c r="C531" s="19" t="s">
        <v>629</v>
      </c>
      <c r="D531" s="20" t="s">
        <v>2566</v>
      </c>
      <c r="E531" s="21" t="s">
        <v>6219</v>
      </c>
      <c r="F531" s="21" t="s">
        <v>17</v>
      </c>
      <c r="G531" s="22" t="s">
        <v>5918</v>
      </c>
      <c r="H531" s="22" t="s">
        <v>5835</v>
      </c>
      <c r="I531" s="22">
        <v>128.6</v>
      </c>
      <c r="K531" s="22" t="s">
        <v>5835</v>
      </c>
      <c r="N531" s="25" t="s">
        <v>6486</v>
      </c>
      <c r="O531" s="25" t="s">
        <v>5835</v>
      </c>
      <c r="R531" s="22" t="s">
        <v>5918</v>
      </c>
    </row>
    <row r="532" spans="3:18" ht="16">
      <c r="C532" s="19" t="s">
        <v>630</v>
      </c>
      <c r="D532" s="20" t="s">
        <v>2567</v>
      </c>
      <c r="E532" s="21" t="s">
        <v>6025</v>
      </c>
      <c r="F532" s="21" t="s">
        <v>17</v>
      </c>
      <c r="G532" s="22" t="s">
        <v>5913</v>
      </c>
      <c r="H532" s="22" t="s">
        <v>5835</v>
      </c>
      <c r="I532" s="22">
        <v>35.200000000000003</v>
      </c>
      <c r="K532" s="22" t="s">
        <v>5835</v>
      </c>
      <c r="N532" s="25" t="s">
        <v>6487</v>
      </c>
      <c r="O532" s="25" t="s">
        <v>5835</v>
      </c>
      <c r="R532" s="22" t="s">
        <v>5913</v>
      </c>
    </row>
    <row r="533" spans="3:18" ht="16">
      <c r="C533" s="19" t="s">
        <v>631</v>
      </c>
      <c r="D533" s="20" t="s">
        <v>2568</v>
      </c>
      <c r="E533" s="21" t="s">
        <v>6471</v>
      </c>
      <c r="F533" s="21" t="s">
        <v>6231</v>
      </c>
      <c r="G533" s="22" t="s">
        <v>5933</v>
      </c>
      <c r="H533" s="22" t="s">
        <v>5835</v>
      </c>
      <c r="I533" s="22">
        <v>75.900000000000006</v>
      </c>
      <c r="K533" s="22" t="s">
        <v>5835</v>
      </c>
      <c r="N533" s="25" t="s">
        <v>6488</v>
      </c>
      <c r="O533" s="25" t="s">
        <v>5835</v>
      </c>
      <c r="R533" s="22" t="s">
        <v>5933</v>
      </c>
    </row>
    <row r="534" spans="3:18" ht="16">
      <c r="C534" s="19" t="s">
        <v>632</v>
      </c>
      <c r="D534" s="20" t="s">
        <v>2569</v>
      </c>
      <c r="E534" s="21" t="s">
        <v>6313</v>
      </c>
      <c r="F534" s="21" t="s">
        <v>6314</v>
      </c>
      <c r="G534" s="22" t="s">
        <v>5958</v>
      </c>
      <c r="H534" s="22" t="s">
        <v>7828</v>
      </c>
      <c r="I534" s="22">
        <v>193.7</v>
      </c>
      <c r="K534" s="22" t="s">
        <v>5835</v>
      </c>
      <c r="N534" s="25" t="s">
        <v>6489</v>
      </c>
      <c r="O534" s="25" t="s">
        <v>5835</v>
      </c>
      <c r="R534" s="22" t="s">
        <v>5958</v>
      </c>
    </row>
    <row r="535" spans="3:18" ht="16">
      <c r="C535" s="19" t="s">
        <v>633</v>
      </c>
      <c r="D535" s="20" t="s">
        <v>2570</v>
      </c>
      <c r="E535" s="21" t="s">
        <v>6230</v>
      </c>
      <c r="F535" s="21" t="s">
        <v>6231</v>
      </c>
      <c r="G535" s="22" t="s">
        <v>5935</v>
      </c>
      <c r="H535" s="22" t="s">
        <v>7828</v>
      </c>
      <c r="I535" s="22">
        <v>350.8</v>
      </c>
      <c r="K535" s="22" t="s">
        <v>5835</v>
      </c>
      <c r="N535" s="25" t="s">
        <v>6490</v>
      </c>
      <c r="O535" s="25" t="s">
        <v>5835</v>
      </c>
      <c r="R535" s="22" t="s">
        <v>5935</v>
      </c>
    </row>
    <row r="536" spans="3:18" ht="16">
      <c r="C536" s="19" t="s">
        <v>634</v>
      </c>
      <c r="D536" s="20" t="s">
        <v>2571</v>
      </c>
      <c r="E536" s="21" t="s">
        <v>6199</v>
      </c>
      <c r="F536" s="21" t="s">
        <v>6200</v>
      </c>
      <c r="G536" s="22" t="s">
        <v>5881</v>
      </c>
      <c r="H536" s="22" t="s">
        <v>5835</v>
      </c>
      <c r="I536" s="22">
        <v>30.2</v>
      </c>
      <c r="K536" s="22" t="s">
        <v>5835</v>
      </c>
      <c r="N536" s="25" t="s">
        <v>6491</v>
      </c>
      <c r="O536" s="25" t="s">
        <v>5835</v>
      </c>
      <c r="R536" s="22" t="s">
        <v>5881</v>
      </c>
    </row>
    <row r="537" spans="3:18" ht="16">
      <c r="C537" s="19" t="s">
        <v>635</v>
      </c>
      <c r="D537" s="20" t="s">
        <v>2572</v>
      </c>
      <c r="E537" s="21" t="s">
        <v>6243</v>
      </c>
      <c r="F537" s="21" t="s">
        <v>17</v>
      </c>
      <c r="G537" s="22" t="s">
        <v>5873</v>
      </c>
      <c r="H537" s="22" t="s">
        <v>7828</v>
      </c>
      <c r="I537" s="22">
        <v>100.6</v>
      </c>
      <c r="K537" s="22" t="s">
        <v>5835</v>
      </c>
      <c r="N537" s="25" t="s">
        <v>6492</v>
      </c>
      <c r="O537" s="25" t="s">
        <v>5835</v>
      </c>
      <c r="R537" s="22" t="s">
        <v>5873</v>
      </c>
    </row>
    <row r="538" spans="3:18" ht="16">
      <c r="C538" s="19" t="s">
        <v>636</v>
      </c>
      <c r="D538" s="20" t="s">
        <v>2573</v>
      </c>
      <c r="E538" s="21" t="s">
        <v>6471</v>
      </c>
      <c r="F538" s="21" t="s">
        <v>6231</v>
      </c>
      <c r="G538" s="22" t="s">
        <v>5933</v>
      </c>
      <c r="H538" s="22" t="s">
        <v>7828</v>
      </c>
      <c r="I538" s="22">
        <v>162.19999999999999</v>
      </c>
      <c r="K538" s="22" t="s">
        <v>5835</v>
      </c>
      <c r="N538" s="25" t="s">
        <v>6493</v>
      </c>
      <c r="O538" s="25" t="s">
        <v>5835</v>
      </c>
      <c r="R538" s="22" t="s">
        <v>5933</v>
      </c>
    </row>
    <row r="539" spans="3:18" ht="16">
      <c r="C539" s="19" t="s">
        <v>637</v>
      </c>
      <c r="D539" s="20" t="s">
        <v>2574</v>
      </c>
      <c r="E539" s="21" t="s">
        <v>6257</v>
      </c>
      <c r="F539" s="21" t="s">
        <v>10</v>
      </c>
      <c r="G539" s="22" t="s">
        <v>5937</v>
      </c>
      <c r="H539" s="22" t="s">
        <v>7828</v>
      </c>
      <c r="I539" s="22">
        <v>3018.2</v>
      </c>
      <c r="K539" s="22" t="s">
        <v>5832</v>
      </c>
      <c r="N539" s="25" t="s">
        <v>6494</v>
      </c>
      <c r="O539" s="25" t="s">
        <v>5835</v>
      </c>
      <c r="R539" s="22" t="s">
        <v>5937</v>
      </c>
    </row>
    <row r="540" spans="3:18" ht="16">
      <c r="C540" s="19" t="s">
        <v>638</v>
      </c>
      <c r="D540" s="20" t="s">
        <v>2575</v>
      </c>
      <c r="E540" s="21" t="s">
        <v>6257</v>
      </c>
      <c r="F540" s="21" t="s">
        <v>10</v>
      </c>
      <c r="G540" s="22" t="s">
        <v>5981</v>
      </c>
      <c r="H540" s="22" t="s">
        <v>7828</v>
      </c>
      <c r="I540" s="22">
        <v>461.3</v>
      </c>
      <c r="K540" s="22" t="s">
        <v>5835</v>
      </c>
      <c r="N540" s="25" t="s">
        <v>6495</v>
      </c>
      <c r="O540" s="25" t="s">
        <v>5835</v>
      </c>
      <c r="R540" s="22" t="s">
        <v>5981</v>
      </c>
    </row>
    <row r="541" spans="3:18" ht="16">
      <c r="C541" s="19" t="s">
        <v>639</v>
      </c>
      <c r="D541" s="20" t="s">
        <v>2576</v>
      </c>
      <c r="E541" s="21" t="s">
        <v>6471</v>
      </c>
      <c r="F541" s="21" t="s">
        <v>6231</v>
      </c>
      <c r="G541" s="22" t="s">
        <v>5933</v>
      </c>
      <c r="H541" s="22" t="s">
        <v>7828</v>
      </c>
      <c r="I541" s="22">
        <v>1671.6</v>
      </c>
      <c r="K541" s="22" t="s">
        <v>5835</v>
      </c>
      <c r="N541" s="25" t="s">
        <v>6493</v>
      </c>
      <c r="O541" s="25" t="s">
        <v>5835</v>
      </c>
      <c r="R541" s="22" t="s">
        <v>5933</v>
      </c>
    </row>
    <row r="542" spans="3:18" ht="16">
      <c r="C542" s="19" t="s">
        <v>640</v>
      </c>
      <c r="D542" s="20" t="s">
        <v>2577</v>
      </c>
      <c r="E542" s="21" t="s">
        <v>6208</v>
      </c>
      <c r="F542" s="21" t="s">
        <v>17</v>
      </c>
      <c r="G542" s="22" t="s">
        <v>5983</v>
      </c>
      <c r="H542" s="22" t="s">
        <v>7828</v>
      </c>
      <c r="I542" s="22">
        <v>1919.8</v>
      </c>
      <c r="K542" s="22" t="s">
        <v>5832</v>
      </c>
      <c r="N542" s="25" t="s">
        <v>6496</v>
      </c>
      <c r="O542" s="25" t="s">
        <v>5835</v>
      </c>
      <c r="R542" s="22" t="s">
        <v>5983</v>
      </c>
    </row>
    <row r="543" spans="3:18" ht="16">
      <c r="C543" s="19" t="s">
        <v>641</v>
      </c>
      <c r="D543" s="20" t="s">
        <v>2578</v>
      </c>
      <c r="E543" s="21" t="s">
        <v>6497</v>
      </c>
      <c r="F543" s="21" t="s">
        <v>6200</v>
      </c>
      <c r="G543" s="22" t="s">
        <v>5985</v>
      </c>
      <c r="H543" s="22" t="s">
        <v>5835</v>
      </c>
      <c r="I543" s="22">
        <v>34.700000000000003</v>
      </c>
      <c r="K543" s="22" t="s">
        <v>5835</v>
      </c>
      <c r="N543" s="25" t="s">
        <v>6498</v>
      </c>
      <c r="O543" s="25" t="s">
        <v>5835</v>
      </c>
      <c r="R543" s="22" t="s">
        <v>5985</v>
      </c>
    </row>
    <row r="544" spans="3:18" ht="16">
      <c r="C544" s="19" t="s">
        <v>642</v>
      </c>
      <c r="D544" s="20" t="s">
        <v>2579</v>
      </c>
      <c r="E544" s="21" t="s">
        <v>6079</v>
      </c>
      <c r="F544" s="21" t="s">
        <v>6080</v>
      </c>
      <c r="G544" s="22" t="s">
        <v>7825</v>
      </c>
      <c r="H544" s="22" t="s">
        <v>5835</v>
      </c>
      <c r="I544" s="22">
        <v>40.299999999999997</v>
      </c>
      <c r="K544" s="22" t="s">
        <v>5835</v>
      </c>
      <c r="N544" s="25" t="s">
        <v>6499</v>
      </c>
      <c r="O544" s="25" t="s">
        <v>5835</v>
      </c>
      <c r="R544" s="22" t="s">
        <v>6202</v>
      </c>
    </row>
    <row r="545" spans="3:18" ht="16">
      <c r="C545" s="19" t="s">
        <v>643</v>
      </c>
      <c r="D545" s="20" t="s">
        <v>2580</v>
      </c>
      <c r="E545" s="21" t="s">
        <v>6257</v>
      </c>
      <c r="F545" s="21" t="s">
        <v>10</v>
      </c>
      <c r="G545" s="22" t="s">
        <v>5941</v>
      </c>
      <c r="H545" s="22" t="s">
        <v>5835</v>
      </c>
      <c r="I545" s="22">
        <v>35.4</v>
      </c>
      <c r="K545" s="22" t="s">
        <v>5835</v>
      </c>
      <c r="N545" s="25" t="s">
        <v>6500</v>
      </c>
      <c r="O545" s="25" t="s">
        <v>5835</v>
      </c>
      <c r="R545" s="22" t="s">
        <v>5941</v>
      </c>
    </row>
    <row r="546" spans="3:18" ht="16">
      <c r="C546" s="19" t="s">
        <v>644</v>
      </c>
      <c r="D546" s="20" t="s">
        <v>2581</v>
      </c>
      <c r="E546" s="21" t="s">
        <v>6219</v>
      </c>
      <c r="F546" s="21" t="s">
        <v>17</v>
      </c>
      <c r="G546" s="22" t="s">
        <v>5918</v>
      </c>
      <c r="H546" s="22" t="s">
        <v>7828</v>
      </c>
      <c r="I546" s="22">
        <v>288.8</v>
      </c>
      <c r="K546" s="22" t="s">
        <v>5835</v>
      </c>
      <c r="N546" s="25" t="s">
        <v>6501</v>
      </c>
      <c r="O546" s="25" t="s">
        <v>5835</v>
      </c>
      <c r="R546" s="22" t="s">
        <v>5918</v>
      </c>
    </row>
    <row r="547" spans="3:18" ht="16">
      <c r="C547" s="19" t="s">
        <v>645</v>
      </c>
      <c r="D547" s="20" t="s">
        <v>2582</v>
      </c>
      <c r="E547" s="21" t="s">
        <v>6319</v>
      </c>
      <c r="F547" s="21" t="s">
        <v>17</v>
      </c>
      <c r="G547" s="22" t="s">
        <v>5855</v>
      </c>
      <c r="H547" s="22" t="s">
        <v>5835</v>
      </c>
      <c r="I547" s="22">
        <v>8.5</v>
      </c>
      <c r="K547" s="22" t="s">
        <v>5835</v>
      </c>
      <c r="N547" s="25" t="s">
        <v>6502</v>
      </c>
      <c r="O547" s="25" t="s">
        <v>5835</v>
      </c>
      <c r="R547" s="22" t="s">
        <v>5855</v>
      </c>
    </row>
    <row r="548" spans="3:18" ht="16">
      <c r="C548" s="19" t="s">
        <v>646</v>
      </c>
      <c r="D548" s="20" t="s">
        <v>2583</v>
      </c>
      <c r="E548" s="21" t="s">
        <v>6208</v>
      </c>
      <c r="F548" s="21" t="s">
        <v>17</v>
      </c>
      <c r="G548" s="22" t="s">
        <v>5911</v>
      </c>
      <c r="H548" s="22" t="s">
        <v>7828</v>
      </c>
      <c r="I548" s="22">
        <v>1269.3</v>
      </c>
      <c r="K548" s="22" t="s">
        <v>5835</v>
      </c>
      <c r="N548" s="25" t="s">
        <v>5911</v>
      </c>
      <c r="O548" s="25" t="s">
        <v>5835</v>
      </c>
      <c r="R548" s="22" t="s">
        <v>5911</v>
      </c>
    </row>
    <row r="549" spans="3:18" ht="16">
      <c r="C549" s="19" t="s">
        <v>647</v>
      </c>
      <c r="D549" s="20" t="s">
        <v>2584</v>
      </c>
      <c r="E549" s="21" t="s">
        <v>6299</v>
      </c>
      <c r="F549" s="21" t="s">
        <v>5913</v>
      </c>
      <c r="G549" s="22" t="s">
        <v>5952</v>
      </c>
      <c r="H549" s="22" t="s">
        <v>7828</v>
      </c>
      <c r="I549" s="22">
        <v>3983.9</v>
      </c>
      <c r="K549" s="22" t="s">
        <v>5832</v>
      </c>
      <c r="N549" s="25" t="s">
        <v>6300</v>
      </c>
      <c r="O549" s="25" t="s">
        <v>5835</v>
      </c>
      <c r="R549" s="22" t="s">
        <v>5952</v>
      </c>
    </row>
    <row r="550" spans="3:18" ht="16">
      <c r="C550" s="19" t="s">
        <v>648</v>
      </c>
      <c r="D550" s="20" t="s">
        <v>2585</v>
      </c>
      <c r="E550" s="21" t="s">
        <v>6224</v>
      </c>
      <c r="F550" s="21" t="s">
        <v>17</v>
      </c>
      <c r="G550" s="22" t="s">
        <v>5924</v>
      </c>
      <c r="H550" s="22" t="s">
        <v>5835</v>
      </c>
      <c r="I550" s="22">
        <v>35</v>
      </c>
      <c r="K550" s="22" t="s">
        <v>5835</v>
      </c>
      <c r="N550" s="25" t="s">
        <v>6503</v>
      </c>
      <c r="O550" s="25" t="s">
        <v>5835</v>
      </c>
      <c r="R550" s="22" t="s">
        <v>5924</v>
      </c>
    </row>
    <row r="551" spans="3:18" ht="16">
      <c r="C551" s="19" t="s">
        <v>649</v>
      </c>
      <c r="D551" s="20" t="s">
        <v>2586</v>
      </c>
      <c r="E551" s="21" t="s">
        <v>6226</v>
      </c>
      <c r="F551" s="21" t="s">
        <v>5913</v>
      </c>
      <c r="G551" s="22" t="s">
        <v>5913</v>
      </c>
      <c r="H551" s="22" t="s">
        <v>5835</v>
      </c>
      <c r="I551" s="22">
        <v>40.299999999999997</v>
      </c>
      <c r="K551" s="22" t="s">
        <v>5835</v>
      </c>
      <c r="N551" s="25" t="s">
        <v>6504</v>
      </c>
      <c r="O551" s="25" t="s">
        <v>5835</v>
      </c>
      <c r="R551" s="22" t="s">
        <v>5913</v>
      </c>
    </row>
    <row r="552" spans="3:18" ht="16">
      <c r="C552" s="19" t="s">
        <v>650</v>
      </c>
      <c r="D552" s="20" t="s">
        <v>2587</v>
      </c>
      <c r="E552" s="21" t="s">
        <v>6471</v>
      </c>
      <c r="F552" s="21" t="s">
        <v>6231</v>
      </c>
      <c r="G552" s="22" t="s">
        <v>5933</v>
      </c>
      <c r="H552" s="22" t="s">
        <v>7828</v>
      </c>
      <c r="I552" s="22">
        <v>69.099999999999994</v>
      </c>
      <c r="K552" s="22" t="s">
        <v>5835</v>
      </c>
      <c r="N552" s="25" t="s">
        <v>6493</v>
      </c>
      <c r="O552" s="25" t="s">
        <v>5835</v>
      </c>
      <c r="R552" s="22" t="s">
        <v>5933</v>
      </c>
    </row>
    <row r="553" spans="3:18" ht="16">
      <c r="C553" s="19" t="s">
        <v>651</v>
      </c>
      <c r="D553" s="20" t="s">
        <v>2588</v>
      </c>
      <c r="E553" s="21" t="s">
        <v>6505</v>
      </c>
      <c r="F553" s="21" t="s">
        <v>6200</v>
      </c>
      <c r="G553" s="22" t="s">
        <v>5985</v>
      </c>
      <c r="H553" s="22" t="s">
        <v>5835</v>
      </c>
      <c r="I553" s="22">
        <v>47.8</v>
      </c>
      <c r="K553" s="22" t="s">
        <v>5835</v>
      </c>
      <c r="N553" s="25" t="s">
        <v>6506</v>
      </c>
      <c r="O553" s="25" t="s">
        <v>5835</v>
      </c>
      <c r="R553" s="22" t="s">
        <v>5985</v>
      </c>
    </row>
    <row r="554" spans="3:18" ht="16">
      <c r="C554" s="19" t="s">
        <v>652</v>
      </c>
      <c r="D554" s="20" t="s">
        <v>2589</v>
      </c>
      <c r="E554" s="21" t="s">
        <v>6214</v>
      </c>
      <c r="F554" s="21" t="s">
        <v>6080</v>
      </c>
      <c r="G554" s="22" t="s">
        <v>5915</v>
      </c>
      <c r="H554" s="22" t="s">
        <v>5835</v>
      </c>
      <c r="I554" s="22">
        <v>19.899999999999999</v>
      </c>
      <c r="K554" s="22" t="s">
        <v>5835</v>
      </c>
      <c r="N554" s="25" t="s">
        <v>6507</v>
      </c>
      <c r="O554" s="25" t="s">
        <v>5835</v>
      </c>
      <c r="R554" s="22" t="s">
        <v>5915</v>
      </c>
    </row>
    <row r="555" spans="3:18" ht="16">
      <c r="C555" s="19" t="s">
        <v>653</v>
      </c>
      <c r="D555" s="20" t="s">
        <v>2590</v>
      </c>
      <c r="E555" s="21" t="s">
        <v>6505</v>
      </c>
      <c r="F555" s="21" t="s">
        <v>6200</v>
      </c>
      <c r="G555" s="22" t="s">
        <v>5985</v>
      </c>
      <c r="H555" s="22" t="s">
        <v>5835</v>
      </c>
      <c r="I555" s="22">
        <v>40.1</v>
      </c>
      <c r="K555" s="22" t="s">
        <v>5835</v>
      </c>
      <c r="N555" s="25" t="s">
        <v>6508</v>
      </c>
      <c r="O555" s="25" t="s">
        <v>5835</v>
      </c>
      <c r="R555" s="22" t="s">
        <v>5985</v>
      </c>
    </row>
    <row r="556" spans="3:18" ht="16">
      <c r="C556" s="19" t="s">
        <v>654</v>
      </c>
      <c r="D556" s="20" t="s">
        <v>2591</v>
      </c>
      <c r="E556" s="21" t="s">
        <v>5923</v>
      </c>
      <c r="F556" s="21" t="s">
        <v>5831</v>
      </c>
      <c r="G556" s="22" t="s">
        <v>5840</v>
      </c>
      <c r="H556" s="22" t="s">
        <v>5835</v>
      </c>
      <c r="I556" s="22">
        <v>33.5</v>
      </c>
      <c r="K556" s="22" t="s">
        <v>5835</v>
      </c>
      <c r="N556" s="25" t="s">
        <v>6509</v>
      </c>
      <c r="O556" s="25" t="s">
        <v>5835</v>
      </c>
      <c r="R556" s="22" t="s">
        <v>5840</v>
      </c>
    </row>
    <row r="557" spans="3:18" ht="16">
      <c r="C557" s="19" t="s">
        <v>655</v>
      </c>
      <c r="D557" s="20" t="s">
        <v>2592</v>
      </c>
      <c r="E557" s="21" t="s">
        <v>5851</v>
      </c>
      <c r="F557" s="21" t="s">
        <v>6080</v>
      </c>
      <c r="G557" s="22" t="s">
        <v>5915</v>
      </c>
      <c r="H557" s="22" t="s">
        <v>5835</v>
      </c>
      <c r="I557" s="22">
        <v>18.3</v>
      </c>
      <c r="K557" s="22" t="s">
        <v>5835</v>
      </c>
      <c r="N557" s="25" t="s">
        <v>6510</v>
      </c>
      <c r="O557" s="25" t="s">
        <v>5835</v>
      </c>
      <c r="R557" s="22" t="s">
        <v>5915</v>
      </c>
    </row>
    <row r="558" spans="3:18" ht="16">
      <c r="C558" s="19" t="s">
        <v>656</v>
      </c>
      <c r="D558" s="20" t="s">
        <v>2593</v>
      </c>
      <c r="E558" s="21" t="s">
        <v>6254</v>
      </c>
      <c r="F558" s="21" t="s">
        <v>8</v>
      </c>
      <c r="G558" s="22" t="s">
        <v>12</v>
      </c>
      <c r="H558" s="22" t="s">
        <v>5835</v>
      </c>
      <c r="I558" s="22">
        <v>75.400000000000006</v>
      </c>
      <c r="K558" s="22" t="s">
        <v>5835</v>
      </c>
      <c r="N558" s="25" t="s">
        <v>6511</v>
      </c>
      <c r="O558" s="25" t="s">
        <v>5835</v>
      </c>
      <c r="R558" s="22" t="s">
        <v>12</v>
      </c>
    </row>
    <row r="559" spans="3:18" ht="16">
      <c r="C559" s="19" t="s">
        <v>657</v>
      </c>
      <c r="D559" s="20" t="s">
        <v>2594</v>
      </c>
      <c r="E559" s="21" t="s">
        <v>5923</v>
      </c>
      <c r="F559" s="21" t="s">
        <v>5831</v>
      </c>
      <c r="G559" s="22" t="s">
        <v>5840</v>
      </c>
      <c r="H559" s="22" t="s">
        <v>5835</v>
      </c>
      <c r="I559" s="22">
        <v>119.8</v>
      </c>
      <c r="K559" s="22" t="s">
        <v>5835</v>
      </c>
      <c r="N559" s="25" t="s">
        <v>6512</v>
      </c>
      <c r="O559" s="25" t="s">
        <v>5835</v>
      </c>
      <c r="R559" s="22" t="s">
        <v>5840</v>
      </c>
    </row>
    <row r="560" spans="3:18" ht="16">
      <c r="C560" s="19" t="s">
        <v>658</v>
      </c>
      <c r="D560" s="20" t="s">
        <v>2595</v>
      </c>
      <c r="E560" s="21" t="s">
        <v>6166</v>
      </c>
      <c r="F560" s="21" t="s">
        <v>6080</v>
      </c>
      <c r="G560" s="22" t="s">
        <v>5915</v>
      </c>
      <c r="H560" s="22" t="s">
        <v>5835</v>
      </c>
      <c r="I560" s="22">
        <v>9.3000000000000007</v>
      </c>
      <c r="K560" s="22" t="s">
        <v>5835</v>
      </c>
      <c r="N560" s="25" t="s">
        <v>6513</v>
      </c>
      <c r="O560" s="25" t="s">
        <v>5835</v>
      </c>
      <c r="R560" s="22" t="s">
        <v>5915</v>
      </c>
    </row>
    <row r="561" spans="3:18" ht="16">
      <c r="C561" s="19" t="s">
        <v>659</v>
      </c>
      <c r="D561" s="20" t="s">
        <v>2596</v>
      </c>
      <c r="E561" s="21" t="s">
        <v>6319</v>
      </c>
      <c r="F561" s="21" t="s">
        <v>17</v>
      </c>
      <c r="G561" s="22" t="s">
        <v>5855</v>
      </c>
      <c r="H561" s="22" t="s">
        <v>5835</v>
      </c>
      <c r="I561" s="22">
        <v>18.8</v>
      </c>
      <c r="K561" s="22" t="s">
        <v>5835</v>
      </c>
      <c r="N561" s="25" t="s">
        <v>6514</v>
      </c>
      <c r="O561" s="25" t="s">
        <v>5835</v>
      </c>
      <c r="R561" s="22" t="s">
        <v>5855</v>
      </c>
    </row>
    <row r="562" spans="3:18" ht="16">
      <c r="C562" s="19" t="s">
        <v>660</v>
      </c>
      <c r="D562" s="20" t="s">
        <v>2597</v>
      </c>
      <c r="E562" s="21" t="s">
        <v>6266</v>
      </c>
      <c r="F562" s="21" t="s">
        <v>6080</v>
      </c>
      <c r="G562" s="22" t="s">
        <v>5906</v>
      </c>
      <c r="H562" s="22" t="s">
        <v>7828</v>
      </c>
      <c r="I562" s="22">
        <v>119.2</v>
      </c>
      <c r="K562" s="22" t="s">
        <v>5835</v>
      </c>
      <c r="N562" s="25" t="s">
        <v>6515</v>
      </c>
      <c r="O562" s="25" t="s">
        <v>5835</v>
      </c>
      <c r="R562" s="22" t="s">
        <v>5906</v>
      </c>
    </row>
    <row r="563" spans="3:18" ht="16">
      <c r="C563" s="19" t="s">
        <v>661</v>
      </c>
      <c r="D563" s="20" t="s">
        <v>2598</v>
      </c>
      <c r="E563" s="21" t="s">
        <v>6166</v>
      </c>
      <c r="F563" s="21" t="s">
        <v>6080</v>
      </c>
      <c r="G563" s="22" t="s">
        <v>5915</v>
      </c>
      <c r="H563" s="22" t="s">
        <v>5835</v>
      </c>
      <c r="I563" s="22">
        <v>27.9</v>
      </c>
      <c r="K563" s="22" t="s">
        <v>5835</v>
      </c>
      <c r="N563" s="25" t="s">
        <v>6516</v>
      </c>
      <c r="O563" s="25" t="s">
        <v>5835</v>
      </c>
      <c r="R563" s="22" t="s">
        <v>5915</v>
      </c>
    </row>
    <row r="564" spans="3:18" ht="16">
      <c r="C564" s="19" t="s">
        <v>662</v>
      </c>
      <c r="D564" s="20" t="s">
        <v>2599</v>
      </c>
      <c r="E564" s="21" t="s">
        <v>6226</v>
      </c>
      <c r="F564" s="21" t="s">
        <v>5913</v>
      </c>
      <c r="G564" s="22" t="s">
        <v>5913</v>
      </c>
      <c r="H564" s="22" t="s">
        <v>5835</v>
      </c>
      <c r="I564" s="22">
        <v>84.2</v>
      </c>
      <c r="K564" s="22" t="s">
        <v>5835</v>
      </c>
      <c r="N564" s="25" t="s">
        <v>6517</v>
      </c>
      <c r="O564" s="25" t="s">
        <v>5835</v>
      </c>
      <c r="R564" s="22" t="s">
        <v>5913</v>
      </c>
    </row>
    <row r="565" spans="3:18" ht="16">
      <c r="C565" s="19" t="s">
        <v>674</v>
      </c>
      <c r="D565" s="20" t="s">
        <v>2611</v>
      </c>
      <c r="E565" s="21" t="s">
        <v>6219</v>
      </c>
      <c r="F565" s="21" t="s">
        <v>17</v>
      </c>
      <c r="G565" s="22" t="s">
        <v>5918</v>
      </c>
      <c r="H565" s="22" t="s">
        <v>5835</v>
      </c>
      <c r="I565" s="22">
        <v>151.4</v>
      </c>
      <c r="K565" s="22" t="s">
        <v>5835</v>
      </c>
      <c r="N565" s="25" t="s">
        <v>6518</v>
      </c>
      <c r="O565" s="25" t="s">
        <v>5835</v>
      </c>
      <c r="R565" s="22" t="s">
        <v>5918</v>
      </c>
    </row>
    <row r="566" spans="3:18" ht="16">
      <c r="C566" s="19" t="s">
        <v>675</v>
      </c>
      <c r="D566" s="20" t="s">
        <v>2612</v>
      </c>
      <c r="E566" s="21" t="s">
        <v>6067</v>
      </c>
      <c r="F566" s="21" t="s">
        <v>17</v>
      </c>
      <c r="G566" s="22" t="s">
        <v>5920</v>
      </c>
      <c r="H566" s="22" t="s">
        <v>5835</v>
      </c>
      <c r="I566" s="22">
        <v>18.7</v>
      </c>
      <c r="K566" s="22" t="s">
        <v>5835</v>
      </c>
      <c r="N566" s="25" t="s">
        <v>6519</v>
      </c>
      <c r="O566" s="25" t="s">
        <v>5835</v>
      </c>
      <c r="R566" s="22" t="s">
        <v>5920</v>
      </c>
    </row>
    <row r="567" spans="3:18" ht="16">
      <c r="C567" s="19" t="s">
        <v>677</v>
      </c>
      <c r="D567" s="20" t="s">
        <v>2614</v>
      </c>
      <c r="E567" s="21" t="s">
        <v>6257</v>
      </c>
      <c r="F567" s="21" t="s">
        <v>10</v>
      </c>
      <c r="G567" s="22" t="s">
        <v>5941</v>
      </c>
      <c r="H567" s="22" t="s">
        <v>5835</v>
      </c>
      <c r="I567" s="22">
        <v>20.100000000000001</v>
      </c>
      <c r="K567" s="22" t="s">
        <v>5835</v>
      </c>
      <c r="N567" s="25" t="s">
        <v>6520</v>
      </c>
      <c r="O567" s="25" t="s">
        <v>5835</v>
      </c>
      <c r="R567" s="22" t="s">
        <v>5941</v>
      </c>
    </row>
    <row r="568" spans="3:18" ht="16">
      <c r="C568" s="19" t="s">
        <v>685</v>
      </c>
      <c r="D568" s="20" t="s">
        <v>2622</v>
      </c>
      <c r="E568" s="21" t="s">
        <v>6521</v>
      </c>
      <c r="F568" s="21" t="s">
        <v>6314</v>
      </c>
      <c r="G568" s="22" t="s">
        <v>5958</v>
      </c>
      <c r="H568" s="22" t="s">
        <v>7828</v>
      </c>
      <c r="I568" s="22">
        <v>72.7</v>
      </c>
      <c r="K568" s="22" t="s">
        <v>5835</v>
      </c>
      <c r="N568" s="25" t="s">
        <v>6522</v>
      </c>
      <c r="O568" s="25" t="s">
        <v>5835</v>
      </c>
      <c r="R568" s="22" t="s">
        <v>5958</v>
      </c>
    </row>
    <row r="569" spans="3:18" ht="16">
      <c r="C569" s="19" t="s">
        <v>688</v>
      </c>
      <c r="D569" s="20" t="s">
        <v>2625</v>
      </c>
      <c r="E569" s="21" t="s">
        <v>6209</v>
      </c>
      <c r="F569" s="21" t="s">
        <v>5913</v>
      </c>
      <c r="G569" s="22" t="s">
        <v>5918</v>
      </c>
      <c r="H569" s="22" t="s">
        <v>5835</v>
      </c>
      <c r="I569" s="22">
        <v>43.6</v>
      </c>
      <c r="K569" s="22" t="s">
        <v>5835</v>
      </c>
      <c r="N569" s="25" t="s">
        <v>6523</v>
      </c>
      <c r="O569" s="25" t="s">
        <v>5835</v>
      </c>
      <c r="R569" s="22" t="s">
        <v>5918</v>
      </c>
    </row>
    <row r="570" spans="3:18" ht="16">
      <c r="C570" s="19" t="s">
        <v>691</v>
      </c>
      <c r="D570" s="20" t="s">
        <v>2628</v>
      </c>
      <c r="E570" s="21" t="s">
        <v>6497</v>
      </c>
      <c r="F570" s="21" t="s">
        <v>6200</v>
      </c>
      <c r="G570" s="22" t="s">
        <v>5960</v>
      </c>
      <c r="H570" s="22" t="s">
        <v>5835</v>
      </c>
      <c r="I570" s="22">
        <v>68.5</v>
      </c>
      <c r="K570" s="22" t="s">
        <v>5835</v>
      </c>
      <c r="N570" s="25" t="s">
        <v>6524</v>
      </c>
      <c r="O570" s="25" t="s">
        <v>5835</v>
      </c>
      <c r="R570" s="22" t="s">
        <v>5960</v>
      </c>
    </row>
    <row r="571" spans="3:18" ht="16">
      <c r="C571" s="19" t="s">
        <v>697</v>
      </c>
      <c r="D571" s="20" t="s">
        <v>2633</v>
      </c>
      <c r="E571" s="21" t="s">
        <v>6074</v>
      </c>
      <c r="F571" s="21" t="s">
        <v>6075</v>
      </c>
      <c r="G571" s="22" t="s">
        <v>5884</v>
      </c>
      <c r="H571" s="22" t="s">
        <v>5835</v>
      </c>
      <c r="I571" s="22">
        <v>17.7</v>
      </c>
      <c r="K571" s="22" t="s">
        <v>5835</v>
      </c>
      <c r="N571" s="25" t="s">
        <v>6525</v>
      </c>
      <c r="O571" s="25" t="s">
        <v>5835</v>
      </c>
      <c r="R571" s="22" t="s">
        <v>5884</v>
      </c>
    </row>
    <row r="572" spans="3:18" ht="16">
      <c r="C572" s="19" t="s">
        <v>698</v>
      </c>
      <c r="D572" s="20" t="s">
        <v>2634</v>
      </c>
      <c r="E572" s="21" t="s">
        <v>6033</v>
      </c>
      <c r="F572" s="21" t="s">
        <v>5969</v>
      </c>
      <c r="G572" s="22" t="s">
        <v>5935</v>
      </c>
      <c r="H572" s="22" t="s">
        <v>7828</v>
      </c>
      <c r="I572" s="22">
        <v>124.1</v>
      </c>
      <c r="K572" s="22" t="s">
        <v>5835</v>
      </c>
      <c r="N572" s="25" t="s">
        <v>6526</v>
      </c>
      <c r="O572" s="25" t="s">
        <v>5835</v>
      </c>
      <c r="R572" s="22" t="s">
        <v>5935</v>
      </c>
    </row>
    <row r="573" spans="3:18" ht="16">
      <c r="C573" s="19" t="s">
        <v>699</v>
      </c>
      <c r="D573" s="20" t="s">
        <v>2635</v>
      </c>
      <c r="E573" s="21" t="s">
        <v>6250</v>
      </c>
      <c r="F573" s="21" t="s">
        <v>5835</v>
      </c>
      <c r="G573" s="22" t="s">
        <v>7825</v>
      </c>
      <c r="H573" s="22" t="s">
        <v>5835</v>
      </c>
      <c r="I573" s="22">
        <v>35.700000000000003</v>
      </c>
      <c r="K573" s="22" t="s">
        <v>5835</v>
      </c>
      <c r="N573" s="25" t="s">
        <v>5835</v>
      </c>
      <c r="O573" s="25" t="s">
        <v>5835</v>
      </c>
      <c r="R573" s="22" t="s">
        <v>6202</v>
      </c>
    </row>
    <row r="574" spans="3:18" ht="16">
      <c r="C574" s="19" t="s">
        <v>705</v>
      </c>
      <c r="D574" s="20" t="s">
        <v>2640</v>
      </c>
      <c r="E574" s="21" t="s">
        <v>6208</v>
      </c>
      <c r="F574" s="21" t="s">
        <v>17</v>
      </c>
      <c r="G574" s="22" t="s">
        <v>5983</v>
      </c>
      <c r="H574" s="22" t="s">
        <v>7828</v>
      </c>
      <c r="I574" s="22">
        <v>412.8</v>
      </c>
      <c r="K574" s="22" t="s">
        <v>5835</v>
      </c>
      <c r="N574" s="25" t="s">
        <v>5983</v>
      </c>
      <c r="O574" s="25" t="s">
        <v>5835</v>
      </c>
      <c r="R574" s="22" t="s">
        <v>5983</v>
      </c>
    </row>
    <row r="575" spans="3:18" ht="16">
      <c r="C575" s="19" t="s">
        <v>710</v>
      </c>
      <c r="D575" s="20" t="s">
        <v>2645</v>
      </c>
      <c r="E575" s="21" t="s">
        <v>6471</v>
      </c>
      <c r="F575" s="21" t="s">
        <v>6231</v>
      </c>
      <c r="G575" s="22" t="s">
        <v>5933</v>
      </c>
      <c r="H575" s="22" t="s">
        <v>5835</v>
      </c>
      <c r="I575" s="22">
        <v>86.6</v>
      </c>
      <c r="K575" s="22" t="s">
        <v>5835</v>
      </c>
      <c r="N575" s="25" t="s">
        <v>6527</v>
      </c>
      <c r="O575" s="25" t="s">
        <v>5835</v>
      </c>
      <c r="R575" s="22" t="s">
        <v>5933</v>
      </c>
    </row>
    <row r="576" spans="3:18" ht="16">
      <c r="C576" s="19" t="s">
        <v>721</v>
      </c>
      <c r="D576" s="20" t="s">
        <v>2655</v>
      </c>
      <c r="E576" s="21" t="s">
        <v>6208</v>
      </c>
      <c r="F576" s="21" t="s">
        <v>17</v>
      </c>
      <c r="G576" s="22" t="s">
        <v>5911</v>
      </c>
      <c r="H576" s="22" t="s">
        <v>5835</v>
      </c>
      <c r="I576" s="22">
        <v>9.5</v>
      </c>
      <c r="K576" s="22" t="s">
        <v>5835</v>
      </c>
      <c r="N576" s="25" t="s">
        <v>6528</v>
      </c>
      <c r="O576" s="25" t="s">
        <v>5835</v>
      </c>
      <c r="R576" s="22" t="s">
        <v>5911</v>
      </c>
    </row>
    <row r="577" spans="3:18" ht="16">
      <c r="C577" s="19" t="s">
        <v>723</v>
      </c>
      <c r="D577" s="20" t="s">
        <v>2657</v>
      </c>
      <c r="E577" s="21" t="s">
        <v>6216</v>
      </c>
      <c r="F577" s="21" t="s">
        <v>6197</v>
      </c>
      <c r="G577" s="22" t="s">
        <v>5909</v>
      </c>
      <c r="H577" s="22" t="s">
        <v>7828</v>
      </c>
      <c r="I577" s="22">
        <v>3773.3</v>
      </c>
      <c r="K577" s="22" t="s">
        <v>5832</v>
      </c>
      <c r="N577" s="25" t="s">
        <v>6529</v>
      </c>
      <c r="O577" s="25" t="s">
        <v>5835</v>
      </c>
      <c r="R577" s="22" t="s">
        <v>5909</v>
      </c>
    </row>
    <row r="578" spans="3:18" ht="16">
      <c r="C578" s="19" t="s">
        <v>728</v>
      </c>
      <c r="D578" s="20" t="s">
        <v>2662</v>
      </c>
      <c r="E578" s="21" t="s">
        <v>6257</v>
      </c>
      <c r="F578" s="21" t="s">
        <v>10</v>
      </c>
      <c r="G578" s="22" t="s">
        <v>5988</v>
      </c>
      <c r="H578" s="22" t="s">
        <v>5835</v>
      </c>
      <c r="I578" s="22">
        <v>48.9</v>
      </c>
      <c r="K578" s="22" t="s">
        <v>5835</v>
      </c>
      <c r="N578" s="25" t="s">
        <v>6530</v>
      </c>
      <c r="O578" s="25" t="s">
        <v>5835</v>
      </c>
      <c r="R578" s="22" t="s">
        <v>5988</v>
      </c>
    </row>
    <row r="579" spans="3:18" ht="16">
      <c r="C579" s="19" t="s">
        <v>733</v>
      </c>
      <c r="D579" s="20" t="s">
        <v>2667</v>
      </c>
      <c r="E579" s="21" t="s">
        <v>5923</v>
      </c>
      <c r="F579" s="21" t="s">
        <v>5831</v>
      </c>
      <c r="G579" s="22" t="s">
        <v>5840</v>
      </c>
      <c r="H579" s="22" t="s">
        <v>5835</v>
      </c>
      <c r="I579" s="22">
        <v>54.8</v>
      </c>
      <c r="K579" s="22" t="s">
        <v>5835</v>
      </c>
      <c r="N579" s="25" t="s">
        <v>6531</v>
      </c>
      <c r="O579" s="25" t="s">
        <v>5835</v>
      </c>
      <c r="R579" s="22" t="s">
        <v>5840</v>
      </c>
    </row>
    <row r="580" spans="3:18" ht="16">
      <c r="C580" s="19" t="s">
        <v>745</v>
      </c>
      <c r="D580" s="20" t="s">
        <v>2679</v>
      </c>
      <c r="E580" s="21" t="s">
        <v>6319</v>
      </c>
      <c r="F580" s="21" t="s">
        <v>17</v>
      </c>
      <c r="G580" s="22" t="s">
        <v>5855</v>
      </c>
      <c r="H580" s="22" t="s">
        <v>5835</v>
      </c>
      <c r="I580" s="22">
        <v>19</v>
      </c>
      <c r="K580" s="22" t="s">
        <v>5835</v>
      </c>
      <c r="N580" s="25" t="s">
        <v>6532</v>
      </c>
      <c r="O580" s="25" t="s">
        <v>5835</v>
      </c>
      <c r="R580" s="22" t="s">
        <v>5855</v>
      </c>
    </row>
    <row r="581" spans="3:18" ht="16">
      <c r="C581" s="19" t="s">
        <v>748</v>
      </c>
      <c r="D581" s="20" t="s">
        <v>2682</v>
      </c>
      <c r="E581" s="21" t="s">
        <v>6166</v>
      </c>
      <c r="F581" s="21" t="s">
        <v>6080</v>
      </c>
      <c r="G581" s="22" t="s">
        <v>5887</v>
      </c>
      <c r="H581" s="22" t="s">
        <v>5835</v>
      </c>
      <c r="I581" s="22">
        <v>77.3</v>
      </c>
      <c r="K581" s="22" t="s">
        <v>5835</v>
      </c>
      <c r="N581" s="25" t="s">
        <v>6533</v>
      </c>
      <c r="O581" s="25" t="s">
        <v>5835</v>
      </c>
      <c r="R581" s="22" t="s">
        <v>5887</v>
      </c>
    </row>
    <row r="582" spans="3:18" ht="16">
      <c r="C582" s="19" t="s">
        <v>750</v>
      </c>
      <c r="D582" s="20" t="s">
        <v>2684</v>
      </c>
      <c r="E582" s="21" t="s">
        <v>6025</v>
      </c>
      <c r="F582" s="21" t="s">
        <v>17</v>
      </c>
      <c r="G582" s="22" t="s">
        <v>5855</v>
      </c>
      <c r="H582" s="22" t="s">
        <v>5835</v>
      </c>
      <c r="I582" s="22">
        <v>10.7</v>
      </c>
      <c r="K582" s="22" t="s">
        <v>5835</v>
      </c>
      <c r="N582" s="25" t="s">
        <v>6534</v>
      </c>
      <c r="O582" s="25" t="s">
        <v>5835</v>
      </c>
      <c r="R582" s="22" t="s">
        <v>5855</v>
      </c>
    </row>
    <row r="583" spans="3:18" ht="16">
      <c r="C583" s="19" t="s">
        <v>752</v>
      </c>
      <c r="D583" s="20" t="s">
        <v>2686</v>
      </c>
      <c r="E583" s="21" t="s">
        <v>6277</v>
      </c>
      <c r="F583" s="21" t="s">
        <v>17</v>
      </c>
      <c r="G583" s="22" t="s">
        <v>5843</v>
      </c>
      <c r="H583" s="22" t="s">
        <v>5835</v>
      </c>
      <c r="I583" s="22">
        <v>30.3</v>
      </c>
      <c r="K583" s="22" t="s">
        <v>5835</v>
      </c>
      <c r="N583" s="25" t="s">
        <v>6535</v>
      </c>
      <c r="O583" s="25" t="s">
        <v>5835</v>
      </c>
      <c r="R583" s="22" t="s">
        <v>5843</v>
      </c>
    </row>
    <row r="584" spans="3:18" ht="16">
      <c r="C584" s="19" t="s">
        <v>753</v>
      </c>
      <c r="D584" s="20" t="s">
        <v>2687</v>
      </c>
      <c r="E584" s="21" t="s">
        <v>6471</v>
      </c>
      <c r="F584" s="21" t="s">
        <v>6231</v>
      </c>
      <c r="G584" s="22" t="s">
        <v>5933</v>
      </c>
      <c r="H584" s="22" t="s">
        <v>5835</v>
      </c>
      <c r="I584" s="22">
        <v>74.599999999999994</v>
      </c>
      <c r="K584" s="22" t="s">
        <v>5835</v>
      </c>
      <c r="N584" s="25" t="s">
        <v>6536</v>
      </c>
      <c r="O584" s="25" t="s">
        <v>5835</v>
      </c>
      <c r="R584" s="22" t="s">
        <v>5933</v>
      </c>
    </row>
    <row r="585" spans="3:18" ht="16">
      <c r="C585" s="19" t="s">
        <v>756</v>
      </c>
      <c r="D585" s="20" t="s">
        <v>2690</v>
      </c>
      <c r="E585" s="21" t="s">
        <v>6208</v>
      </c>
      <c r="F585" s="21" t="s">
        <v>17</v>
      </c>
      <c r="G585" s="22" t="s">
        <v>5911</v>
      </c>
      <c r="H585" s="22" t="s">
        <v>5835</v>
      </c>
      <c r="I585" s="22">
        <v>6.9</v>
      </c>
      <c r="K585" s="22" t="s">
        <v>5835</v>
      </c>
      <c r="N585" s="25" t="s">
        <v>6537</v>
      </c>
      <c r="O585" s="25" t="s">
        <v>5835</v>
      </c>
      <c r="R585" s="22" t="s">
        <v>5911</v>
      </c>
    </row>
    <row r="586" spans="3:18" ht="16">
      <c r="C586" s="19" t="s">
        <v>762</v>
      </c>
      <c r="D586" s="20" t="s">
        <v>2696</v>
      </c>
      <c r="E586" s="21" t="s">
        <v>6067</v>
      </c>
      <c r="F586" s="21" t="s">
        <v>17</v>
      </c>
      <c r="G586" s="22" t="s">
        <v>5902</v>
      </c>
      <c r="H586" s="22" t="s">
        <v>5835</v>
      </c>
      <c r="I586" s="22">
        <v>44.5</v>
      </c>
      <c r="K586" s="22" t="s">
        <v>5835</v>
      </c>
      <c r="N586" s="25" t="s">
        <v>6538</v>
      </c>
      <c r="O586" s="25" t="s">
        <v>5835</v>
      </c>
      <c r="R586" s="22" t="s">
        <v>5902</v>
      </c>
    </row>
    <row r="587" spans="3:18" ht="16">
      <c r="C587" s="19" t="s">
        <v>764</v>
      </c>
      <c r="D587" s="20" t="s">
        <v>2698</v>
      </c>
      <c r="E587" s="21" t="s">
        <v>6033</v>
      </c>
      <c r="F587" s="21" t="s">
        <v>5969</v>
      </c>
      <c r="G587" s="22" t="s">
        <v>5843</v>
      </c>
      <c r="H587" s="22" t="s">
        <v>5835</v>
      </c>
      <c r="I587" s="22">
        <v>28.4</v>
      </c>
      <c r="K587" s="22" t="s">
        <v>5835</v>
      </c>
      <c r="N587" s="25" t="s">
        <v>6539</v>
      </c>
      <c r="O587" s="25" t="s">
        <v>5835</v>
      </c>
      <c r="R587" s="22" t="s">
        <v>5843</v>
      </c>
    </row>
    <row r="588" spans="3:18" ht="16">
      <c r="C588" s="19" t="s">
        <v>767</v>
      </c>
      <c r="D588" s="20" t="s">
        <v>2701</v>
      </c>
      <c r="E588" s="21" t="s">
        <v>6280</v>
      </c>
      <c r="F588" s="21" t="s">
        <v>6281</v>
      </c>
      <c r="G588" s="22" t="s">
        <v>5906</v>
      </c>
      <c r="H588" s="22" t="s">
        <v>5835</v>
      </c>
      <c r="I588" s="22">
        <v>39.200000000000003</v>
      </c>
      <c r="K588" s="22" t="s">
        <v>5835</v>
      </c>
      <c r="N588" s="25" t="s">
        <v>6540</v>
      </c>
      <c r="O588" s="25" t="s">
        <v>5835</v>
      </c>
      <c r="R588" s="22" t="s">
        <v>5906</v>
      </c>
    </row>
    <row r="589" spans="3:18" ht="16">
      <c r="C589" s="19" t="s">
        <v>775</v>
      </c>
      <c r="D589" s="20" t="s">
        <v>2709</v>
      </c>
      <c r="E589" s="21" t="s">
        <v>6277</v>
      </c>
      <c r="F589" s="21" t="s">
        <v>17</v>
      </c>
      <c r="G589" s="22" t="s">
        <v>5873</v>
      </c>
      <c r="H589" s="22" t="s">
        <v>7828</v>
      </c>
      <c r="I589" s="22">
        <v>414.9</v>
      </c>
      <c r="K589" s="22" t="s">
        <v>5835</v>
      </c>
      <c r="N589" s="25" t="s">
        <v>6541</v>
      </c>
      <c r="O589" s="25" t="s">
        <v>5835</v>
      </c>
      <c r="R589" s="22" t="s">
        <v>5873</v>
      </c>
    </row>
    <row r="590" spans="3:18" ht="16">
      <c r="C590" s="19" t="s">
        <v>777</v>
      </c>
      <c r="D590" s="20" t="s">
        <v>2711</v>
      </c>
      <c r="E590" s="21" t="s">
        <v>6226</v>
      </c>
      <c r="F590" s="21" t="s">
        <v>5913</v>
      </c>
      <c r="G590" s="22" t="s">
        <v>5913</v>
      </c>
      <c r="H590" s="22" t="s">
        <v>5835</v>
      </c>
      <c r="I590" s="22">
        <v>149.5</v>
      </c>
      <c r="K590" s="22" t="s">
        <v>5835</v>
      </c>
      <c r="N590" s="25" t="s">
        <v>6542</v>
      </c>
      <c r="O590" s="25" t="s">
        <v>5835</v>
      </c>
      <c r="R590" s="22" t="s">
        <v>5913</v>
      </c>
    </row>
    <row r="591" spans="3:18" ht="16">
      <c r="C591" s="19" t="s">
        <v>781</v>
      </c>
      <c r="D591" s="20" t="s">
        <v>2715</v>
      </c>
      <c r="E591" s="21" t="s">
        <v>6469</v>
      </c>
      <c r="F591" s="21" t="s">
        <v>17</v>
      </c>
      <c r="G591" s="22" t="s">
        <v>5976</v>
      </c>
      <c r="H591" s="22" t="s">
        <v>7828</v>
      </c>
      <c r="I591" s="22">
        <v>473.9</v>
      </c>
      <c r="K591" s="22" t="s">
        <v>5835</v>
      </c>
      <c r="N591" s="25" t="s">
        <v>6543</v>
      </c>
      <c r="O591" s="25" t="s">
        <v>5835</v>
      </c>
      <c r="R591" s="22" t="s">
        <v>5976</v>
      </c>
    </row>
    <row r="592" spans="3:18" ht="16">
      <c r="C592" s="19" t="s">
        <v>782</v>
      </c>
      <c r="D592" s="20" t="s">
        <v>2716</v>
      </c>
      <c r="E592" s="21" t="s">
        <v>6254</v>
      </c>
      <c r="F592" s="21" t="s">
        <v>8</v>
      </c>
      <c r="G592" s="22" t="s">
        <v>12</v>
      </c>
      <c r="H592" s="22" t="s">
        <v>7828</v>
      </c>
      <c r="I592" s="22">
        <v>328.2</v>
      </c>
      <c r="K592" s="22" t="s">
        <v>5835</v>
      </c>
      <c r="N592" s="25" t="s">
        <v>6544</v>
      </c>
      <c r="O592" s="25" t="s">
        <v>5835</v>
      </c>
      <c r="R592" s="22" t="s">
        <v>12</v>
      </c>
    </row>
    <row r="593" spans="3:18" ht="16">
      <c r="C593" s="19" t="s">
        <v>783</v>
      </c>
      <c r="D593" s="20" t="s">
        <v>2717</v>
      </c>
      <c r="E593" s="21" t="s">
        <v>6505</v>
      </c>
      <c r="F593" s="21" t="s">
        <v>6200</v>
      </c>
      <c r="G593" s="22" t="s">
        <v>5945</v>
      </c>
      <c r="H593" s="22" t="s">
        <v>5835</v>
      </c>
      <c r="I593" s="22">
        <v>120.3</v>
      </c>
      <c r="K593" s="22" t="s">
        <v>5835</v>
      </c>
      <c r="N593" s="25" t="s">
        <v>6545</v>
      </c>
      <c r="O593" s="25" t="s">
        <v>5835</v>
      </c>
      <c r="R593" s="22" t="s">
        <v>5945</v>
      </c>
    </row>
    <row r="594" spans="3:18" ht="16">
      <c r="C594" s="19" t="s">
        <v>784</v>
      </c>
      <c r="D594" s="20" t="s">
        <v>2718</v>
      </c>
      <c r="E594" s="21" t="s">
        <v>6226</v>
      </c>
      <c r="F594" s="21" t="s">
        <v>5913</v>
      </c>
      <c r="G594" s="22" t="s">
        <v>5918</v>
      </c>
      <c r="H594" s="22" t="s">
        <v>5835</v>
      </c>
      <c r="I594" s="22">
        <v>15.3</v>
      </c>
      <c r="K594" s="22" t="s">
        <v>5835</v>
      </c>
      <c r="N594" s="25" t="s">
        <v>6546</v>
      </c>
      <c r="O594" s="25" t="s">
        <v>5835</v>
      </c>
      <c r="R594" s="22" t="s">
        <v>5918</v>
      </c>
    </row>
    <row r="595" spans="3:18" ht="16">
      <c r="C595" s="19" t="s">
        <v>787</v>
      </c>
      <c r="D595" s="20" t="s">
        <v>2721</v>
      </c>
      <c r="E595" s="21" t="s">
        <v>6067</v>
      </c>
      <c r="F595" s="21" t="s">
        <v>17</v>
      </c>
      <c r="G595" s="22" t="s">
        <v>5920</v>
      </c>
      <c r="H595" s="22" t="s">
        <v>5835</v>
      </c>
      <c r="I595" s="22">
        <v>6.2</v>
      </c>
      <c r="K595" s="22" t="s">
        <v>5835</v>
      </c>
      <c r="N595" s="25" t="s">
        <v>6547</v>
      </c>
      <c r="O595" s="25" t="s">
        <v>5835</v>
      </c>
      <c r="R595" s="22" t="s">
        <v>5920</v>
      </c>
    </row>
    <row r="596" spans="3:18" ht="16">
      <c r="C596" s="19" t="s">
        <v>789</v>
      </c>
      <c r="D596" s="20" t="s">
        <v>2723</v>
      </c>
      <c r="E596" s="21" t="s">
        <v>6199</v>
      </c>
      <c r="F596" s="21" t="s">
        <v>6200</v>
      </c>
      <c r="G596" s="22" t="s">
        <v>5881</v>
      </c>
      <c r="H596" s="22" t="s">
        <v>5835</v>
      </c>
      <c r="I596" s="22">
        <v>20.100000000000001</v>
      </c>
      <c r="K596" s="22" t="s">
        <v>5835</v>
      </c>
      <c r="N596" s="25" t="s">
        <v>6548</v>
      </c>
      <c r="O596" s="25" t="s">
        <v>5835</v>
      </c>
      <c r="R596" s="22" t="s">
        <v>5881</v>
      </c>
    </row>
    <row r="597" spans="3:18" ht="16">
      <c r="C597" s="19" t="s">
        <v>792</v>
      </c>
      <c r="D597" s="20" t="s">
        <v>2726</v>
      </c>
      <c r="E597" s="21" t="s">
        <v>6257</v>
      </c>
      <c r="F597" s="21" t="s">
        <v>10</v>
      </c>
      <c r="G597" s="22" t="s">
        <v>5981</v>
      </c>
      <c r="H597" s="22" t="s">
        <v>7828</v>
      </c>
      <c r="I597" s="22">
        <v>1654.9</v>
      </c>
      <c r="K597" s="22" t="s">
        <v>5835</v>
      </c>
      <c r="N597" s="25" t="s">
        <v>6549</v>
      </c>
      <c r="O597" s="25" t="s">
        <v>5835</v>
      </c>
      <c r="R597" s="22" t="s">
        <v>5981</v>
      </c>
    </row>
    <row r="598" spans="3:18" ht="16">
      <c r="C598" s="19" t="s">
        <v>794</v>
      </c>
      <c r="D598" s="20" t="s">
        <v>2728</v>
      </c>
      <c r="E598" s="21" t="s">
        <v>6237</v>
      </c>
      <c r="F598" s="21" t="s">
        <v>5913</v>
      </c>
      <c r="G598" s="22" t="s">
        <v>7825</v>
      </c>
      <c r="H598" s="22" t="s">
        <v>5835</v>
      </c>
      <c r="I598" s="22">
        <v>38.1</v>
      </c>
      <c r="K598" s="22" t="s">
        <v>5835</v>
      </c>
      <c r="N598" s="25" t="s">
        <v>5835</v>
      </c>
      <c r="O598" s="25" t="s">
        <v>5835</v>
      </c>
      <c r="R598" s="22" t="s">
        <v>6202</v>
      </c>
    </row>
    <row r="599" spans="3:18" ht="16">
      <c r="C599" s="19" t="s">
        <v>795</v>
      </c>
      <c r="D599" s="20" t="s">
        <v>2729</v>
      </c>
      <c r="E599" s="21" t="s">
        <v>6222</v>
      </c>
      <c r="F599" s="21" t="s">
        <v>8</v>
      </c>
      <c r="G599" s="22" t="s">
        <v>5962</v>
      </c>
      <c r="H599" s="22" t="s">
        <v>7828</v>
      </c>
      <c r="I599" s="22">
        <v>296.5</v>
      </c>
      <c r="K599" s="22" t="s">
        <v>5835</v>
      </c>
      <c r="N599" s="25" t="s">
        <v>6550</v>
      </c>
      <c r="O599" s="25" t="s">
        <v>5835</v>
      </c>
      <c r="R599" s="22" t="s">
        <v>5962</v>
      </c>
    </row>
    <row r="600" spans="3:18" ht="16">
      <c r="C600" s="19" t="s">
        <v>796</v>
      </c>
      <c r="D600" s="20" t="s">
        <v>2730</v>
      </c>
      <c r="E600" s="21" t="s">
        <v>6280</v>
      </c>
      <c r="F600" s="21" t="s">
        <v>6281</v>
      </c>
      <c r="G600" s="22" t="s">
        <v>5906</v>
      </c>
      <c r="H600" s="22" t="s">
        <v>5835</v>
      </c>
      <c r="I600" s="22">
        <v>91.8</v>
      </c>
      <c r="K600" s="22" t="s">
        <v>5835</v>
      </c>
      <c r="N600" s="25" t="s">
        <v>6551</v>
      </c>
      <c r="O600" s="25" t="s">
        <v>5835</v>
      </c>
      <c r="R600" s="22" t="s">
        <v>5906</v>
      </c>
    </row>
    <row r="601" spans="3:18" ht="16">
      <c r="C601" s="19" t="s">
        <v>802</v>
      </c>
      <c r="D601" s="20" t="s">
        <v>2735</v>
      </c>
      <c r="E601" s="21" t="s">
        <v>6297</v>
      </c>
      <c r="F601" s="21" t="s">
        <v>6200</v>
      </c>
      <c r="G601" s="22" t="s">
        <v>5949</v>
      </c>
      <c r="H601" s="22" t="s">
        <v>7828</v>
      </c>
      <c r="I601" s="22">
        <v>910.8</v>
      </c>
      <c r="K601" s="22" t="s">
        <v>5835</v>
      </c>
      <c r="N601" s="25" t="s">
        <v>6552</v>
      </c>
      <c r="O601" s="25" t="s">
        <v>5835</v>
      </c>
      <c r="R601" s="22" t="s">
        <v>5949</v>
      </c>
    </row>
    <row r="602" spans="3:18" ht="16">
      <c r="C602" s="19" t="s">
        <v>809</v>
      </c>
      <c r="D602" s="20" t="s">
        <v>2742</v>
      </c>
      <c r="E602" s="21" t="s">
        <v>6252</v>
      </c>
      <c r="F602" s="21" t="s">
        <v>6080</v>
      </c>
      <c r="G602" s="22" t="s">
        <v>5945</v>
      </c>
      <c r="H602" s="22" t="s">
        <v>5835</v>
      </c>
      <c r="I602" s="22">
        <v>12.1</v>
      </c>
      <c r="K602" s="22" t="s">
        <v>5835</v>
      </c>
      <c r="N602" s="25" t="s">
        <v>6553</v>
      </c>
      <c r="O602" s="25" t="s">
        <v>5835</v>
      </c>
      <c r="R602" s="22" t="s">
        <v>5945</v>
      </c>
    </row>
    <row r="603" spans="3:18" ht="16">
      <c r="C603" s="19" t="s">
        <v>812</v>
      </c>
      <c r="D603" s="20" t="s">
        <v>2745</v>
      </c>
      <c r="E603" s="21" t="s">
        <v>6067</v>
      </c>
      <c r="F603" s="21" t="s">
        <v>17</v>
      </c>
      <c r="G603" s="22" t="s">
        <v>5920</v>
      </c>
      <c r="H603" s="22" t="s">
        <v>5835</v>
      </c>
      <c r="I603" s="22">
        <v>69.099999999999994</v>
      </c>
      <c r="K603" s="22" t="s">
        <v>5835</v>
      </c>
      <c r="N603" s="25" t="s">
        <v>6554</v>
      </c>
      <c r="O603" s="25" t="s">
        <v>5835</v>
      </c>
      <c r="R603" s="22" t="s">
        <v>5920</v>
      </c>
    </row>
    <row r="604" spans="3:18" ht="16">
      <c r="C604" s="19" t="s">
        <v>813</v>
      </c>
      <c r="D604" s="20" t="s">
        <v>2746</v>
      </c>
      <c r="E604" s="21" t="s">
        <v>6469</v>
      </c>
      <c r="F604" s="21" t="s">
        <v>17</v>
      </c>
      <c r="G604" s="22" t="s">
        <v>5976</v>
      </c>
      <c r="H604" s="22" t="s">
        <v>5835</v>
      </c>
      <c r="I604" s="22">
        <v>51.6</v>
      </c>
      <c r="K604" s="22" t="s">
        <v>5835</v>
      </c>
      <c r="N604" s="25" t="s">
        <v>6555</v>
      </c>
      <c r="O604" s="25" t="s">
        <v>5835</v>
      </c>
      <c r="R604" s="22" t="s">
        <v>5976</v>
      </c>
    </row>
    <row r="605" spans="3:18" ht="16">
      <c r="C605" s="19" t="s">
        <v>817</v>
      </c>
      <c r="D605" s="20" t="s">
        <v>2750</v>
      </c>
      <c r="E605" s="21" t="s">
        <v>6224</v>
      </c>
      <c r="F605" s="21" t="s">
        <v>17</v>
      </c>
      <c r="G605" s="22" t="s">
        <v>5924</v>
      </c>
      <c r="H605" s="22" t="s">
        <v>7828</v>
      </c>
      <c r="I605" s="22">
        <v>346.7</v>
      </c>
      <c r="K605" s="22" t="s">
        <v>5835</v>
      </c>
      <c r="N605" s="25" t="s">
        <v>6556</v>
      </c>
      <c r="O605" s="25" t="s">
        <v>5835</v>
      </c>
      <c r="R605" s="22" t="s">
        <v>5924</v>
      </c>
    </row>
    <row r="606" spans="3:18" ht="16">
      <c r="C606" s="19" t="s">
        <v>819</v>
      </c>
      <c r="D606" s="20" t="s">
        <v>2752</v>
      </c>
      <c r="E606" s="21" t="s">
        <v>6277</v>
      </c>
      <c r="F606" s="21" t="s">
        <v>17</v>
      </c>
      <c r="G606" s="22" t="s">
        <v>7825</v>
      </c>
      <c r="H606" s="22" t="s">
        <v>5835</v>
      </c>
      <c r="I606" s="22">
        <v>15.9</v>
      </c>
      <c r="K606" s="22" t="s">
        <v>5835</v>
      </c>
      <c r="N606" s="25" t="s">
        <v>6557</v>
      </c>
      <c r="O606" s="25" t="s">
        <v>5835</v>
      </c>
      <c r="R606" s="22" t="s">
        <v>6202</v>
      </c>
    </row>
    <row r="607" spans="3:18" ht="16">
      <c r="C607" s="19" t="s">
        <v>826</v>
      </c>
      <c r="D607" s="20" t="s">
        <v>2757</v>
      </c>
      <c r="E607" s="21" t="s">
        <v>6471</v>
      </c>
      <c r="F607" s="21" t="s">
        <v>6231</v>
      </c>
      <c r="G607" s="22" t="s">
        <v>5933</v>
      </c>
      <c r="H607" s="22" t="s">
        <v>7828</v>
      </c>
      <c r="I607" s="22">
        <v>55.7</v>
      </c>
      <c r="K607" s="22" t="s">
        <v>5835</v>
      </c>
      <c r="N607" s="25" t="s">
        <v>6558</v>
      </c>
      <c r="O607" s="25" t="s">
        <v>5835</v>
      </c>
      <c r="R607" s="22" t="s">
        <v>5933</v>
      </c>
    </row>
    <row r="608" spans="3:18" ht="16">
      <c r="C608" s="19" t="s">
        <v>828</v>
      </c>
      <c r="D608" s="20" t="s">
        <v>2759</v>
      </c>
      <c r="E608" s="21" t="s">
        <v>6257</v>
      </c>
      <c r="F608" s="21" t="s">
        <v>10</v>
      </c>
      <c r="G608" s="22" t="s">
        <v>5991</v>
      </c>
      <c r="H608" s="22" t="s">
        <v>5835</v>
      </c>
      <c r="I608" s="22">
        <v>43.3</v>
      </c>
      <c r="K608" s="22" t="s">
        <v>5835</v>
      </c>
      <c r="N608" s="25" t="s">
        <v>6559</v>
      </c>
      <c r="O608" s="25" t="s">
        <v>5835</v>
      </c>
      <c r="R608" s="22" t="s">
        <v>5991</v>
      </c>
    </row>
    <row r="609" spans="3:18" ht="16">
      <c r="C609" s="19" t="s">
        <v>830</v>
      </c>
      <c r="D609" s="20" t="s">
        <v>2761</v>
      </c>
      <c r="E609" s="21" t="s">
        <v>6293</v>
      </c>
      <c r="F609" s="21" t="s">
        <v>8</v>
      </c>
      <c r="G609" s="22" t="s">
        <v>5993</v>
      </c>
      <c r="H609" s="22" t="s">
        <v>7828</v>
      </c>
      <c r="I609" s="22">
        <v>288.10000000000002</v>
      </c>
      <c r="K609" s="22" t="s">
        <v>5835</v>
      </c>
      <c r="N609" s="25" t="s">
        <v>6560</v>
      </c>
      <c r="O609" s="25" t="s">
        <v>5835</v>
      </c>
      <c r="R609" s="22" t="s">
        <v>5993</v>
      </c>
    </row>
    <row r="610" spans="3:18" ht="16">
      <c r="C610" s="19" t="s">
        <v>831</v>
      </c>
      <c r="D610" s="20" t="s">
        <v>2762</v>
      </c>
      <c r="E610" s="21" t="s">
        <v>6067</v>
      </c>
      <c r="F610" s="21" t="s">
        <v>17</v>
      </c>
      <c r="G610" s="22" t="s">
        <v>5920</v>
      </c>
      <c r="H610" s="22" t="s">
        <v>7828</v>
      </c>
      <c r="I610" s="22">
        <v>1580.6</v>
      </c>
      <c r="K610" s="22" t="s">
        <v>5835</v>
      </c>
      <c r="N610" s="25" t="s">
        <v>6561</v>
      </c>
      <c r="O610" s="25" t="s">
        <v>5835</v>
      </c>
      <c r="R610" s="22" t="s">
        <v>5920</v>
      </c>
    </row>
    <row r="611" spans="3:18" ht="16">
      <c r="C611" s="19" t="s">
        <v>832</v>
      </c>
      <c r="D611" s="20" t="s">
        <v>2763</v>
      </c>
      <c r="E611" s="21" t="s">
        <v>6254</v>
      </c>
      <c r="F611" s="21" t="s">
        <v>8</v>
      </c>
      <c r="G611" s="22" t="s">
        <v>5935</v>
      </c>
      <c r="H611" s="22" t="s">
        <v>5835</v>
      </c>
      <c r="I611" s="22">
        <v>43.8</v>
      </c>
      <c r="K611" s="22" t="s">
        <v>5835</v>
      </c>
      <c r="N611" s="25" t="s">
        <v>6562</v>
      </c>
      <c r="O611" s="25" t="s">
        <v>5835</v>
      </c>
      <c r="R611" s="22" t="s">
        <v>5935</v>
      </c>
    </row>
    <row r="612" spans="3:18" ht="16">
      <c r="C612" s="19" t="s">
        <v>836</v>
      </c>
      <c r="D612" s="20" t="s">
        <v>2767</v>
      </c>
      <c r="E612" s="21" t="s">
        <v>6297</v>
      </c>
      <c r="F612" s="21" t="s">
        <v>6200</v>
      </c>
      <c r="G612" s="22" t="s">
        <v>5985</v>
      </c>
      <c r="H612" s="22" t="s">
        <v>5835</v>
      </c>
      <c r="I612" s="22">
        <v>25.1</v>
      </c>
      <c r="K612" s="22" t="s">
        <v>5835</v>
      </c>
      <c r="N612" s="25" t="s">
        <v>6563</v>
      </c>
      <c r="O612" s="25" t="s">
        <v>5835</v>
      </c>
      <c r="R612" s="22" t="s">
        <v>5985</v>
      </c>
    </row>
    <row r="613" spans="3:18" ht="16">
      <c r="C613" s="19" t="s">
        <v>837</v>
      </c>
      <c r="D613" s="20" t="s">
        <v>2768</v>
      </c>
      <c r="E613" s="21" t="s">
        <v>6257</v>
      </c>
      <c r="F613" s="21" t="s">
        <v>10</v>
      </c>
      <c r="G613" s="22" t="s">
        <v>5937</v>
      </c>
      <c r="H613" s="22" t="s">
        <v>5835</v>
      </c>
      <c r="I613" s="22">
        <v>143.30000000000001</v>
      </c>
      <c r="K613" s="22" t="s">
        <v>5835</v>
      </c>
      <c r="N613" s="25" t="s">
        <v>6564</v>
      </c>
      <c r="O613" s="25" t="s">
        <v>5835</v>
      </c>
      <c r="R613" s="22" t="s">
        <v>5937</v>
      </c>
    </row>
    <row r="614" spans="3:18" ht="16">
      <c r="C614" s="19" t="s">
        <v>840</v>
      </c>
      <c r="D614" s="20" t="s">
        <v>2771</v>
      </c>
      <c r="E614" s="21" t="s">
        <v>6254</v>
      </c>
      <c r="F614" s="21" t="s">
        <v>8</v>
      </c>
      <c r="G614" s="22" t="s">
        <v>7825</v>
      </c>
      <c r="H614" s="22" t="s">
        <v>5835</v>
      </c>
      <c r="I614" s="22">
        <v>12.2</v>
      </c>
      <c r="K614" s="22" t="s">
        <v>5835</v>
      </c>
      <c r="N614" s="25" t="s">
        <v>6565</v>
      </c>
      <c r="O614" s="25" t="s">
        <v>5835</v>
      </c>
      <c r="R614" s="22" t="s">
        <v>6202</v>
      </c>
    </row>
    <row r="615" spans="3:18" ht="16">
      <c r="C615" s="19" t="s">
        <v>845</v>
      </c>
      <c r="D615" s="20" t="s">
        <v>2776</v>
      </c>
      <c r="E615" s="21" t="s">
        <v>5968</v>
      </c>
      <c r="F615" s="21" t="s">
        <v>5969</v>
      </c>
      <c r="G615" s="22" t="s">
        <v>5964</v>
      </c>
      <c r="H615" s="22" t="s">
        <v>5835</v>
      </c>
      <c r="I615" s="22">
        <v>38.700000000000003</v>
      </c>
      <c r="K615" s="22" t="s">
        <v>5835</v>
      </c>
      <c r="N615" s="25" t="s">
        <v>6566</v>
      </c>
      <c r="O615" s="25" t="s">
        <v>5835</v>
      </c>
      <c r="R615" s="22" t="s">
        <v>5964</v>
      </c>
    </row>
    <row r="616" spans="3:18" ht="16">
      <c r="C616" s="19" t="s">
        <v>847</v>
      </c>
      <c r="D616" s="20" t="s">
        <v>2778</v>
      </c>
      <c r="E616" s="21" t="s">
        <v>6254</v>
      </c>
      <c r="F616" s="21" t="s">
        <v>8</v>
      </c>
      <c r="G616" s="22" t="s">
        <v>5935</v>
      </c>
      <c r="H616" s="22" t="s">
        <v>7828</v>
      </c>
      <c r="I616" s="22">
        <v>305</v>
      </c>
      <c r="K616" s="22" t="s">
        <v>5835</v>
      </c>
      <c r="N616" s="25" t="s">
        <v>6567</v>
      </c>
      <c r="O616" s="25" t="s">
        <v>5835</v>
      </c>
      <c r="R616" s="22" t="s">
        <v>5935</v>
      </c>
    </row>
    <row r="617" spans="3:18" ht="16">
      <c r="C617" s="19" t="s">
        <v>851</v>
      </c>
      <c r="D617" s="20" t="s">
        <v>2782</v>
      </c>
      <c r="E617" s="21" t="s">
        <v>6293</v>
      </c>
      <c r="F617" s="21" t="s">
        <v>8</v>
      </c>
      <c r="G617" s="22" t="s">
        <v>5875</v>
      </c>
      <c r="H617" s="22" t="s">
        <v>5835</v>
      </c>
      <c r="I617" s="22">
        <v>107.4</v>
      </c>
      <c r="K617" s="22" t="s">
        <v>5835</v>
      </c>
      <c r="N617" s="25" t="s">
        <v>6568</v>
      </c>
      <c r="O617" s="25" t="s">
        <v>5835</v>
      </c>
      <c r="R617" s="22" t="s">
        <v>5875</v>
      </c>
    </row>
    <row r="618" spans="3:18" ht="16">
      <c r="C618" s="19" t="s">
        <v>855</v>
      </c>
      <c r="D618" s="20" t="s">
        <v>2786</v>
      </c>
      <c r="E618" s="21" t="s">
        <v>6254</v>
      </c>
      <c r="F618" s="21" t="s">
        <v>8</v>
      </c>
      <c r="G618" s="22" t="s">
        <v>12</v>
      </c>
      <c r="H618" s="22" t="s">
        <v>7828</v>
      </c>
      <c r="I618" s="22">
        <v>277.8</v>
      </c>
      <c r="K618" s="22" t="s">
        <v>5835</v>
      </c>
      <c r="N618" s="25" t="s">
        <v>6569</v>
      </c>
      <c r="O618" s="25" t="s">
        <v>5835</v>
      </c>
      <c r="R618" s="22" t="s">
        <v>12</v>
      </c>
    </row>
    <row r="619" spans="3:18" ht="16">
      <c r="C619" s="19" t="s">
        <v>857</v>
      </c>
      <c r="D619" s="20" t="s">
        <v>2788</v>
      </c>
      <c r="E619" s="21" t="s">
        <v>6257</v>
      </c>
      <c r="F619" s="21" t="s">
        <v>10</v>
      </c>
      <c r="G619" s="22" t="s">
        <v>5930</v>
      </c>
      <c r="H619" s="22" t="s">
        <v>5835</v>
      </c>
      <c r="I619" s="22">
        <v>26.3</v>
      </c>
      <c r="K619" s="22" t="s">
        <v>5835</v>
      </c>
      <c r="N619" s="25" t="s">
        <v>6570</v>
      </c>
      <c r="O619" s="25" t="s">
        <v>5835</v>
      </c>
      <c r="R619" s="22" t="s">
        <v>5930</v>
      </c>
    </row>
    <row r="620" spans="3:18" ht="16">
      <c r="C620" s="19" t="s">
        <v>858</v>
      </c>
      <c r="D620" s="20" t="s">
        <v>2789</v>
      </c>
      <c r="E620" s="21" t="s">
        <v>6199</v>
      </c>
      <c r="F620" s="21" t="s">
        <v>6200</v>
      </c>
      <c r="G620" s="22" t="s">
        <v>5881</v>
      </c>
      <c r="H620" s="22" t="s">
        <v>5835</v>
      </c>
      <c r="I620" s="22">
        <v>24.8</v>
      </c>
      <c r="K620" s="22" t="s">
        <v>5835</v>
      </c>
      <c r="N620" s="25" t="s">
        <v>6571</v>
      </c>
      <c r="O620" s="25" t="s">
        <v>5835</v>
      </c>
      <c r="R620" s="22" t="s">
        <v>5881</v>
      </c>
    </row>
    <row r="621" spans="3:18" ht="16">
      <c r="C621" s="19" t="s">
        <v>859</v>
      </c>
      <c r="D621" s="20" t="s">
        <v>2790</v>
      </c>
      <c r="E621" s="21" t="s">
        <v>6257</v>
      </c>
      <c r="F621" s="21" t="s">
        <v>10</v>
      </c>
      <c r="G621" s="22" t="s">
        <v>5937</v>
      </c>
      <c r="H621" s="22" t="s">
        <v>7828</v>
      </c>
      <c r="I621" s="22">
        <v>267.5</v>
      </c>
      <c r="K621" s="22" t="s">
        <v>5835</v>
      </c>
      <c r="N621" s="25" t="s">
        <v>6572</v>
      </c>
      <c r="O621" s="25" t="s">
        <v>5835</v>
      </c>
      <c r="R621" s="22" t="s">
        <v>5937</v>
      </c>
    </row>
    <row r="622" spans="3:18" ht="16">
      <c r="C622" s="19" t="s">
        <v>860</v>
      </c>
      <c r="D622" s="20" t="s">
        <v>2791</v>
      </c>
      <c r="E622" s="21" t="s">
        <v>6025</v>
      </c>
      <c r="F622" s="21" t="s">
        <v>17</v>
      </c>
      <c r="G622" s="22" t="s">
        <v>5873</v>
      </c>
      <c r="H622" s="22" t="s">
        <v>5835</v>
      </c>
      <c r="I622" s="22">
        <v>6.9</v>
      </c>
      <c r="K622" s="22" t="s">
        <v>5835</v>
      </c>
      <c r="N622" s="25" t="s">
        <v>6573</v>
      </c>
      <c r="O622" s="25" t="s">
        <v>5835</v>
      </c>
      <c r="R622" s="22" t="s">
        <v>5873</v>
      </c>
    </row>
    <row r="623" spans="3:18" ht="16">
      <c r="C623" s="19" t="s">
        <v>862</v>
      </c>
      <c r="D623" s="20" t="s">
        <v>2793</v>
      </c>
      <c r="E623" s="21" t="s">
        <v>6226</v>
      </c>
      <c r="F623" s="21" t="s">
        <v>5913</v>
      </c>
      <c r="G623" s="22" t="s">
        <v>5913</v>
      </c>
      <c r="H623" s="22" t="s">
        <v>7828</v>
      </c>
      <c r="I623" s="22">
        <v>438.6</v>
      </c>
      <c r="K623" s="22" t="s">
        <v>5835</v>
      </c>
      <c r="N623" s="25" t="s">
        <v>6574</v>
      </c>
      <c r="O623" s="25" t="s">
        <v>5835</v>
      </c>
      <c r="R623" s="22" t="s">
        <v>5913</v>
      </c>
    </row>
    <row r="624" spans="3:18" ht="16">
      <c r="C624" s="19" t="s">
        <v>864</v>
      </c>
      <c r="D624" s="20" t="s">
        <v>2795</v>
      </c>
      <c r="E624" s="21" t="s">
        <v>6067</v>
      </c>
      <c r="F624" s="21" t="s">
        <v>17</v>
      </c>
      <c r="G624" s="22" t="s">
        <v>5920</v>
      </c>
      <c r="H624" s="22" t="s">
        <v>7828</v>
      </c>
      <c r="I624" s="22">
        <v>85.1</v>
      </c>
      <c r="K624" s="22" t="s">
        <v>5835</v>
      </c>
      <c r="N624" s="25" t="s">
        <v>6575</v>
      </c>
      <c r="O624" s="25" t="s">
        <v>5835</v>
      </c>
      <c r="R624" s="22" t="s">
        <v>5920</v>
      </c>
    </row>
    <row r="625" spans="3:18" ht="16">
      <c r="C625" s="19" t="s">
        <v>865</v>
      </c>
      <c r="D625" s="20" t="s">
        <v>2796</v>
      </c>
      <c r="E625" s="21" t="s">
        <v>6277</v>
      </c>
      <c r="F625" s="21" t="s">
        <v>17</v>
      </c>
      <c r="G625" s="22" t="s">
        <v>7825</v>
      </c>
      <c r="H625" s="22" t="s">
        <v>5835</v>
      </c>
      <c r="I625" s="22">
        <v>18</v>
      </c>
      <c r="K625" s="22" t="s">
        <v>5835</v>
      </c>
      <c r="N625" s="25" t="s">
        <v>6576</v>
      </c>
      <c r="O625" s="25" t="s">
        <v>5835</v>
      </c>
      <c r="R625" s="22" t="s">
        <v>6202</v>
      </c>
    </row>
    <row r="626" spans="3:18" ht="16">
      <c r="C626" s="19" t="s">
        <v>869</v>
      </c>
      <c r="D626" s="20" t="s">
        <v>2800</v>
      </c>
      <c r="E626" s="21" t="s">
        <v>6319</v>
      </c>
      <c r="F626" s="21" t="s">
        <v>17</v>
      </c>
      <c r="G626" s="22" t="s">
        <v>5855</v>
      </c>
      <c r="H626" s="22" t="s">
        <v>7828</v>
      </c>
      <c r="I626" s="22">
        <v>266.10000000000002</v>
      </c>
      <c r="K626" s="22" t="s">
        <v>5835</v>
      </c>
      <c r="N626" s="25" t="s">
        <v>6577</v>
      </c>
      <c r="O626" s="25" t="s">
        <v>5835</v>
      </c>
      <c r="R626" s="22" t="s">
        <v>5855</v>
      </c>
    </row>
    <row r="627" spans="3:18" ht="16">
      <c r="C627" s="19" t="s">
        <v>870</v>
      </c>
      <c r="D627" s="20" t="s">
        <v>2801</v>
      </c>
      <c r="E627" s="21" t="s">
        <v>6497</v>
      </c>
      <c r="F627" s="21" t="s">
        <v>6200</v>
      </c>
      <c r="G627" s="22" t="s">
        <v>5985</v>
      </c>
      <c r="H627" s="22" t="s">
        <v>5835</v>
      </c>
      <c r="I627" s="22">
        <v>81.7</v>
      </c>
      <c r="K627" s="22" t="s">
        <v>5835</v>
      </c>
      <c r="N627" s="25" t="s">
        <v>6578</v>
      </c>
      <c r="O627" s="25" t="s">
        <v>5835</v>
      </c>
      <c r="R627" s="22" t="s">
        <v>5985</v>
      </c>
    </row>
    <row r="628" spans="3:18" ht="16">
      <c r="C628" s="19" t="s">
        <v>879</v>
      </c>
      <c r="D628" s="20" t="s">
        <v>2810</v>
      </c>
      <c r="E628" s="21" t="s">
        <v>6208</v>
      </c>
      <c r="F628" s="21" t="s">
        <v>17</v>
      </c>
      <c r="G628" s="22" t="s">
        <v>5943</v>
      </c>
      <c r="H628" s="22" t="s">
        <v>7828</v>
      </c>
      <c r="I628" s="22">
        <v>79.3</v>
      </c>
      <c r="K628" s="22" t="s">
        <v>5835</v>
      </c>
      <c r="N628" s="25" t="s">
        <v>6579</v>
      </c>
      <c r="O628" s="25" t="s">
        <v>5835</v>
      </c>
      <c r="R628" s="22" t="s">
        <v>5943</v>
      </c>
    </row>
    <row r="629" spans="3:18" ht="16">
      <c r="C629" s="19" t="s">
        <v>881</v>
      </c>
      <c r="D629" s="20" t="s">
        <v>2812</v>
      </c>
      <c r="E629" s="21" t="s">
        <v>6285</v>
      </c>
      <c r="F629" s="21" t="s">
        <v>6281</v>
      </c>
      <c r="G629" s="22" t="s">
        <v>5945</v>
      </c>
      <c r="H629" s="22" t="s">
        <v>5835</v>
      </c>
      <c r="I629" s="22">
        <v>22.3</v>
      </c>
      <c r="K629" s="22" t="s">
        <v>5835</v>
      </c>
      <c r="N629" s="25" t="s">
        <v>6580</v>
      </c>
      <c r="O629" s="25" t="s">
        <v>5835</v>
      </c>
      <c r="R629" s="22" t="s">
        <v>5945</v>
      </c>
    </row>
    <row r="630" spans="3:18" ht="16">
      <c r="C630" s="19" t="s">
        <v>882</v>
      </c>
      <c r="D630" s="20" t="s">
        <v>2813</v>
      </c>
      <c r="E630" s="21" t="s">
        <v>6277</v>
      </c>
      <c r="F630" s="21" t="s">
        <v>17</v>
      </c>
      <c r="G630" s="22" t="s">
        <v>5902</v>
      </c>
      <c r="H630" s="22" t="s">
        <v>7828</v>
      </c>
      <c r="I630" s="22">
        <v>2043.5</v>
      </c>
      <c r="K630" s="22" t="s">
        <v>5835</v>
      </c>
      <c r="N630" s="25" t="s">
        <v>6581</v>
      </c>
      <c r="O630" s="25" t="s">
        <v>5835</v>
      </c>
      <c r="R630" s="22" t="s">
        <v>5902</v>
      </c>
    </row>
    <row r="631" spans="3:18" ht="16">
      <c r="C631" s="19" t="s">
        <v>883</v>
      </c>
      <c r="D631" s="20" t="s">
        <v>2814</v>
      </c>
      <c r="E631" s="21" t="s">
        <v>6257</v>
      </c>
      <c r="F631" s="21" t="s">
        <v>10</v>
      </c>
      <c r="G631" s="22" t="s">
        <v>5981</v>
      </c>
      <c r="H631" s="22" t="s">
        <v>7828</v>
      </c>
      <c r="I631" s="22">
        <v>2799.1</v>
      </c>
      <c r="K631" s="22" t="s">
        <v>5832</v>
      </c>
      <c r="N631" s="25" t="s">
        <v>6582</v>
      </c>
      <c r="O631" s="25" t="s">
        <v>5835</v>
      </c>
      <c r="R631" s="22" t="s">
        <v>5981</v>
      </c>
    </row>
    <row r="632" spans="3:18" ht="16">
      <c r="C632" s="19" t="s">
        <v>886</v>
      </c>
      <c r="D632" s="20" t="s">
        <v>2817</v>
      </c>
      <c r="E632" s="21" t="s">
        <v>6067</v>
      </c>
      <c r="F632" s="21" t="s">
        <v>17</v>
      </c>
      <c r="G632" s="22" t="s">
        <v>5867</v>
      </c>
      <c r="H632" s="22" t="s">
        <v>7828</v>
      </c>
      <c r="I632" s="22">
        <v>1731.8</v>
      </c>
      <c r="K632" s="22" t="s">
        <v>5835</v>
      </c>
      <c r="N632" s="25" t="s">
        <v>6583</v>
      </c>
      <c r="O632" s="25" t="s">
        <v>5835</v>
      </c>
      <c r="R632" s="22" t="s">
        <v>5867</v>
      </c>
    </row>
    <row r="633" spans="3:18" ht="16">
      <c r="C633" s="19" t="s">
        <v>888</v>
      </c>
      <c r="D633" s="20" t="s">
        <v>2819</v>
      </c>
      <c r="E633" s="21" t="s">
        <v>6079</v>
      </c>
      <c r="F633" s="21" t="s">
        <v>6080</v>
      </c>
      <c r="G633" s="22" t="s">
        <v>5906</v>
      </c>
      <c r="H633" s="22" t="s">
        <v>5835</v>
      </c>
      <c r="I633" s="22">
        <v>29.4</v>
      </c>
      <c r="K633" s="22" t="s">
        <v>5835</v>
      </c>
      <c r="N633" s="25" t="s">
        <v>6584</v>
      </c>
      <c r="O633" s="25" t="s">
        <v>5835</v>
      </c>
      <c r="R633" s="22" t="s">
        <v>5906</v>
      </c>
    </row>
    <row r="634" spans="3:18" ht="16">
      <c r="C634" s="19" t="s">
        <v>890</v>
      </c>
      <c r="D634" s="20" t="s">
        <v>2821</v>
      </c>
      <c r="E634" s="21" t="s">
        <v>6497</v>
      </c>
      <c r="F634" s="21" t="s">
        <v>6200</v>
      </c>
      <c r="G634" s="22" t="s">
        <v>5985</v>
      </c>
      <c r="H634" s="22" t="s">
        <v>7828</v>
      </c>
      <c r="I634" s="22">
        <v>123</v>
      </c>
      <c r="K634" s="22" t="s">
        <v>5835</v>
      </c>
      <c r="N634" s="25" t="s">
        <v>6585</v>
      </c>
      <c r="O634" s="25" t="s">
        <v>5835</v>
      </c>
      <c r="R634" s="22" t="s">
        <v>5985</v>
      </c>
    </row>
    <row r="635" spans="3:18" ht="16">
      <c r="C635" s="19" t="s">
        <v>892</v>
      </c>
      <c r="D635" s="20" t="s">
        <v>2823</v>
      </c>
      <c r="E635" s="21" t="s">
        <v>6166</v>
      </c>
      <c r="F635" s="21" t="s">
        <v>6080</v>
      </c>
      <c r="G635" s="22" t="s">
        <v>5873</v>
      </c>
      <c r="H635" s="22" t="s">
        <v>5835</v>
      </c>
      <c r="I635" s="22">
        <v>79.7</v>
      </c>
      <c r="K635" s="22" t="s">
        <v>5835</v>
      </c>
      <c r="N635" s="25" t="s">
        <v>6586</v>
      </c>
      <c r="O635" s="25" t="s">
        <v>5835</v>
      </c>
      <c r="R635" s="22" t="s">
        <v>5873</v>
      </c>
    </row>
    <row r="636" spans="3:18" ht="16">
      <c r="C636" s="19" t="s">
        <v>896</v>
      </c>
      <c r="D636" s="20" t="s">
        <v>2826</v>
      </c>
      <c r="E636" s="21" t="s">
        <v>6293</v>
      </c>
      <c r="F636" s="21" t="s">
        <v>8</v>
      </c>
      <c r="G636" s="22" t="s">
        <v>5875</v>
      </c>
      <c r="H636" s="22" t="s">
        <v>5835</v>
      </c>
      <c r="I636" s="22">
        <v>11.5</v>
      </c>
      <c r="K636" s="22" t="s">
        <v>5835</v>
      </c>
      <c r="N636" s="25" t="s">
        <v>6587</v>
      </c>
      <c r="O636" s="25" t="s">
        <v>5835</v>
      </c>
      <c r="R636" s="22" t="s">
        <v>5875</v>
      </c>
    </row>
    <row r="637" spans="3:18" ht="16">
      <c r="C637" s="19" t="s">
        <v>901</v>
      </c>
      <c r="D637" s="20" t="s">
        <v>2831</v>
      </c>
      <c r="E637" s="21" t="s">
        <v>6226</v>
      </c>
      <c r="F637" s="21" t="s">
        <v>5913</v>
      </c>
      <c r="G637" s="22" t="s">
        <v>5913</v>
      </c>
      <c r="H637" s="22" t="s">
        <v>5835</v>
      </c>
      <c r="I637" s="22">
        <v>93</v>
      </c>
      <c r="K637" s="22" t="s">
        <v>5835</v>
      </c>
      <c r="N637" s="25" t="s">
        <v>6588</v>
      </c>
      <c r="O637" s="25" t="s">
        <v>5835</v>
      </c>
      <c r="R637" s="22" t="s">
        <v>5913</v>
      </c>
    </row>
    <row r="638" spans="3:18" ht="16">
      <c r="C638" s="19" t="s">
        <v>902</v>
      </c>
      <c r="D638" s="20" t="s">
        <v>2832</v>
      </c>
      <c r="E638" s="21" t="s">
        <v>6196</v>
      </c>
      <c r="F638" s="21" t="s">
        <v>6197</v>
      </c>
      <c r="G638" s="22" t="s">
        <v>5909</v>
      </c>
      <c r="H638" s="22" t="s">
        <v>5835</v>
      </c>
      <c r="I638" s="22">
        <v>78.3</v>
      </c>
      <c r="K638" s="22" t="s">
        <v>5835</v>
      </c>
      <c r="N638" s="25" t="s">
        <v>6589</v>
      </c>
      <c r="O638" s="25" t="s">
        <v>5835</v>
      </c>
      <c r="R638" s="22" t="s">
        <v>5909</v>
      </c>
    </row>
    <row r="639" spans="3:18" ht="16">
      <c r="C639" s="19" t="s">
        <v>903</v>
      </c>
      <c r="D639" s="20" t="s">
        <v>2833</v>
      </c>
      <c r="E639" s="21" t="s">
        <v>6471</v>
      </c>
      <c r="F639" s="21" t="s">
        <v>6231</v>
      </c>
      <c r="G639" s="22" t="s">
        <v>5933</v>
      </c>
      <c r="H639" s="22" t="s">
        <v>7828</v>
      </c>
      <c r="I639" s="22">
        <v>1225.7</v>
      </c>
      <c r="K639" s="22" t="s">
        <v>5835</v>
      </c>
      <c r="N639" s="25" t="s">
        <v>6590</v>
      </c>
      <c r="O639" s="25" t="s">
        <v>5835</v>
      </c>
      <c r="R639" s="22" t="s">
        <v>5933</v>
      </c>
    </row>
    <row r="640" spans="3:18" ht="16">
      <c r="C640" s="19" t="s">
        <v>904</v>
      </c>
      <c r="D640" s="20" t="s">
        <v>2834</v>
      </c>
      <c r="E640" s="21" t="s">
        <v>5923</v>
      </c>
      <c r="F640" s="21" t="s">
        <v>5831</v>
      </c>
      <c r="G640" s="22" t="s">
        <v>5840</v>
      </c>
      <c r="H640" s="22" t="s">
        <v>5835</v>
      </c>
      <c r="I640" s="22">
        <v>191.4</v>
      </c>
      <c r="K640" s="22" t="s">
        <v>5835</v>
      </c>
      <c r="N640" s="25">
        <v>0</v>
      </c>
      <c r="O640" s="25" t="s">
        <v>5835</v>
      </c>
      <c r="R640" s="22" t="s">
        <v>5840</v>
      </c>
    </row>
    <row r="641" spans="3:18" ht="16">
      <c r="C641" s="19" t="s">
        <v>905</v>
      </c>
      <c r="D641" s="20" t="s">
        <v>2835</v>
      </c>
      <c r="E641" s="21" t="s">
        <v>6226</v>
      </c>
      <c r="F641" s="21" t="s">
        <v>5913</v>
      </c>
      <c r="G641" s="22" t="s">
        <v>5913</v>
      </c>
      <c r="H641" s="22" t="s">
        <v>5835</v>
      </c>
      <c r="I641" s="22">
        <v>111.3</v>
      </c>
      <c r="K641" s="22" t="s">
        <v>5835</v>
      </c>
      <c r="N641" s="25" t="s">
        <v>5992</v>
      </c>
      <c r="O641" s="25" t="s">
        <v>5835</v>
      </c>
      <c r="R641" s="22" t="s">
        <v>5913</v>
      </c>
    </row>
    <row r="642" spans="3:18" ht="16">
      <c r="C642" s="19" t="s">
        <v>906</v>
      </c>
      <c r="D642" s="20" t="s">
        <v>2836</v>
      </c>
      <c r="E642" s="21" t="s">
        <v>6074</v>
      </c>
      <c r="F642" s="21" t="s">
        <v>6075</v>
      </c>
      <c r="G642" s="22" t="s">
        <v>5882</v>
      </c>
      <c r="H642" s="22" t="s">
        <v>5835</v>
      </c>
      <c r="I642" s="22">
        <v>166</v>
      </c>
      <c r="K642" s="22" t="s">
        <v>5835</v>
      </c>
      <c r="N642" s="25" t="s">
        <v>5992</v>
      </c>
      <c r="O642" s="25" t="s">
        <v>5835</v>
      </c>
      <c r="R642" s="22" t="s">
        <v>5882</v>
      </c>
    </row>
    <row r="643" spans="3:18" ht="16">
      <c r="C643" s="19" t="s">
        <v>907</v>
      </c>
      <c r="D643" s="20" t="s">
        <v>2837</v>
      </c>
      <c r="E643" s="21" t="s">
        <v>6196</v>
      </c>
      <c r="F643" s="21" t="s">
        <v>6197</v>
      </c>
      <c r="G643" s="22" t="s">
        <v>5909</v>
      </c>
      <c r="H643" s="22" t="s">
        <v>7828</v>
      </c>
      <c r="I643" s="22">
        <v>813.2</v>
      </c>
      <c r="K643" s="22" t="s">
        <v>5835</v>
      </c>
      <c r="N643" s="25" t="s">
        <v>6591</v>
      </c>
      <c r="O643" s="25" t="s">
        <v>5835</v>
      </c>
      <c r="R643" s="22" t="s">
        <v>5909</v>
      </c>
    </row>
    <row r="644" spans="3:18" ht="16">
      <c r="C644" s="19" t="s">
        <v>909</v>
      </c>
      <c r="D644" s="20" t="s">
        <v>2839</v>
      </c>
      <c r="E644" s="21" t="s">
        <v>6096</v>
      </c>
      <c r="F644" s="21" t="s">
        <v>5896</v>
      </c>
      <c r="G644" s="22" t="s">
        <v>5875</v>
      </c>
      <c r="H644" s="22" t="s">
        <v>5835</v>
      </c>
      <c r="I644" s="22">
        <v>95.1</v>
      </c>
      <c r="K644" s="22" t="s">
        <v>5835</v>
      </c>
      <c r="N644" s="25" t="s">
        <v>6592</v>
      </c>
      <c r="O644" s="25" t="s">
        <v>5835</v>
      </c>
      <c r="R644" s="22" t="s">
        <v>5875</v>
      </c>
    </row>
    <row r="645" spans="3:18" ht="16">
      <c r="C645" s="19" t="s">
        <v>912</v>
      </c>
      <c r="D645" s="20" t="s">
        <v>2842</v>
      </c>
      <c r="E645" s="21" t="s">
        <v>6222</v>
      </c>
      <c r="F645" s="21" t="s">
        <v>8</v>
      </c>
      <c r="G645" s="22" t="s">
        <v>14</v>
      </c>
      <c r="H645" s="22" t="s">
        <v>7828</v>
      </c>
      <c r="I645" s="22">
        <v>6628.5</v>
      </c>
      <c r="K645" s="22" t="s">
        <v>5832</v>
      </c>
      <c r="N645" s="25" t="s">
        <v>14</v>
      </c>
      <c r="O645" s="25" t="s">
        <v>5835</v>
      </c>
      <c r="R645" s="22" t="s">
        <v>14</v>
      </c>
    </row>
    <row r="646" spans="3:18" ht="16">
      <c r="C646" s="19" t="s">
        <v>913</v>
      </c>
      <c r="D646" s="20" t="s">
        <v>2843</v>
      </c>
      <c r="E646" s="21" t="s">
        <v>6469</v>
      </c>
      <c r="F646" s="21" t="s">
        <v>17</v>
      </c>
      <c r="G646" s="22" t="s">
        <v>5875</v>
      </c>
      <c r="H646" s="22" t="s">
        <v>5835</v>
      </c>
      <c r="I646" s="22">
        <v>113.5</v>
      </c>
      <c r="K646" s="22" t="s">
        <v>5835</v>
      </c>
      <c r="N646" s="25" t="s">
        <v>6593</v>
      </c>
      <c r="O646" s="25" t="s">
        <v>5835</v>
      </c>
      <c r="R646" s="22" t="s">
        <v>5875</v>
      </c>
    </row>
    <row r="647" spans="3:18" ht="16">
      <c r="C647" s="19" t="s">
        <v>915</v>
      </c>
      <c r="D647" s="20" t="s">
        <v>2845</v>
      </c>
      <c r="E647" s="21" t="s">
        <v>6199</v>
      </c>
      <c r="F647" s="21" t="s">
        <v>6200</v>
      </c>
      <c r="G647" s="22" t="s">
        <v>5881</v>
      </c>
      <c r="H647" s="22" t="s">
        <v>7828</v>
      </c>
      <c r="I647" s="22">
        <v>256.39999999999998</v>
      </c>
      <c r="K647" s="22" t="s">
        <v>5835</v>
      </c>
      <c r="N647" s="25" t="s">
        <v>6594</v>
      </c>
      <c r="O647" s="25" t="s">
        <v>5835</v>
      </c>
      <c r="R647" s="22" t="s">
        <v>5881</v>
      </c>
    </row>
    <row r="648" spans="3:18" ht="16">
      <c r="C648" s="19" t="s">
        <v>916</v>
      </c>
      <c r="D648" s="20" t="s">
        <v>2846</v>
      </c>
      <c r="E648" s="21" t="s">
        <v>6208</v>
      </c>
      <c r="F648" s="21" t="s">
        <v>17</v>
      </c>
      <c r="G648" s="22" t="s">
        <v>7825</v>
      </c>
      <c r="H648" s="22" t="s">
        <v>5835</v>
      </c>
      <c r="I648" s="22">
        <v>159.1</v>
      </c>
      <c r="K648" s="22" t="s">
        <v>5835</v>
      </c>
      <c r="N648" s="25" t="s">
        <v>5835</v>
      </c>
      <c r="O648" s="25" t="s">
        <v>5835</v>
      </c>
      <c r="R648" s="22" t="s">
        <v>6202</v>
      </c>
    </row>
    <row r="649" spans="3:18" ht="16">
      <c r="C649" s="19" t="s">
        <v>920</v>
      </c>
      <c r="D649" s="20" t="s">
        <v>2849</v>
      </c>
      <c r="E649" s="21" t="s">
        <v>6074</v>
      </c>
      <c r="F649" s="21" t="s">
        <v>6075</v>
      </c>
      <c r="G649" s="22" t="s">
        <v>5889</v>
      </c>
      <c r="H649" s="22" t="s">
        <v>5835</v>
      </c>
      <c r="I649" s="22">
        <v>136.80000000000001</v>
      </c>
      <c r="K649" s="22" t="s">
        <v>5835</v>
      </c>
      <c r="N649" s="25" t="s">
        <v>6595</v>
      </c>
      <c r="O649" s="25" t="s">
        <v>5835</v>
      </c>
      <c r="R649" s="22" t="s">
        <v>5889</v>
      </c>
    </row>
    <row r="650" spans="3:18" ht="16">
      <c r="C650" s="19" t="s">
        <v>922</v>
      </c>
      <c r="D650" s="20" t="s">
        <v>2851</v>
      </c>
      <c r="E650" s="21" t="s">
        <v>6074</v>
      </c>
      <c r="F650" s="21" t="s">
        <v>6075</v>
      </c>
      <c r="G650" s="22" t="s">
        <v>5889</v>
      </c>
      <c r="H650" s="22" t="s">
        <v>5835</v>
      </c>
      <c r="I650" s="22">
        <v>22.5</v>
      </c>
      <c r="K650" s="22" t="s">
        <v>5835</v>
      </c>
      <c r="N650" s="25" t="s">
        <v>6596</v>
      </c>
      <c r="O650" s="25" t="s">
        <v>5835</v>
      </c>
      <c r="R650" s="22" t="s">
        <v>5889</v>
      </c>
    </row>
    <row r="651" spans="3:18" ht="16">
      <c r="C651" s="19" t="s">
        <v>924</v>
      </c>
      <c r="D651" s="20" t="s">
        <v>2853</v>
      </c>
      <c r="E651" s="21" t="s">
        <v>6074</v>
      </c>
      <c r="F651" s="21" t="s">
        <v>6075</v>
      </c>
      <c r="G651" s="22" t="s">
        <v>5891</v>
      </c>
      <c r="H651" s="22" t="s">
        <v>5835</v>
      </c>
      <c r="I651" s="22">
        <v>25.9</v>
      </c>
      <c r="K651" s="22" t="s">
        <v>5835</v>
      </c>
      <c r="N651" s="25" t="s">
        <v>6597</v>
      </c>
      <c r="O651" s="25" t="s">
        <v>5835</v>
      </c>
      <c r="R651" s="22" t="s">
        <v>5891</v>
      </c>
    </row>
    <row r="652" spans="3:18" ht="16">
      <c r="C652" s="19" t="s">
        <v>930</v>
      </c>
      <c r="D652" s="20" t="s">
        <v>2859</v>
      </c>
      <c r="E652" s="21" t="s">
        <v>6074</v>
      </c>
      <c r="F652" s="21" t="s">
        <v>6075</v>
      </c>
      <c r="G652" s="22" t="s">
        <v>5882</v>
      </c>
      <c r="H652" s="22" t="s">
        <v>5835</v>
      </c>
      <c r="I652" s="22">
        <v>74</v>
      </c>
      <c r="K652" s="22" t="s">
        <v>5835</v>
      </c>
      <c r="N652" s="25" t="s">
        <v>6598</v>
      </c>
      <c r="O652" s="25" t="s">
        <v>5835</v>
      </c>
      <c r="R652" s="22" t="s">
        <v>5882</v>
      </c>
    </row>
    <row r="653" spans="3:18" ht="16">
      <c r="C653" s="19" t="s">
        <v>940</v>
      </c>
      <c r="D653" s="20" t="s">
        <v>2869</v>
      </c>
      <c r="E653" s="21" t="s">
        <v>6074</v>
      </c>
      <c r="F653" s="21" t="s">
        <v>6075</v>
      </c>
      <c r="G653" s="22" t="s">
        <v>7827</v>
      </c>
      <c r="H653" s="22" t="s">
        <v>5835</v>
      </c>
      <c r="I653" s="22">
        <v>16.2</v>
      </c>
      <c r="K653" s="22" t="s">
        <v>5835</v>
      </c>
      <c r="N653" s="25" t="s">
        <v>6599</v>
      </c>
      <c r="O653" s="25" t="s">
        <v>5835</v>
      </c>
      <c r="R653" s="22" t="s">
        <v>5940</v>
      </c>
    </row>
    <row r="654" spans="3:18" ht="16">
      <c r="C654" s="19" t="s">
        <v>941</v>
      </c>
      <c r="D654" s="20" t="s">
        <v>2870</v>
      </c>
      <c r="E654" s="21" t="s">
        <v>6074</v>
      </c>
      <c r="F654" s="21" t="s">
        <v>6075</v>
      </c>
      <c r="G654" s="22" t="s">
        <v>5884</v>
      </c>
      <c r="H654" s="22" t="s">
        <v>5835</v>
      </c>
      <c r="I654" s="22">
        <v>82.9</v>
      </c>
      <c r="K654" s="22" t="s">
        <v>5835</v>
      </c>
      <c r="N654" s="25" t="s">
        <v>6600</v>
      </c>
      <c r="O654" s="25" t="s">
        <v>5835</v>
      </c>
      <c r="R654" s="22" t="s">
        <v>5884</v>
      </c>
    </row>
    <row r="655" spans="3:18" ht="16">
      <c r="C655" s="19" t="s">
        <v>944</v>
      </c>
      <c r="D655" s="20" t="s">
        <v>2873</v>
      </c>
      <c r="E655" s="21" t="s">
        <v>6074</v>
      </c>
      <c r="F655" s="21" t="s">
        <v>6075</v>
      </c>
      <c r="G655" s="22" t="s">
        <v>5891</v>
      </c>
      <c r="H655" s="22" t="s">
        <v>5835</v>
      </c>
      <c r="I655" s="22">
        <v>70.2</v>
      </c>
      <c r="K655" s="22" t="s">
        <v>5835</v>
      </c>
      <c r="N655" s="25" t="s">
        <v>6601</v>
      </c>
      <c r="O655" s="25" t="s">
        <v>5835</v>
      </c>
      <c r="R655" s="22" t="s">
        <v>5891</v>
      </c>
    </row>
    <row r="656" spans="3:18" ht="16">
      <c r="C656" s="19" t="s">
        <v>946</v>
      </c>
      <c r="D656" s="20" t="s">
        <v>2875</v>
      </c>
      <c r="E656" s="21" t="s">
        <v>6074</v>
      </c>
      <c r="F656" s="21" t="s">
        <v>6075</v>
      </c>
      <c r="G656" s="22" t="s">
        <v>5887</v>
      </c>
      <c r="H656" s="22" t="s">
        <v>5835</v>
      </c>
      <c r="I656" s="22">
        <v>28.5</v>
      </c>
      <c r="K656" s="22" t="s">
        <v>5835</v>
      </c>
      <c r="N656" s="25" t="s">
        <v>6602</v>
      </c>
      <c r="O656" s="25" t="s">
        <v>5835</v>
      </c>
      <c r="R656" s="22" t="s">
        <v>5887</v>
      </c>
    </row>
    <row r="657" spans="3:18" ht="16">
      <c r="C657" s="19" t="s">
        <v>949</v>
      </c>
      <c r="D657" s="20" t="s">
        <v>2878</v>
      </c>
      <c r="E657" s="21" t="s">
        <v>6074</v>
      </c>
      <c r="F657" s="21" t="s">
        <v>6075</v>
      </c>
      <c r="G657" s="22" t="s">
        <v>5889</v>
      </c>
      <c r="H657" s="22" t="s">
        <v>5835</v>
      </c>
      <c r="I657" s="22">
        <v>23.2</v>
      </c>
      <c r="K657" s="22" t="s">
        <v>5835</v>
      </c>
      <c r="N657" s="25" t="s">
        <v>6603</v>
      </c>
      <c r="O657" s="25" t="s">
        <v>5835</v>
      </c>
      <c r="R657" s="22" t="s">
        <v>5889</v>
      </c>
    </row>
    <row r="658" spans="3:18" ht="16">
      <c r="C658" s="19" t="s">
        <v>955</v>
      </c>
      <c r="D658" s="20" t="s">
        <v>2884</v>
      </c>
      <c r="E658" s="21" t="s">
        <v>6074</v>
      </c>
      <c r="F658" s="21" t="s">
        <v>6075</v>
      </c>
      <c r="G658" s="22" t="s">
        <v>5889</v>
      </c>
      <c r="H658" s="22" t="s">
        <v>5835</v>
      </c>
      <c r="I658" s="22">
        <v>83.1</v>
      </c>
      <c r="K658" s="22" t="s">
        <v>5835</v>
      </c>
      <c r="N658" s="25" t="s">
        <v>6604</v>
      </c>
      <c r="O658" s="25" t="s">
        <v>5835</v>
      </c>
      <c r="R658" s="22" t="s">
        <v>5889</v>
      </c>
    </row>
    <row r="659" spans="3:18" ht="16">
      <c r="C659" s="19" t="s">
        <v>965</v>
      </c>
      <c r="D659" s="20" t="s">
        <v>2894</v>
      </c>
      <c r="E659" s="21" t="s">
        <v>6074</v>
      </c>
      <c r="F659" s="21" t="s">
        <v>6075</v>
      </c>
      <c r="G659" s="22" t="s">
        <v>5884</v>
      </c>
      <c r="H659" s="22" t="s">
        <v>5835</v>
      </c>
      <c r="I659" s="22">
        <v>22</v>
      </c>
      <c r="K659" s="22" t="s">
        <v>5835</v>
      </c>
      <c r="N659" s="25" t="s">
        <v>6605</v>
      </c>
      <c r="O659" s="25" t="s">
        <v>5835</v>
      </c>
      <c r="R659" s="22" t="s">
        <v>5884</v>
      </c>
    </row>
    <row r="660" spans="3:18" ht="16">
      <c r="C660" s="19" t="s">
        <v>973</v>
      </c>
      <c r="D660" s="20" t="s">
        <v>2902</v>
      </c>
      <c r="E660" s="21" t="s">
        <v>5895</v>
      </c>
      <c r="F660" s="21" t="s">
        <v>5896</v>
      </c>
      <c r="G660" s="22" t="s">
        <v>5838</v>
      </c>
      <c r="H660" s="22" t="s">
        <v>5835</v>
      </c>
      <c r="I660" s="22">
        <v>106</v>
      </c>
      <c r="K660" s="22" t="s">
        <v>5835</v>
      </c>
      <c r="N660" s="25" t="s">
        <v>6606</v>
      </c>
      <c r="O660" s="25" t="s">
        <v>5835</v>
      </c>
      <c r="R660" s="22" t="s">
        <v>5838</v>
      </c>
    </row>
    <row r="661" spans="3:18" ht="16">
      <c r="C661" s="19" t="s">
        <v>978</v>
      </c>
      <c r="D661" s="20" t="s">
        <v>2906</v>
      </c>
      <c r="E661" s="21" t="s">
        <v>5956</v>
      </c>
      <c r="F661" s="21" t="s">
        <v>5957</v>
      </c>
      <c r="G661" s="22" t="s">
        <v>5846</v>
      </c>
      <c r="H661" s="22" t="s">
        <v>5835</v>
      </c>
      <c r="I661" s="22">
        <v>0</v>
      </c>
      <c r="K661" s="22" t="s">
        <v>5835</v>
      </c>
      <c r="N661" s="25" t="s">
        <v>6607</v>
      </c>
      <c r="O661" s="25" t="s">
        <v>5835</v>
      </c>
      <c r="R661" s="22" t="s">
        <v>5846</v>
      </c>
    </row>
    <row r="662" spans="3:18" ht="16">
      <c r="C662" s="19" t="s">
        <v>983</v>
      </c>
      <c r="D662" s="20" t="s">
        <v>2911</v>
      </c>
      <c r="E662" s="21" t="s">
        <v>5956</v>
      </c>
      <c r="F662" s="21" t="s">
        <v>5957</v>
      </c>
      <c r="G662" s="22" t="s">
        <v>5846</v>
      </c>
      <c r="H662" s="22" t="s">
        <v>5835</v>
      </c>
      <c r="I662" s="22">
        <v>17.2</v>
      </c>
      <c r="K662" s="22" t="s">
        <v>5835</v>
      </c>
      <c r="N662" s="25" t="s">
        <v>6608</v>
      </c>
      <c r="O662" s="25" t="s">
        <v>5835</v>
      </c>
      <c r="R662" s="22" t="s">
        <v>5846</v>
      </c>
    </row>
    <row r="663" spans="3:18" ht="16">
      <c r="C663" s="19" t="s">
        <v>987</v>
      </c>
      <c r="D663" s="20" t="s">
        <v>2915</v>
      </c>
      <c r="E663" s="21" t="s">
        <v>5956</v>
      </c>
      <c r="F663" s="21" t="s">
        <v>5957</v>
      </c>
      <c r="G663" s="22" t="s">
        <v>5846</v>
      </c>
      <c r="H663" s="22" t="s">
        <v>5835</v>
      </c>
      <c r="I663" s="22">
        <v>81.7</v>
      </c>
      <c r="K663" s="22" t="s">
        <v>5835</v>
      </c>
      <c r="N663" s="25" t="s">
        <v>6609</v>
      </c>
      <c r="O663" s="25" t="s">
        <v>5835</v>
      </c>
      <c r="R663" s="22" t="s">
        <v>5846</v>
      </c>
    </row>
    <row r="664" spans="3:18" ht="16">
      <c r="C664" s="19" t="s">
        <v>988</v>
      </c>
      <c r="D664" s="20" t="s">
        <v>2916</v>
      </c>
      <c r="E664" s="21" t="s">
        <v>5956</v>
      </c>
      <c r="F664" s="21" t="s">
        <v>5957</v>
      </c>
      <c r="G664" s="22" t="s">
        <v>5846</v>
      </c>
      <c r="H664" s="22" t="s">
        <v>5835</v>
      </c>
      <c r="I664" s="22">
        <v>35.200000000000003</v>
      </c>
      <c r="K664" s="22" t="s">
        <v>5835</v>
      </c>
      <c r="N664" s="25" t="s">
        <v>6610</v>
      </c>
      <c r="O664" s="25" t="s">
        <v>5835</v>
      </c>
      <c r="R664" s="22" t="s">
        <v>5846</v>
      </c>
    </row>
    <row r="665" spans="3:18" ht="16">
      <c r="C665" s="19" t="s">
        <v>989</v>
      </c>
      <c r="D665" s="20" t="s">
        <v>2917</v>
      </c>
      <c r="E665" s="21" t="s">
        <v>5956</v>
      </c>
      <c r="F665" s="21" t="s">
        <v>5957</v>
      </c>
      <c r="G665" s="22" t="s">
        <v>7827</v>
      </c>
      <c r="H665" s="22" t="s">
        <v>5835</v>
      </c>
      <c r="I665" s="22">
        <v>11</v>
      </c>
      <c r="K665" s="22" t="s">
        <v>5835</v>
      </c>
      <c r="N665" s="25" t="s">
        <v>5835</v>
      </c>
      <c r="O665" s="25" t="s">
        <v>5835</v>
      </c>
      <c r="R665" s="22" t="s">
        <v>5940</v>
      </c>
    </row>
    <row r="666" spans="3:18" ht="16">
      <c r="C666" s="19" t="s">
        <v>998</v>
      </c>
      <c r="D666" s="20" t="s">
        <v>2926</v>
      </c>
      <c r="E666" s="21" t="s">
        <v>6033</v>
      </c>
      <c r="F666" s="21" t="s">
        <v>5969</v>
      </c>
      <c r="G666" s="22" t="s">
        <v>5862</v>
      </c>
      <c r="H666" s="22" t="s">
        <v>5835</v>
      </c>
      <c r="I666" s="22">
        <v>74.3</v>
      </c>
      <c r="K666" s="22" t="s">
        <v>5835</v>
      </c>
      <c r="N666" s="25" t="s">
        <v>6611</v>
      </c>
      <c r="O666" s="25" t="s">
        <v>5835</v>
      </c>
      <c r="R666" s="22" t="s">
        <v>5862</v>
      </c>
    </row>
    <row r="667" spans="3:18" ht="16">
      <c r="C667" s="19" t="s">
        <v>1003</v>
      </c>
      <c r="D667" s="20" t="s">
        <v>2931</v>
      </c>
      <c r="E667" s="21" t="s">
        <v>6033</v>
      </c>
      <c r="F667" s="21" t="s">
        <v>5969</v>
      </c>
      <c r="G667" s="22" t="s">
        <v>5857</v>
      </c>
      <c r="H667" s="22" t="s">
        <v>5835</v>
      </c>
      <c r="I667" s="22">
        <v>119.2</v>
      </c>
      <c r="K667" s="22" t="s">
        <v>5835</v>
      </c>
      <c r="N667" s="25" t="s">
        <v>6612</v>
      </c>
      <c r="O667" s="25" t="s">
        <v>5835</v>
      </c>
      <c r="R667" s="22" t="s">
        <v>5857</v>
      </c>
    </row>
    <row r="668" spans="3:18" ht="16">
      <c r="C668" s="19" t="s">
        <v>1007</v>
      </c>
      <c r="D668" s="20" t="s">
        <v>2935</v>
      </c>
      <c r="E668" s="21" t="s">
        <v>5968</v>
      </c>
      <c r="F668" s="21" t="s">
        <v>5969</v>
      </c>
      <c r="G668" s="22" t="s">
        <v>5970</v>
      </c>
      <c r="H668" s="22" t="s">
        <v>7828</v>
      </c>
      <c r="I668" s="22">
        <v>170.7</v>
      </c>
      <c r="K668" s="22" t="s">
        <v>5835</v>
      </c>
      <c r="N668" s="25" t="s">
        <v>6613</v>
      </c>
      <c r="O668" s="25" t="s">
        <v>5835</v>
      </c>
      <c r="R668" s="22" t="s">
        <v>5970</v>
      </c>
    </row>
    <row r="669" spans="3:18" ht="16">
      <c r="C669" s="19" t="s">
        <v>1009</v>
      </c>
      <c r="D669" s="20" t="s">
        <v>2937</v>
      </c>
      <c r="E669" s="21" t="s">
        <v>6033</v>
      </c>
      <c r="F669" s="21" t="s">
        <v>5969</v>
      </c>
      <c r="G669" s="22" t="s">
        <v>5862</v>
      </c>
      <c r="H669" s="22" t="s">
        <v>5835</v>
      </c>
      <c r="I669" s="22">
        <v>40.299999999999997</v>
      </c>
      <c r="K669" s="22" t="s">
        <v>5835</v>
      </c>
      <c r="N669" s="25" t="s">
        <v>6614</v>
      </c>
      <c r="O669" s="25" t="s">
        <v>5835</v>
      </c>
      <c r="R669" s="22" t="s">
        <v>5862</v>
      </c>
    </row>
    <row r="670" spans="3:18" ht="16">
      <c r="C670" s="19" t="s">
        <v>1013</v>
      </c>
      <c r="D670" s="20" t="s">
        <v>2941</v>
      </c>
      <c r="E670" s="21" t="s">
        <v>6067</v>
      </c>
      <c r="F670" s="21" t="s">
        <v>17</v>
      </c>
      <c r="G670" s="22" t="s">
        <v>5915</v>
      </c>
      <c r="H670" s="22" t="s">
        <v>5835</v>
      </c>
      <c r="I670" s="22">
        <v>23.3</v>
      </c>
      <c r="K670" s="22" t="s">
        <v>5835</v>
      </c>
      <c r="N670" s="25" t="s">
        <v>6615</v>
      </c>
      <c r="O670" s="25" t="s">
        <v>5835</v>
      </c>
      <c r="R670" s="22" t="s">
        <v>5915</v>
      </c>
    </row>
    <row r="671" spans="3:18" ht="16">
      <c r="C671" s="19" t="s">
        <v>1016</v>
      </c>
      <c r="D671" s="20" t="s">
        <v>2944</v>
      </c>
      <c r="E671" s="21" t="s">
        <v>5926</v>
      </c>
      <c r="F671" s="21" t="s">
        <v>5927</v>
      </c>
      <c r="G671" s="22" t="s">
        <v>5843</v>
      </c>
      <c r="H671" s="22" t="s">
        <v>5835</v>
      </c>
      <c r="I671" s="22">
        <v>137.1</v>
      </c>
      <c r="K671" s="22" t="s">
        <v>5835</v>
      </c>
      <c r="N671" s="25" t="s">
        <v>6616</v>
      </c>
      <c r="O671" s="25" t="s">
        <v>5835</v>
      </c>
      <c r="R671" s="22" t="s">
        <v>5843</v>
      </c>
    </row>
    <row r="672" spans="3:18" ht="16">
      <c r="C672" s="19" t="s">
        <v>1017</v>
      </c>
      <c r="D672" s="20" t="s">
        <v>2945</v>
      </c>
      <c r="E672" s="21" t="s">
        <v>6033</v>
      </c>
      <c r="F672" s="21" t="s">
        <v>5969</v>
      </c>
      <c r="G672" s="22" t="s">
        <v>5857</v>
      </c>
      <c r="H672" s="22" t="s">
        <v>5835</v>
      </c>
      <c r="I672" s="22">
        <v>26.6</v>
      </c>
      <c r="K672" s="22" t="s">
        <v>5835</v>
      </c>
      <c r="N672" s="25" t="s">
        <v>6617</v>
      </c>
      <c r="O672" s="25" t="s">
        <v>5835</v>
      </c>
      <c r="R672" s="22" t="s">
        <v>5857</v>
      </c>
    </row>
    <row r="673" spans="3:18" ht="16">
      <c r="C673" s="19" t="s">
        <v>1019</v>
      </c>
      <c r="D673" s="20" t="s">
        <v>2947</v>
      </c>
      <c r="E673" s="21" t="s">
        <v>6033</v>
      </c>
      <c r="F673" s="21" t="s">
        <v>5969</v>
      </c>
      <c r="G673" s="22" t="s">
        <v>5862</v>
      </c>
      <c r="H673" s="22" t="s">
        <v>5835</v>
      </c>
      <c r="I673" s="22">
        <v>23.6</v>
      </c>
      <c r="K673" s="22" t="s">
        <v>5835</v>
      </c>
      <c r="N673" s="25" t="s">
        <v>6618</v>
      </c>
      <c r="O673" s="25" t="s">
        <v>5835</v>
      </c>
      <c r="R673" s="22" t="s">
        <v>5862</v>
      </c>
    </row>
    <row r="674" spans="3:18" ht="16">
      <c r="C674" s="19" t="s">
        <v>1021</v>
      </c>
      <c r="D674" s="20" t="s">
        <v>2949</v>
      </c>
      <c r="E674" s="21" t="s">
        <v>5926</v>
      </c>
      <c r="F674" s="21" t="s">
        <v>5927</v>
      </c>
      <c r="G674" s="22" t="s">
        <v>5843</v>
      </c>
      <c r="H674" s="22" t="s">
        <v>5835</v>
      </c>
      <c r="I674" s="22">
        <v>47</v>
      </c>
      <c r="K674" s="22" t="s">
        <v>5835</v>
      </c>
      <c r="N674" s="25" t="s">
        <v>6619</v>
      </c>
      <c r="O674" s="25" t="s">
        <v>5835</v>
      </c>
      <c r="R674" s="22" t="s">
        <v>5843</v>
      </c>
    </row>
    <row r="675" spans="3:18" ht="16">
      <c r="C675" s="19" t="s">
        <v>1023</v>
      </c>
      <c r="D675" s="20" t="s">
        <v>2951</v>
      </c>
      <c r="E675" s="21" t="s">
        <v>6033</v>
      </c>
      <c r="F675" s="21" t="s">
        <v>5969</v>
      </c>
      <c r="G675" s="22" t="s">
        <v>5862</v>
      </c>
      <c r="H675" s="22" t="s">
        <v>5835</v>
      </c>
      <c r="I675" s="22">
        <v>26.6</v>
      </c>
      <c r="K675" s="22" t="s">
        <v>5835</v>
      </c>
      <c r="N675" s="25" t="s">
        <v>6620</v>
      </c>
      <c r="O675" s="25" t="s">
        <v>5835</v>
      </c>
      <c r="R675" s="22" t="s">
        <v>5862</v>
      </c>
    </row>
    <row r="676" spans="3:18" ht="16">
      <c r="C676" s="19" t="s">
        <v>1025</v>
      </c>
      <c r="D676" s="20" t="s">
        <v>2953</v>
      </c>
      <c r="E676" s="21" t="s">
        <v>5926</v>
      </c>
      <c r="F676" s="21" t="s">
        <v>5927</v>
      </c>
      <c r="G676" s="22" t="s">
        <v>5862</v>
      </c>
      <c r="H676" s="22" t="s">
        <v>5835</v>
      </c>
      <c r="I676" s="22">
        <v>46.4</v>
      </c>
      <c r="K676" s="22" t="s">
        <v>5835</v>
      </c>
      <c r="N676" s="25" t="s">
        <v>6621</v>
      </c>
      <c r="O676" s="25" t="s">
        <v>5835</v>
      </c>
      <c r="R676" s="22" t="s">
        <v>5862</v>
      </c>
    </row>
    <row r="677" spans="3:18" ht="16">
      <c r="C677" s="19" t="s">
        <v>1027</v>
      </c>
      <c r="D677" s="20" t="s">
        <v>2955</v>
      </c>
      <c r="E677" s="21" t="s">
        <v>5968</v>
      </c>
      <c r="F677" s="21" t="s">
        <v>5969</v>
      </c>
      <c r="G677" s="22" t="s">
        <v>5862</v>
      </c>
      <c r="H677" s="22" t="s">
        <v>5835</v>
      </c>
      <c r="I677" s="22">
        <v>35.700000000000003</v>
      </c>
      <c r="K677" s="22" t="s">
        <v>5835</v>
      </c>
      <c r="N677" s="25" t="s">
        <v>6622</v>
      </c>
      <c r="O677" s="25" t="s">
        <v>5835</v>
      </c>
      <c r="R677" s="22" t="s">
        <v>5862</v>
      </c>
    </row>
    <row r="678" spans="3:18" ht="16">
      <c r="C678" s="19" t="s">
        <v>1028</v>
      </c>
      <c r="D678" s="20" t="s">
        <v>2956</v>
      </c>
      <c r="E678" s="21" t="s">
        <v>5926</v>
      </c>
      <c r="F678" s="21" t="s">
        <v>5927</v>
      </c>
      <c r="G678" s="22" t="s">
        <v>5843</v>
      </c>
      <c r="H678" s="22" t="s">
        <v>5835</v>
      </c>
      <c r="I678" s="22">
        <v>59.8</v>
      </c>
      <c r="K678" s="22" t="s">
        <v>5835</v>
      </c>
      <c r="N678" s="25" t="s">
        <v>6623</v>
      </c>
      <c r="O678" s="25" t="s">
        <v>5835</v>
      </c>
      <c r="R678" s="22" t="s">
        <v>5843</v>
      </c>
    </row>
    <row r="679" spans="3:18" ht="16">
      <c r="C679" s="19" t="s">
        <v>1030</v>
      </c>
      <c r="D679" s="20" t="s">
        <v>2958</v>
      </c>
      <c r="E679" s="21" t="s">
        <v>5926</v>
      </c>
      <c r="F679" s="21" t="s">
        <v>5835</v>
      </c>
      <c r="G679" s="22" t="s">
        <v>7827</v>
      </c>
      <c r="H679" s="22" t="s">
        <v>5835</v>
      </c>
      <c r="I679" s="22">
        <v>43.4</v>
      </c>
      <c r="K679" s="22" t="s">
        <v>5835</v>
      </c>
      <c r="N679" s="25" t="s">
        <v>5835</v>
      </c>
      <c r="O679" s="25" t="s">
        <v>5835</v>
      </c>
      <c r="R679" s="22" t="s">
        <v>5940</v>
      </c>
    </row>
    <row r="680" spans="3:18" ht="16">
      <c r="C680" s="19" t="s">
        <v>1031</v>
      </c>
      <c r="D680" s="20" t="s">
        <v>2959</v>
      </c>
      <c r="E680" s="21" t="s">
        <v>6033</v>
      </c>
      <c r="F680" s="21" t="s">
        <v>5969</v>
      </c>
      <c r="G680" s="22" t="s">
        <v>5862</v>
      </c>
      <c r="H680" s="22" t="s">
        <v>7828</v>
      </c>
      <c r="I680" s="22">
        <v>83.2</v>
      </c>
      <c r="K680" s="22" t="s">
        <v>5835</v>
      </c>
      <c r="N680" s="25" t="s">
        <v>6624</v>
      </c>
      <c r="O680" s="25" t="s">
        <v>5835</v>
      </c>
      <c r="R680" s="22" t="s">
        <v>5862</v>
      </c>
    </row>
    <row r="681" spans="3:18" ht="16">
      <c r="C681" s="19" t="s">
        <v>1032</v>
      </c>
      <c r="D681" s="20" t="s">
        <v>2960</v>
      </c>
      <c r="E681" s="21" t="s">
        <v>6033</v>
      </c>
      <c r="F681" s="21" t="s">
        <v>5969</v>
      </c>
      <c r="G681" s="22" t="s">
        <v>5970</v>
      </c>
      <c r="H681" s="22" t="s">
        <v>7828</v>
      </c>
      <c r="I681" s="22">
        <v>64.400000000000006</v>
      </c>
      <c r="K681" s="22" t="s">
        <v>5835</v>
      </c>
      <c r="N681" s="25" t="s">
        <v>6625</v>
      </c>
      <c r="O681" s="25" t="s">
        <v>5835</v>
      </c>
      <c r="R681" s="22" t="s">
        <v>5970</v>
      </c>
    </row>
    <row r="682" spans="3:18" ht="16">
      <c r="C682" s="19" t="s">
        <v>1033</v>
      </c>
      <c r="D682" s="20" t="s">
        <v>2961</v>
      </c>
      <c r="E682" s="21" t="s">
        <v>6033</v>
      </c>
      <c r="F682" s="21" t="s">
        <v>5969</v>
      </c>
      <c r="G682" s="22" t="s">
        <v>5862</v>
      </c>
      <c r="H682" s="22" t="s">
        <v>7828</v>
      </c>
      <c r="I682" s="22">
        <v>131.80000000000001</v>
      </c>
      <c r="K682" s="22" t="s">
        <v>5835</v>
      </c>
      <c r="N682" s="25" t="s">
        <v>6626</v>
      </c>
      <c r="O682" s="25" t="s">
        <v>5835</v>
      </c>
      <c r="R682" s="22" t="s">
        <v>5862</v>
      </c>
    </row>
    <row r="683" spans="3:18" ht="16">
      <c r="C683" s="19" t="s">
        <v>1036</v>
      </c>
      <c r="D683" s="20" t="s">
        <v>2964</v>
      </c>
      <c r="E683" s="21" t="s">
        <v>5926</v>
      </c>
      <c r="F683" s="21" t="s">
        <v>5927</v>
      </c>
      <c r="G683" s="22" t="s">
        <v>5843</v>
      </c>
      <c r="H683" s="22" t="s">
        <v>5835</v>
      </c>
      <c r="I683" s="22">
        <v>18.8</v>
      </c>
      <c r="K683" s="22" t="s">
        <v>5835</v>
      </c>
      <c r="N683" s="25" t="s">
        <v>6627</v>
      </c>
      <c r="O683" s="25" t="s">
        <v>5835</v>
      </c>
      <c r="R683" s="22" t="s">
        <v>5843</v>
      </c>
    </row>
    <row r="684" spans="3:18" ht="16">
      <c r="C684" s="19" t="s">
        <v>1037</v>
      </c>
      <c r="D684" s="20" t="s">
        <v>2965</v>
      </c>
      <c r="E684" s="21" t="s">
        <v>6033</v>
      </c>
      <c r="F684" s="21" t="s">
        <v>5969</v>
      </c>
      <c r="G684" s="22" t="s">
        <v>5862</v>
      </c>
      <c r="H684" s="22" t="s">
        <v>7828</v>
      </c>
      <c r="I684" s="22">
        <v>609.5</v>
      </c>
      <c r="K684" s="22" t="s">
        <v>5835</v>
      </c>
      <c r="N684" s="25" t="s">
        <v>6628</v>
      </c>
      <c r="O684" s="25" t="s">
        <v>5835</v>
      </c>
      <c r="R684" s="22" t="s">
        <v>5862</v>
      </c>
    </row>
    <row r="685" spans="3:18" ht="16">
      <c r="C685" s="19" t="s">
        <v>1040</v>
      </c>
      <c r="D685" s="20" t="s">
        <v>2968</v>
      </c>
      <c r="E685" s="21" t="s">
        <v>6166</v>
      </c>
      <c r="F685" s="21" t="s">
        <v>5835</v>
      </c>
      <c r="G685" s="22" t="s">
        <v>7825</v>
      </c>
      <c r="H685" s="22" t="s">
        <v>5835</v>
      </c>
      <c r="I685" s="22">
        <v>29.6</v>
      </c>
      <c r="K685" s="22" t="s">
        <v>5835</v>
      </c>
      <c r="N685" s="25" t="s">
        <v>5835</v>
      </c>
      <c r="O685" s="25" t="s">
        <v>5835</v>
      </c>
      <c r="R685" s="22" t="s">
        <v>6202</v>
      </c>
    </row>
    <row r="686" spans="3:18" ht="16">
      <c r="C686" s="19" t="s">
        <v>1049</v>
      </c>
      <c r="D686" s="20" t="s">
        <v>2976</v>
      </c>
      <c r="E686" s="21" t="s">
        <v>6096</v>
      </c>
      <c r="F686" s="21" t="s">
        <v>5896</v>
      </c>
      <c r="G686" s="22" t="s">
        <v>5887</v>
      </c>
      <c r="H686" s="22" t="s">
        <v>5835</v>
      </c>
      <c r="I686" s="22">
        <v>17.2</v>
      </c>
      <c r="K686" s="22" t="s">
        <v>5835</v>
      </c>
      <c r="N686" s="25" t="s">
        <v>6629</v>
      </c>
      <c r="O686" s="25" t="s">
        <v>5835</v>
      </c>
      <c r="R686" s="22" t="s">
        <v>5887</v>
      </c>
    </row>
    <row r="687" spans="3:18" ht="16">
      <c r="C687" s="19" t="s">
        <v>1051</v>
      </c>
      <c r="D687" s="20" t="s">
        <v>2978</v>
      </c>
      <c r="E687" s="21" t="s">
        <v>5895</v>
      </c>
      <c r="F687" s="21" t="s">
        <v>5896</v>
      </c>
      <c r="G687" s="22" t="s">
        <v>5887</v>
      </c>
      <c r="H687" s="22" t="s">
        <v>5835</v>
      </c>
      <c r="I687" s="22">
        <v>63.5</v>
      </c>
      <c r="K687" s="22" t="s">
        <v>5835</v>
      </c>
      <c r="N687" s="25" t="s">
        <v>6630</v>
      </c>
      <c r="O687" s="25" t="s">
        <v>5835</v>
      </c>
      <c r="R687" s="22" t="s">
        <v>5887</v>
      </c>
    </row>
    <row r="688" spans="3:18" ht="16">
      <c r="C688" s="19" t="s">
        <v>1056</v>
      </c>
      <c r="D688" s="20" t="s">
        <v>2983</v>
      </c>
      <c r="E688" s="21" t="s">
        <v>6074</v>
      </c>
      <c r="F688" s="21" t="s">
        <v>6075</v>
      </c>
      <c r="G688" s="22" t="s">
        <v>5889</v>
      </c>
      <c r="H688" s="22" t="s">
        <v>5835</v>
      </c>
      <c r="I688" s="22">
        <v>117.8</v>
      </c>
      <c r="K688" s="22" t="s">
        <v>5835</v>
      </c>
      <c r="N688" s="25" t="s">
        <v>6631</v>
      </c>
      <c r="O688" s="25" t="s">
        <v>5835</v>
      </c>
      <c r="R688" s="22" t="s">
        <v>5889</v>
      </c>
    </row>
    <row r="689" spans="3:18" ht="16">
      <c r="C689" s="19" t="s">
        <v>1057</v>
      </c>
      <c r="D689" s="20" t="s">
        <v>2984</v>
      </c>
      <c r="E689" s="21" t="s">
        <v>6074</v>
      </c>
      <c r="F689" s="21" t="s">
        <v>6075</v>
      </c>
      <c r="G689" s="22" t="s">
        <v>5889</v>
      </c>
      <c r="H689" s="22" t="s">
        <v>5835</v>
      </c>
      <c r="I689" s="22">
        <v>46.1</v>
      </c>
      <c r="K689" s="22" t="s">
        <v>5835</v>
      </c>
      <c r="N689" s="25" t="s">
        <v>6632</v>
      </c>
      <c r="O689" s="25" t="s">
        <v>5835</v>
      </c>
      <c r="R689" s="22" t="s">
        <v>5889</v>
      </c>
    </row>
    <row r="690" spans="3:18" ht="16">
      <c r="C690" s="19" t="s">
        <v>1058</v>
      </c>
      <c r="D690" s="20" t="s">
        <v>2985</v>
      </c>
      <c r="E690" s="21" t="s">
        <v>6096</v>
      </c>
      <c r="F690" s="21" t="s">
        <v>5896</v>
      </c>
      <c r="G690" s="22" t="s">
        <v>5995</v>
      </c>
      <c r="H690" s="22" t="s">
        <v>5835</v>
      </c>
      <c r="I690" s="22">
        <v>60.1</v>
      </c>
      <c r="K690" s="22" t="s">
        <v>5835</v>
      </c>
      <c r="N690" s="25" t="s">
        <v>6633</v>
      </c>
      <c r="O690" s="25" t="s">
        <v>5835</v>
      </c>
      <c r="R690" s="22" t="s">
        <v>5995</v>
      </c>
    </row>
    <row r="691" spans="3:18" ht="16">
      <c r="C691" s="19" t="s">
        <v>1063</v>
      </c>
      <c r="D691" s="20" t="s">
        <v>2990</v>
      </c>
      <c r="E691" s="21" t="s">
        <v>6074</v>
      </c>
      <c r="F691" s="21" t="s">
        <v>6075</v>
      </c>
      <c r="G691" s="22" t="s">
        <v>5882</v>
      </c>
      <c r="H691" s="22" t="s">
        <v>5835</v>
      </c>
      <c r="I691" s="22">
        <v>80.7</v>
      </c>
      <c r="K691" s="22" t="s">
        <v>5835</v>
      </c>
      <c r="N691" s="25" t="s">
        <v>6634</v>
      </c>
      <c r="O691" s="25" t="s">
        <v>5835</v>
      </c>
      <c r="R691" s="22" t="s">
        <v>5882</v>
      </c>
    </row>
    <row r="692" spans="3:18" ht="16">
      <c r="C692" s="19" t="s">
        <v>1067</v>
      </c>
      <c r="D692" s="20" t="s">
        <v>2993</v>
      </c>
      <c r="E692" s="21" t="s">
        <v>6096</v>
      </c>
      <c r="F692" s="21" t="s">
        <v>5896</v>
      </c>
      <c r="G692" s="22" t="s">
        <v>5960</v>
      </c>
      <c r="H692" s="22" t="s">
        <v>5835</v>
      </c>
      <c r="I692" s="22">
        <v>111.8</v>
      </c>
      <c r="K692" s="22" t="s">
        <v>5835</v>
      </c>
      <c r="N692" s="25" t="s">
        <v>6635</v>
      </c>
      <c r="O692" s="25" t="s">
        <v>5835</v>
      </c>
      <c r="R692" s="22" t="s">
        <v>5960</v>
      </c>
    </row>
    <row r="693" spans="3:18" ht="16">
      <c r="C693" s="19" t="s">
        <v>1069</v>
      </c>
      <c r="D693" s="20" t="s">
        <v>6636</v>
      </c>
      <c r="E693" s="21" t="s">
        <v>6096</v>
      </c>
      <c r="F693" s="21" t="s">
        <v>5896</v>
      </c>
      <c r="G693" s="22" t="s">
        <v>5887</v>
      </c>
      <c r="H693" s="22" t="s">
        <v>7828</v>
      </c>
      <c r="I693" s="22">
        <v>811</v>
      </c>
      <c r="K693" s="22" t="s">
        <v>5835</v>
      </c>
      <c r="N693" s="25" t="s">
        <v>6637</v>
      </c>
      <c r="O693" s="25" t="s">
        <v>5835</v>
      </c>
      <c r="R693" s="22" t="s">
        <v>5887</v>
      </c>
    </row>
    <row r="694" spans="3:18" ht="16">
      <c r="C694" s="19" t="s">
        <v>1070</v>
      </c>
      <c r="D694" s="20" t="s">
        <v>2995</v>
      </c>
      <c r="E694" s="21" t="s">
        <v>6096</v>
      </c>
      <c r="F694" s="21" t="s">
        <v>5896</v>
      </c>
      <c r="G694" s="22" t="s">
        <v>5887</v>
      </c>
      <c r="H694" s="22" t="s">
        <v>5835</v>
      </c>
      <c r="I694" s="22">
        <v>35.4</v>
      </c>
      <c r="K694" s="22" t="s">
        <v>5835</v>
      </c>
      <c r="N694" s="25" t="s">
        <v>6638</v>
      </c>
      <c r="O694" s="25" t="s">
        <v>5835</v>
      </c>
      <c r="R694" s="22" t="s">
        <v>5887</v>
      </c>
    </row>
    <row r="695" spans="3:18" ht="16">
      <c r="C695" s="19" t="s">
        <v>1071</v>
      </c>
      <c r="D695" s="20" t="s">
        <v>2996</v>
      </c>
      <c r="E695" s="21" t="s">
        <v>6096</v>
      </c>
      <c r="F695" s="21" t="s">
        <v>5896</v>
      </c>
      <c r="G695" s="22" t="s">
        <v>5887</v>
      </c>
      <c r="H695" s="22" t="s">
        <v>7828</v>
      </c>
      <c r="I695" s="22">
        <v>369</v>
      </c>
      <c r="K695" s="22" t="s">
        <v>5835</v>
      </c>
      <c r="N695" s="25" t="s">
        <v>6639</v>
      </c>
      <c r="O695" s="25" t="s">
        <v>5835</v>
      </c>
      <c r="R695" s="22" t="s">
        <v>5887</v>
      </c>
    </row>
    <row r="696" spans="3:18" ht="16">
      <c r="C696" s="19" t="s">
        <v>1074</v>
      </c>
      <c r="D696" s="20" t="s">
        <v>2999</v>
      </c>
      <c r="E696" s="21" t="s">
        <v>6274</v>
      </c>
      <c r="F696" s="21" t="s">
        <v>17</v>
      </c>
      <c r="G696" s="22" t="s">
        <v>12</v>
      </c>
      <c r="H696" s="22" t="s">
        <v>7828</v>
      </c>
      <c r="I696" s="22">
        <v>200.4</v>
      </c>
      <c r="K696" s="22" t="s">
        <v>5835</v>
      </c>
      <c r="N696" s="25" t="s">
        <v>6640</v>
      </c>
      <c r="O696" s="25" t="s">
        <v>5835</v>
      </c>
      <c r="R696" s="22" t="s">
        <v>12</v>
      </c>
    </row>
    <row r="697" spans="3:18" ht="16">
      <c r="C697" s="19" t="s">
        <v>1075</v>
      </c>
      <c r="D697" s="20" t="s">
        <v>3000</v>
      </c>
      <c r="E697" s="21" t="s">
        <v>6074</v>
      </c>
      <c r="F697" s="21" t="s">
        <v>5835</v>
      </c>
      <c r="G697" s="22" t="s">
        <v>7827</v>
      </c>
      <c r="H697" s="22" t="s">
        <v>7828</v>
      </c>
      <c r="I697" s="22">
        <v>103.4</v>
      </c>
      <c r="K697" s="22" t="s">
        <v>5835</v>
      </c>
      <c r="N697" s="25" t="s">
        <v>5835</v>
      </c>
      <c r="O697" s="25" t="s">
        <v>5835</v>
      </c>
      <c r="R697" s="22" t="s">
        <v>5940</v>
      </c>
    </row>
    <row r="698" spans="3:18" ht="16">
      <c r="C698" s="19" t="s">
        <v>1079</v>
      </c>
      <c r="D698" s="20" t="s">
        <v>3003</v>
      </c>
      <c r="E698" s="21" t="s">
        <v>5980</v>
      </c>
      <c r="F698" s="21" t="s">
        <v>5852</v>
      </c>
      <c r="G698" s="22" t="s">
        <v>7827</v>
      </c>
      <c r="H698" s="22" t="s">
        <v>5835</v>
      </c>
      <c r="I698" s="22">
        <v>6.2</v>
      </c>
      <c r="K698" s="22" t="s">
        <v>5835</v>
      </c>
      <c r="N698" s="25" t="s">
        <v>6641</v>
      </c>
      <c r="O698" s="25" t="s">
        <v>5835</v>
      </c>
      <c r="R698" s="22" t="s">
        <v>5940</v>
      </c>
    </row>
    <row r="699" spans="3:18" ht="16">
      <c r="C699" s="19" t="s">
        <v>1081</v>
      </c>
      <c r="D699" s="20" t="s">
        <v>3005</v>
      </c>
      <c r="E699" s="21" t="s">
        <v>6299</v>
      </c>
      <c r="F699" s="21" t="s">
        <v>5913</v>
      </c>
      <c r="G699" s="22" t="s">
        <v>5952</v>
      </c>
      <c r="H699" s="22" t="s">
        <v>7828</v>
      </c>
      <c r="I699" s="22">
        <v>2971.1</v>
      </c>
      <c r="K699" s="22" t="s">
        <v>5832</v>
      </c>
      <c r="N699" s="25" t="s">
        <v>6300</v>
      </c>
      <c r="O699" s="25" t="s">
        <v>5835</v>
      </c>
      <c r="R699" s="22" t="s">
        <v>5952</v>
      </c>
    </row>
    <row r="700" spans="3:18" ht="16">
      <c r="C700" s="19" t="s">
        <v>1083</v>
      </c>
      <c r="D700" s="20" t="s">
        <v>3007</v>
      </c>
      <c r="E700" s="21" t="s">
        <v>6226</v>
      </c>
      <c r="F700" s="21" t="s">
        <v>5913</v>
      </c>
      <c r="G700" s="22" t="s">
        <v>5913</v>
      </c>
      <c r="H700" s="22" t="s">
        <v>5835</v>
      </c>
      <c r="I700" s="22">
        <v>100.7</v>
      </c>
      <c r="K700" s="22" t="s">
        <v>5835</v>
      </c>
      <c r="N700" s="25" t="s">
        <v>6642</v>
      </c>
      <c r="O700" s="25" t="s">
        <v>5835</v>
      </c>
      <c r="R700" s="22" t="s">
        <v>5913</v>
      </c>
    </row>
    <row r="701" spans="3:18" ht="16">
      <c r="C701" s="19" t="s">
        <v>1088</v>
      </c>
      <c r="D701" s="20" t="s">
        <v>3012</v>
      </c>
      <c r="E701" s="21" t="s">
        <v>6033</v>
      </c>
      <c r="F701" s="21" t="s">
        <v>5969</v>
      </c>
      <c r="G701" s="22" t="s">
        <v>5873</v>
      </c>
      <c r="H701" s="22" t="s">
        <v>5835</v>
      </c>
      <c r="I701" s="22">
        <v>47.6</v>
      </c>
      <c r="K701" s="22" t="s">
        <v>5835</v>
      </c>
      <c r="N701" s="25" t="s">
        <v>6643</v>
      </c>
      <c r="O701" s="25" t="s">
        <v>5835</v>
      </c>
      <c r="R701" s="22" t="s">
        <v>5873</v>
      </c>
    </row>
    <row r="702" spans="3:18" ht="16">
      <c r="C702" s="19" t="s">
        <v>1089</v>
      </c>
      <c r="D702" s="20" t="s">
        <v>3013</v>
      </c>
      <c r="E702" s="21" t="s">
        <v>6372</v>
      </c>
      <c r="F702" s="21" t="s">
        <v>6197</v>
      </c>
      <c r="G702" s="22" t="s">
        <v>5954</v>
      </c>
      <c r="H702" s="22" t="s">
        <v>7828</v>
      </c>
      <c r="I702" s="22">
        <v>337.9</v>
      </c>
      <c r="K702" s="22" t="s">
        <v>5835</v>
      </c>
      <c r="N702" s="25" t="s">
        <v>6644</v>
      </c>
      <c r="O702" s="25" t="s">
        <v>5835</v>
      </c>
      <c r="R702" s="22" t="s">
        <v>5954</v>
      </c>
    </row>
    <row r="703" spans="3:18" ht="16">
      <c r="C703" s="19" t="s">
        <v>1090</v>
      </c>
      <c r="D703" s="20" t="s">
        <v>3014</v>
      </c>
      <c r="E703" s="21" t="s">
        <v>6285</v>
      </c>
      <c r="F703" s="21" t="s">
        <v>6281</v>
      </c>
      <c r="G703" s="22" t="s">
        <v>5945</v>
      </c>
      <c r="H703" s="22" t="s">
        <v>7828</v>
      </c>
      <c r="I703" s="22">
        <v>45.4</v>
      </c>
      <c r="K703" s="22" t="s">
        <v>5835</v>
      </c>
      <c r="N703" s="25" t="s">
        <v>6645</v>
      </c>
      <c r="O703" s="25" t="s">
        <v>5835</v>
      </c>
      <c r="R703" s="22" t="s">
        <v>5945</v>
      </c>
    </row>
    <row r="704" spans="3:18" ht="16">
      <c r="C704" s="19" t="s">
        <v>1091</v>
      </c>
      <c r="D704" s="20" t="s">
        <v>3015</v>
      </c>
      <c r="E704" s="21" t="s">
        <v>6257</v>
      </c>
      <c r="F704" s="21" t="s">
        <v>10</v>
      </c>
      <c r="G704" s="22" t="s">
        <v>5947</v>
      </c>
      <c r="H704" s="22" t="s">
        <v>7828</v>
      </c>
      <c r="I704" s="22">
        <v>293.39999999999998</v>
      </c>
      <c r="K704" s="22" t="s">
        <v>5835</v>
      </c>
      <c r="N704" s="25" t="s">
        <v>6646</v>
      </c>
      <c r="O704" s="25" t="s">
        <v>5835</v>
      </c>
      <c r="R704" s="22" t="s">
        <v>5947</v>
      </c>
    </row>
    <row r="705" spans="3:18" ht="16">
      <c r="C705" s="19" t="s">
        <v>1094</v>
      </c>
      <c r="D705" s="20" t="s">
        <v>3018</v>
      </c>
      <c r="E705" s="21" t="s">
        <v>6208</v>
      </c>
      <c r="F705" s="21" t="s">
        <v>17</v>
      </c>
      <c r="G705" s="22" t="s">
        <v>5911</v>
      </c>
      <c r="H705" s="22" t="s">
        <v>5835</v>
      </c>
      <c r="I705" s="22">
        <v>48.9</v>
      </c>
      <c r="K705" s="22" t="s">
        <v>5835</v>
      </c>
      <c r="N705" s="25" t="s">
        <v>6647</v>
      </c>
      <c r="O705" s="25" t="s">
        <v>5835</v>
      </c>
      <c r="R705" s="22" t="s">
        <v>5911</v>
      </c>
    </row>
    <row r="706" spans="3:18" ht="16">
      <c r="C706" s="19" t="s">
        <v>1095</v>
      </c>
      <c r="D706" s="20" t="s">
        <v>3019</v>
      </c>
      <c r="E706" s="21" t="s">
        <v>6033</v>
      </c>
      <c r="F706" s="21" t="s">
        <v>5969</v>
      </c>
      <c r="G706" s="22" t="s">
        <v>5879</v>
      </c>
      <c r="H706" s="22" t="s">
        <v>5835</v>
      </c>
      <c r="I706" s="22">
        <v>18.399999999999999</v>
      </c>
      <c r="K706" s="22" t="s">
        <v>5835</v>
      </c>
      <c r="N706" s="25" t="s">
        <v>6648</v>
      </c>
      <c r="O706" s="25" t="s">
        <v>5835</v>
      </c>
      <c r="R706" s="22" t="s">
        <v>5879</v>
      </c>
    </row>
    <row r="707" spans="3:18" ht="16">
      <c r="C707" s="19" t="s">
        <v>1098</v>
      </c>
      <c r="D707" s="20" t="s">
        <v>3022</v>
      </c>
      <c r="E707" s="21" t="s">
        <v>6293</v>
      </c>
      <c r="F707" s="21" t="s">
        <v>8</v>
      </c>
      <c r="G707" s="22" t="s">
        <v>5875</v>
      </c>
      <c r="H707" s="22" t="s">
        <v>5835</v>
      </c>
      <c r="I707" s="22">
        <v>22.8</v>
      </c>
      <c r="K707" s="22" t="s">
        <v>5835</v>
      </c>
      <c r="N707" s="25" t="s">
        <v>6649</v>
      </c>
      <c r="O707" s="25" t="s">
        <v>5835</v>
      </c>
      <c r="R707" s="22" t="s">
        <v>5875</v>
      </c>
    </row>
    <row r="708" spans="3:18" ht="16">
      <c r="C708" s="19" t="s">
        <v>1099</v>
      </c>
      <c r="D708" s="20" t="s">
        <v>3023</v>
      </c>
      <c r="E708" s="21" t="s">
        <v>6505</v>
      </c>
      <c r="F708" s="21" t="s">
        <v>6200</v>
      </c>
      <c r="G708" s="22" t="s">
        <v>5985</v>
      </c>
      <c r="H708" s="22" t="s">
        <v>5835</v>
      </c>
      <c r="I708" s="22">
        <v>49.4</v>
      </c>
      <c r="K708" s="22" t="s">
        <v>5835</v>
      </c>
      <c r="N708" s="25" t="s">
        <v>6650</v>
      </c>
      <c r="O708" s="25" t="s">
        <v>5835</v>
      </c>
      <c r="R708" s="22" t="s">
        <v>5985</v>
      </c>
    </row>
    <row r="709" spans="3:18" ht="16">
      <c r="C709" s="19" t="s">
        <v>1100</v>
      </c>
      <c r="D709" s="20" t="s">
        <v>3024</v>
      </c>
      <c r="E709" s="21" t="s">
        <v>6196</v>
      </c>
      <c r="F709" s="21" t="s">
        <v>6197</v>
      </c>
      <c r="G709" s="22" t="s">
        <v>5909</v>
      </c>
      <c r="H709" s="22" t="s">
        <v>7828</v>
      </c>
      <c r="I709" s="22">
        <v>2101.3000000000002</v>
      </c>
      <c r="K709" s="22" t="s">
        <v>5832</v>
      </c>
      <c r="N709" s="25" t="s">
        <v>6651</v>
      </c>
      <c r="O709" s="25" t="s">
        <v>5835</v>
      </c>
      <c r="R709" s="22" t="s">
        <v>5909</v>
      </c>
    </row>
    <row r="710" spans="3:18" ht="16">
      <c r="C710" s="19" t="s">
        <v>1102</v>
      </c>
      <c r="D710" s="20" t="s">
        <v>3026</v>
      </c>
      <c r="E710" s="21" t="s">
        <v>6199</v>
      </c>
      <c r="F710" s="21" t="s">
        <v>6200</v>
      </c>
      <c r="G710" s="22" t="s">
        <v>5985</v>
      </c>
      <c r="H710" s="22" t="s">
        <v>5835</v>
      </c>
      <c r="I710" s="22">
        <v>54.3</v>
      </c>
      <c r="K710" s="22" t="s">
        <v>5835</v>
      </c>
      <c r="N710" s="25" t="s">
        <v>6652</v>
      </c>
      <c r="O710" s="25" t="s">
        <v>5835</v>
      </c>
      <c r="R710" s="22" t="s">
        <v>5985</v>
      </c>
    </row>
    <row r="711" spans="3:18" ht="16">
      <c r="C711" s="19" t="s">
        <v>1103</v>
      </c>
      <c r="D711" s="20" t="s">
        <v>3027</v>
      </c>
      <c r="E711" s="21" t="s">
        <v>6166</v>
      </c>
      <c r="F711" s="21" t="s">
        <v>6080</v>
      </c>
      <c r="G711" s="22" t="s">
        <v>5954</v>
      </c>
      <c r="H711" s="22" t="s">
        <v>5835</v>
      </c>
      <c r="I711" s="22">
        <v>12.4</v>
      </c>
      <c r="K711" s="22" t="s">
        <v>5835</v>
      </c>
      <c r="N711" s="25" t="s">
        <v>6653</v>
      </c>
      <c r="O711" s="25" t="s">
        <v>5835</v>
      </c>
      <c r="R711" s="22" t="s">
        <v>5954</v>
      </c>
    </row>
    <row r="712" spans="3:18" ht="16">
      <c r="C712" s="19" t="s">
        <v>1105</v>
      </c>
      <c r="D712" s="20" t="s">
        <v>3029</v>
      </c>
      <c r="E712" s="21" t="s">
        <v>6293</v>
      </c>
      <c r="F712" s="21" t="s">
        <v>5835</v>
      </c>
      <c r="G712" s="22" t="s">
        <v>7825</v>
      </c>
      <c r="H712" s="22" t="s">
        <v>7828</v>
      </c>
      <c r="I712" s="22">
        <v>35.4</v>
      </c>
      <c r="K712" s="22" t="s">
        <v>5835</v>
      </c>
      <c r="N712" s="25" t="s">
        <v>5835</v>
      </c>
      <c r="O712" s="25" t="s">
        <v>5835</v>
      </c>
      <c r="R712" s="22" t="s">
        <v>6202</v>
      </c>
    </row>
    <row r="713" spans="3:18" ht="16">
      <c r="C713" s="19" t="s">
        <v>1108</v>
      </c>
      <c r="D713" s="20" t="s">
        <v>3031</v>
      </c>
      <c r="E713" s="21" t="s">
        <v>6257</v>
      </c>
      <c r="F713" s="21" t="s">
        <v>10</v>
      </c>
      <c r="G713" s="22" t="s">
        <v>5947</v>
      </c>
      <c r="H713" s="22" t="s">
        <v>5835</v>
      </c>
      <c r="I713" s="22">
        <v>41.2</v>
      </c>
      <c r="K713" s="22" t="s">
        <v>5835</v>
      </c>
      <c r="N713" s="25" t="s">
        <v>6654</v>
      </c>
      <c r="O713" s="25" t="s">
        <v>5835</v>
      </c>
      <c r="R713" s="22" t="s">
        <v>5947</v>
      </c>
    </row>
    <row r="714" spans="3:18" ht="16">
      <c r="C714" s="19" t="s">
        <v>1110</v>
      </c>
      <c r="D714" s="20" t="s">
        <v>3033</v>
      </c>
      <c r="E714" s="21" t="s">
        <v>6199</v>
      </c>
      <c r="F714" s="21" t="s">
        <v>6200</v>
      </c>
      <c r="G714" s="22" t="s">
        <v>5881</v>
      </c>
      <c r="H714" s="22" t="s">
        <v>5835</v>
      </c>
      <c r="I714" s="22">
        <v>24.2</v>
      </c>
      <c r="K714" s="22" t="s">
        <v>5835</v>
      </c>
      <c r="N714" s="25" t="s">
        <v>6655</v>
      </c>
      <c r="O714" s="25" t="s">
        <v>5835</v>
      </c>
      <c r="R714" s="22" t="s">
        <v>5881</v>
      </c>
    </row>
    <row r="715" spans="3:18" ht="16">
      <c r="C715" s="19" t="s">
        <v>1111</v>
      </c>
      <c r="D715" s="20" t="s">
        <v>3034</v>
      </c>
      <c r="E715" s="21" t="s">
        <v>6208</v>
      </c>
      <c r="F715" s="21" t="s">
        <v>17</v>
      </c>
      <c r="G715" s="22" t="s">
        <v>5911</v>
      </c>
      <c r="H715" s="22" t="s">
        <v>7828</v>
      </c>
      <c r="I715" s="22">
        <v>1081.0999999999999</v>
      </c>
      <c r="K715" s="22" t="s">
        <v>5835</v>
      </c>
      <c r="N715" s="25" t="s">
        <v>6656</v>
      </c>
      <c r="O715" s="25" t="s">
        <v>5835</v>
      </c>
      <c r="R715" s="22" t="s">
        <v>5911</v>
      </c>
    </row>
    <row r="716" spans="3:18" ht="16">
      <c r="C716" s="19" t="s">
        <v>1112</v>
      </c>
      <c r="D716" s="20" t="s">
        <v>3035</v>
      </c>
      <c r="E716" s="21" t="s">
        <v>6505</v>
      </c>
      <c r="F716" s="21" t="s">
        <v>6200</v>
      </c>
      <c r="G716" s="22" t="s">
        <v>5985</v>
      </c>
      <c r="H716" s="22" t="s">
        <v>5835</v>
      </c>
      <c r="I716" s="22">
        <v>78.599999999999994</v>
      </c>
      <c r="K716" s="22" t="s">
        <v>5835</v>
      </c>
      <c r="N716" s="25" t="s">
        <v>6657</v>
      </c>
      <c r="O716" s="25" t="s">
        <v>5835</v>
      </c>
      <c r="R716" s="22" t="s">
        <v>5985</v>
      </c>
    </row>
    <row r="717" spans="3:18" ht="16">
      <c r="C717" s="19" t="s">
        <v>1113</v>
      </c>
      <c r="D717" s="20" t="s">
        <v>3036</v>
      </c>
      <c r="E717" s="21" t="s">
        <v>6257</v>
      </c>
      <c r="F717" s="21" t="s">
        <v>10</v>
      </c>
      <c r="G717" s="22" t="s">
        <v>5937</v>
      </c>
      <c r="H717" s="22" t="s">
        <v>7828</v>
      </c>
      <c r="I717" s="22">
        <v>226.8</v>
      </c>
      <c r="K717" s="22" t="s">
        <v>5835</v>
      </c>
      <c r="N717" s="25" t="s">
        <v>6658</v>
      </c>
      <c r="O717" s="25" t="s">
        <v>5835</v>
      </c>
      <c r="R717" s="22" t="s">
        <v>5937</v>
      </c>
    </row>
    <row r="718" spans="3:18" ht="16">
      <c r="C718" s="19" t="s">
        <v>1115</v>
      </c>
      <c r="D718" s="20" t="s">
        <v>3038</v>
      </c>
      <c r="E718" s="21" t="s">
        <v>6233</v>
      </c>
      <c r="F718" s="21" t="s">
        <v>5928</v>
      </c>
      <c r="G718" s="22" t="s">
        <v>5928</v>
      </c>
      <c r="H718" s="22" t="s">
        <v>5835</v>
      </c>
      <c r="I718" s="22">
        <v>60.8</v>
      </c>
      <c r="K718" s="22" t="s">
        <v>5835</v>
      </c>
      <c r="N718" s="25" t="s">
        <v>6659</v>
      </c>
      <c r="O718" s="25" t="s">
        <v>5835</v>
      </c>
      <c r="R718" s="22" t="s">
        <v>5928</v>
      </c>
    </row>
    <row r="719" spans="3:18" ht="16">
      <c r="C719" s="19" t="s">
        <v>1116</v>
      </c>
      <c r="D719" s="20" t="s">
        <v>3039</v>
      </c>
      <c r="E719" s="21" t="s">
        <v>6257</v>
      </c>
      <c r="F719" s="21" t="s">
        <v>10</v>
      </c>
      <c r="G719" s="22" t="s">
        <v>5941</v>
      </c>
      <c r="H719" s="22" t="s">
        <v>7828</v>
      </c>
      <c r="I719" s="22">
        <v>108</v>
      </c>
      <c r="K719" s="22" t="s">
        <v>5835</v>
      </c>
      <c r="N719" s="25" t="s">
        <v>6660</v>
      </c>
      <c r="O719" s="25" t="s">
        <v>5835</v>
      </c>
      <c r="R719" s="22" t="s">
        <v>5941</v>
      </c>
    </row>
    <row r="720" spans="3:18" ht="16">
      <c r="C720" s="19" t="s">
        <v>1121</v>
      </c>
      <c r="D720" s="20" t="s">
        <v>3044</v>
      </c>
      <c r="E720" s="21" t="s">
        <v>6280</v>
      </c>
      <c r="F720" s="21" t="s">
        <v>6281</v>
      </c>
      <c r="G720" s="22" t="s">
        <v>5976</v>
      </c>
      <c r="H720" s="22" t="s">
        <v>5835</v>
      </c>
      <c r="I720" s="22">
        <v>37.5</v>
      </c>
      <c r="K720" s="22" t="s">
        <v>5835</v>
      </c>
      <c r="N720" s="25" t="s">
        <v>6661</v>
      </c>
      <c r="O720" s="25" t="s">
        <v>5835</v>
      </c>
      <c r="R720" s="22" t="s">
        <v>5976</v>
      </c>
    </row>
    <row r="721" spans="3:18" ht="16">
      <c r="C721" s="19" t="s">
        <v>1122</v>
      </c>
      <c r="D721" s="20" t="s">
        <v>3045</v>
      </c>
      <c r="E721" s="21" t="s">
        <v>6226</v>
      </c>
      <c r="F721" s="21" t="s">
        <v>5913</v>
      </c>
      <c r="G721" s="22" t="s">
        <v>5962</v>
      </c>
      <c r="H721" s="22" t="s">
        <v>7828</v>
      </c>
      <c r="I721" s="22">
        <v>74.900000000000006</v>
      </c>
      <c r="K721" s="22" t="s">
        <v>5835</v>
      </c>
      <c r="N721" s="25" t="s">
        <v>6662</v>
      </c>
      <c r="O721" s="25" t="s">
        <v>5835</v>
      </c>
      <c r="R721" s="22" t="s">
        <v>5962</v>
      </c>
    </row>
    <row r="722" spans="3:18" ht="16">
      <c r="C722" s="19" t="s">
        <v>1125</v>
      </c>
      <c r="D722" s="20" t="s">
        <v>3048</v>
      </c>
      <c r="E722" s="21" t="s">
        <v>6219</v>
      </c>
      <c r="F722" s="21" t="s">
        <v>17</v>
      </c>
      <c r="G722" s="22" t="s">
        <v>5943</v>
      </c>
      <c r="H722" s="22" t="s">
        <v>5835</v>
      </c>
      <c r="I722" s="22">
        <v>22.9</v>
      </c>
      <c r="K722" s="22" t="s">
        <v>5835</v>
      </c>
      <c r="N722" s="25" t="s">
        <v>6663</v>
      </c>
      <c r="O722" s="25" t="s">
        <v>5835</v>
      </c>
      <c r="R722" s="22" t="s">
        <v>5943</v>
      </c>
    </row>
    <row r="723" spans="3:18" ht="16">
      <c r="C723" s="19" t="s">
        <v>1127</v>
      </c>
      <c r="D723" s="20" t="s">
        <v>3050</v>
      </c>
      <c r="E723" s="21" t="s">
        <v>6664</v>
      </c>
      <c r="F723" s="21" t="s">
        <v>6314</v>
      </c>
      <c r="G723" s="22" t="s">
        <v>5997</v>
      </c>
      <c r="H723" s="22" t="s">
        <v>5835</v>
      </c>
      <c r="I723" s="22">
        <v>63.6</v>
      </c>
      <c r="K723" s="22" t="s">
        <v>5835</v>
      </c>
      <c r="N723" s="25" t="s">
        <v>6665</v>
      </c>
      <c r="O723" s="25" t="s">
        <v>5835</v>
      </c>
      <c r="R723" s="22" t="s">
        <v>5997</v>
      </c>
    </row>
    <row r="724" spans="3:18" ht="16">
      <c r="C724" s="19" t="s">
        <v>1129</v>
      </c>
      <c r="D724" s="20" t="s">
        <v>3052</v>
      </c>
      <c r="E724" s="21" t="s">
        <v>6277</v>
      </c>
      <c r="F724" s="21" t="s">
        <v>17</v>
      </c>
      <c r="G724" s="22" t="s">
        <v>5873</v>
      </c>
      <c r="H724" s="22" t="s">
        <v>5835</v>
      </c>
      <c r="I724" s="22">
        <v>17.7</v>
      </c>
      <c r="K724" s="22" t="s">
        <v>5835</v>
      </c>
      <c r="N724" s="25" t="s">
        <v>6666</v>
      </c>
      <c r="O724" s="25" t="s">
        <v>5835</v>
      </c>
      <c r="R724" s="22" t="s">
        <v>5873</v>
      </c>
    </row>
    <row r="725" spans="3:18" ht="16">
      <c r="C725" s="19" t="s">
        <v>1130</v>
      </c>
      <c r="D725" s="20" t="s">
        <v>3053</v>
      </c>
      <c r="E725" s="21" t="s">
        <v>6054</v>
      </c>
      <c r="F725" s="21" t="s">
        <v>6055</v>
      </c>
      <c r="G725" s="22" t="s">
        <v>5865</v>
      </c>
      <c r="H725" s="22" t="s">
        <v>5835</v>
      </c>
      <c r="I725" s="22">
        <v>156.30000000000001</v>
      </c>
      <c r="K725" s="22" t="s">
        <v>5835</v>
      </c>
      <c r="N725" s="25" t="s">
        <v>6667</v>
      </c>
      <c r="O725" s="25" t="s">
        <v>5835</v>
      </c>
      <c r="R725" s="22" t="s">
        <v>5865</v>
      </c>
    </row>
    <row r="726" spans="3:18" ht="16">
      <c r="C726" s="19" t="s">
        <v>1139</v>
      </c>
      <c r="D726" s="20" t="s">
        <v>3062</v>
      </c>
      <c r="E726" s="21" t="s">
        <v>6521</v>
      </c>
      <c r="F726" s="21" t="s">
        <v>6314</v>
      </c>
      <c r="G726" s="22" t="s">
        <v>5958</v>
      </c>
      <c r="H726" s="22" t="s">
        <v>5835</v>
      </c>
      <c r="I726" s="22">
        <v>79.2</v>
      </c>
      <c r="K726" s="22" t="s">
        <v>5835</v>
      </c>
      <c r="N726" s="25" t="s">
        <v>6668</v>
      </c>
      <c r="O726" s="25" t="s">
        <v>5835</v>
      </c>
      <c r="R726" s="22" t="s">
        <v>5958</v>
      </c>
    </row>
    <row r="727" spans="3:18" ht="16">
      <c r="C727" s="19" t="s">
        <v>1147</v>
      </c>
      <c r="D727" s="20" t="s">
        <v>3070</v>
      </c>
      <c r="E727" s="21" t="s">
        <v>6277</v>
      </c>
      <c r="F727" s="21" t="s">
        <v>17</v>
      </c>
      <c r="G727" s="22" t="s">
        <v>5873</v>
      </c>
      <c r="H727" s="22" t="s">
        <v>5835</v>
      </c>
      <c r="I727" s="22">
        <v>24.6</v>
      </c>
      <c r="K727" s="22" t="s">
        <v>5835</v>
      </c>
      <c r="N727" s="25" t="s">
        <v>6669</v>
      </c>
      <c r="O727" s="25" t="s">
        <v>5835</v>
      </c>
      <c r="R727" s="22" t="s">
        <v>5873</v>
      </c>
    </row>
    <row r="728" spans="3:18" ht="16">
      <c r="C728" s="19" t="s">
        <v>1149</v>
      </c>
      <c r="D728" s="20" t="s">
        <v>3072</v>
      </c>
      <c r="E728" s="21" t="s">
        <v>6067</v>
      </c>
      <c r="F728" s="21" t="s">
        <v>17</v>
      </c>
      <c r="G728" s="22" t="s">
        <v>7825</v>
      </c>
      <c r="H728" s="22" t="s">
        <v>5835</v>
      </c>
      <c r="I728" s="22">
        <v>94.1</v>
      </c>
      <c r="K728" s="22" t="s">
        <v>5835</v>
      </c>
      <c r="N728" s="25" t="s">
        <v>5835</v>
      </c>
      <c r="O728" s="25" t="s">
        <v>5835</v>
      </c>
      <c r="R728" s="22" t="s">
        <v>6202</v>
      </c>
    </row>
    <row r="729" spans="3:18" ht="16">
      <c r="C729" s="19" t="s">
        <v>1151</v>
      </c>
      <c r="D729" s="20" t="s">
        <v>3074</v>
      </c>
      <c r="E729" s="21" t="s">
        <v>6079</v>
      </c>
      <c r="F729" s="21" t="s">
        <v>6080</v>
      </c>
      <c r="G729" s="22" t="s">
        <v>5954</v>
      </c>
      <c r="H729" s="22" t="s">
        <v>5835</v>
      </c>
      <c r="I729" s="22">
        <v>69.900000000000006</v>
      </c>
      <c r="K729" s="22" t="s">
        <v>5835</v>
      </c>
      <c r="N729" s="25" t="s">
        <v>6670</v>
      </c>
      <c r="O729" s="25" t="s">
        <v>5835</v>
      </c>
      <c r="R729" s="22" t="s">
        <v>5954</v>
      </c>
    </row>
    <row r="730" spans="3:18" ht="16">
      <c r="C730" s="19" t="s">
        <v>1155</v>
      </c>
      <c r="D730" s="20" t="s">
        <v>3078</v>
      </c>
      <c r="E730" s="21" t="s">
        <v>6274</v>
      </c>
      <c r="F730" s="21" t="s">
        <v>17</v>
      </c>
      <c r="G730" s="22" t="s">
        <v>5960</v>
      </c>
      <c r="H730" s="22" t="s">
        <v>7828</v>
      </c>
      <c r="I730" s="22">
        <v>251.6</v>
      </c>
      <c r="K730" s="22" t="s">
        <v>5835</v>
      </c>
      <c r="N730" s="25" t="s">
        <v>6671</v>
      </c>
      <c r="O730" s="25" t="s">
        <v>5835</v>
      </c>
      <c r="R730" s="22" t="s">
        <v>5960</v>
      </c>
    </row>
    <row r="731" spans="3:18" ht="16">
      <c r="C731" s="19" t="s">
        <v>1157</v>
      </c>
      <c r="D731" s="20" t="s">
        <v>3080</v>
      </c>
      <c r="E731" s="21" t="s">
        <v>6505</v>
      </c>
      <c r="F731" s="21" t="s">
        <v>6200</v>
      </c>
      <c r="G731" s="22" t="s">
        <v>5985</v>
      </c>
      <c r="H731" s="22" t="s">
        <v>5835</v>
      </c>
      <c r="I731" s="22">
        <v>98.2</v>
      </c>
      <c r="K731" s="22" t="s">
        <v>5835</v>
      </c>
      <c r="N731" s="25" t="s">
        <v>6672</v>
      </c>
      <c r="O731" s="25" t="s">
        <v>5835</v>
      </c>
      <c r="R731" s="22" t="s">
        <v>5985</v>
      </c>
    </row>
    <row r="732" spans="3:18" ht="16">
      <c r="C732" s="19" t="s">
        <v>1158</v>
      </c>
      <c r="D732" s="20" t="s">
        <v>3081</v>
      </c>
      <c r="E732" s="21" t="s">
        <v>6199</v>
      </c>
      <c r="F732" s="21" t="s">
        <v>6200</v>
      </c>
      <c r="G732" s="22" t="s">
        <v>7825</v>
      </c>
      <c r="H732" s="22" t="s">
        <v>5835</v>
      </c>
      <c r="I732" s="22">
        <v>32.5</v>
      </c>
      <c r="K732" s="22" t="s">
        <v>5835</v>
      </c>
      <c r="N732" s="25" t="s">
        <v>5835</v>
      </c>
      <c r="O732" s="25" t="s">
        <v>5835</v>
      </c>
      <c r="R732" s="22" t="s">
        <v>6202</v>
      </c>
    </row>
    <row r="733" spans="3:18" ht="16">
      <c r="C733" s="19" t="s">
        <v>1161</v>
      </c>
      <c r="D733" s="20" t="s">
        <v>3084</v>
      </c>
      <c r="E733" s="21" t="s">
        <v>6358</v>
      </c>
      <c r="F733" s="21" t="s">
        <v>6281</v>
      </c>
      <c r="G733" s="22" t="s">
        <v>5945</v>
      </c>
      <c r="H733" s="22" t="s">
        <v>5835</v>
      </c>
      <c r="I733" s="22">
        <v>71.900000000000006</v>
      </c>
      <c r="K733" s="22" t="s">
        <v>5835</v>
      </c>
      <c r="N733" s="25" t="s">
        <v>6673</v>
      </c>
      <c r="O733" s="25" t="s">
        <v>5835</v>
      </c>
      <c r="R733" s="22" t="s">
        <v>5945</v>
      </c>
    </row>
    <row r="734" spans="3:18" ht="16">
      <c r="C734" s="19" t="s">
        <v>1163</v>
      </c>
      <c r="D734" s="20" t="s">
        <v>3086</v>
      </c>
      <c r="E734" s="21" t="s">
        <v>6257</v>
      </c>
      <c r="F734" s="21" t="s">
        <v>10</v>
      </c>
      <c r="G734" s="22" t="s">
        <v>5978</v>
      </c>
      <c r="H734" s="22" t="s">
        <v>7828</v>
      </c>
      <c r="I734" s="22">
        <v>1464.1</v>
      </c>
      <c r="K734" s="22" t="s">
        <v>5835</v>
      </c>
      <c r="N734" s="25" t="s">
        <v>6674</v>
      </c>
      <c r="O734" s="25" t="s">
        <v>5835</v>
      </c>
      <c r="R734" s="22" t="s">
        <v>5978</v>
      </c>
    </row>
    <row r="735" spans="3:18" ht="16">
      <c r="C735" s="19" t="s">
        <v>1168</v>
      </c>
      <c r="D735" s="20" t="s">
        <v>3090</v>
      </c>
      <c r="E735" s="21" t="s">
        <v>6033</v>
      </c>
      <c r="F735" s="21" t="s">
        <v>5969</v>
      </c>
      <c r="G735" s="22" t="s">
        <v>5879</v>
      </c>
      <c r="H735" s="22" t="s">
        <v>5835</v>
      </c>
      <c r="I735" s="22">
        <v>56.6</v>
      </c>
      <c r="K735" s="22" t="s">
        <v>5835</v>
      </c>
      <c r="N735" s="25" t="s">
        <v>6675</v>
      </c>
      <c r="O735" s="25" t="s">
        <v>5835</v>
      </c>
      <c r="R735" s="22" t="s">
        <v>5879</v>
      </c>
    </row>
    <row r="736" spans="3:18" ht="16">
      <c r="C736" s="19" t="s">
        <v>1169</v>
      </c>
      <c r="D736" s="20" t="s">
        <v>3091</v>
      </c>
      <c r="E736" s="21" t="s">
        <v>5968</v>
      </c>
      <c r="F736" s="21" t="s">
        <v>5969</v>
      </c>
      <c r="G736" s="22" t="s">
        <v>5862</v>
      </c>
      <c r="H736" s="22" t="s">
        <v>7828</v>
      </c>
      <c r="I736" s="22">
        <v>110</v>
      </c>
      <c r="K736" s="22" t="s">
        <v>5835</v>
      </c>
      <c r="N736" s="25" t="s">
        <v>6676</v>
      </c>
      <c r="O736" s="25" t="s">
        <v>5835</v>
      </c>
      <c r="R736" s="22" t="s">
        <v>5862</v>
      </c>
    </row>
    <row r="737" spans="3:18" ht="16">
      <c r="C737" s="19" t="s">
        <v>1170</v>
      </c>
      <c r="D737" s="20" t="s">
        <v>3092</v>
      </c>
      <c r="E737" s="21" t="s">
        <v>6067</v>
      </c>
      <c r="F737" s="21" t="s">
        <v>17</v>
      </c>
      <c r="G737" s="22" t="s">
        <v>5930</v>
      </c>
      <c r="H737" s="22" t="s">
        <v>5835</v>
      </c>
      <c r="I737" s="22">
        <v>45.3</v>
      </c>
      <c r="K737" s="22" t="s">
        <v>5835</v>
      </c>
      <c r="N737" s="25" t="s">
        <v>6677</v>
      </c>
      <c r="O737" s="25" t="s">
        <v>5835</v>
      </c>
      <c r="R737" s="22" t="s">
        <v>5930</v>
      </c>
    </row>
    <row r="738" spans="3:18" ht="16">
      <c r="C738" s="19" t="s">
        <v>1172</v>
      </c>
      <c r="D738" s="20" t="s">
        <v>3094</v>
      </c>
      <c r="E738" s="21" t="s">
        <v>5926</v>
      </c>
      <c r="F738" s="21" t="s">
        <v>5927</v>
      </c>
      <c r="G738" s="22" t="s">
        <v>5843</v>
      </c>
      <c r="H738" s="22" t="s">
        <v>7828</v>
      </c>
      <c r="I738" s="22">
        <v>96.9</v>
      </c>
      <c r="K738" s="22" t="s">
        <v>5835</v>
      </c>
      <c r="N738" s="25" t="s">
        <v>6678</v>
      </c>
      <c r="O738" s="25" t="s">
        <v>5835</v>
      </c>
      <c r="R738" s="22" t="s">
        <v>5843</v>
      </c>
    </row>
    <row r="739" spans="3:18" ht="16">
      <c r="C739" s="19" t="s">
        <v>1175</v>
      </c>
      <c r="D739" s="20" t="s">
        <v>3097</v>
      </c>
      <c r="E739" s="21" t="s">
        <v>5968</v>
      </c>
      <c r="F739" s="21" t="s">
        <v>5835</v>
      </c>
      <c r="G739" s="22" t="s">
        <v>7827</v>
      </c>
      <c r="H739" s="22" t="s">
        <v>5835</v>
      </c>
      <c r="I739" s="22">
        <v>60.6</v>
      </c>
      <c r="K739" s="22" t="s">
        <v>5835</v>
      </c>
      <c r="N739" s="25" t="s">
        <v>5835</v>
      </c>
      <c r="O739" s="25" t="s">
        <v>5835</v>
      </c>
      <c r="R739" s="22" t="s">
        <v>5940</v>
      </c>
    </row>
    <row r="740" spans="3:18" ht="16">
      <c r="C740" s="19" t="s">
        <v>1179</v>
      </c>
      <c r="D740" s="20" t="s">
        <v>3101</v>
      </c>
      <c r="E740" s="21" t="s">
        <v>6679</v>
      </c>
      <c r="F740" s="21" t="s">
        <v>6680</v>
      </c>
      <c r="G740" s="22" t="s">
        <v>5859</v>
      </c>
      <c r="H740" s="22" t="s">
        <v>5835</v>
      </c>
      <c r="I740" s="22">
        <v>117.7</v>
      </c>
      <c r="K740" s="22" t="s">
        <v>5835</v>
      </c>
      <c r="N740" s="25" t="s">
        <v>6681</v>
      </c>
      <c r="O740" s="25" t="s">
        <v>5835</v>
      </c>
      <c r="R740" s="22" t="s">
        <v>5859</v>
      </c>
    </row>
    <row r="741" spans="3:18" ht="16">
      <c r="C741" s="19" t="s">
        <v>1201</v>
      </c>
      <c r="D741" s="20" t="s">
        <v>3121</v>
      </c>
      <c r="E741" s="21" t="s">
        <v>6226</v>
      </c>
      <c r="F741" s="21" t="s">
        <v>5913</v>
      </c>
      <c r="G741" s="22" t="s">
        <v>5913</v>
      </c>
      <c r="H741" s="22" t="s">
        <v>7828</v>
      </c>
      <c r="I741" s="22">
        <v>288.89999999999998</v>
      </c>
      <c r="K741" s="22" t="s">
        <v>5835</v>
      </c>
      <c r="N741" s="25" t="s">
        <v>6682</v>
      </c>
      <c r="O741" s="25" t="s">
        <v>5835</v>
      </c>
      <c r="R741" s="22" t="s">
        <v>5913</v>
      </c>
    </row>
    <row r="742" spans="3:18" ht="16">
      <c r="C742" s="19" t="s">
        <v>1209</v>
      </c>
      <c r="D742" s="20" t="s">
        <v>3129</v>
      </c>
      <c r="E742" s="21" t="s">
        <v>6471</v>
      </c>
      <c r="F742" s="21" t="s">
        <v>6231</v>
      </c>
      <c r="G742" s="22" t="s">
        <v>5933</v>
      </c>
      <c r="H742" s="22" t="s">
        <v>7828</v>
      </c>
      <c r="I742" s="22">
        <v>535.9</v>
      </c>
      <c r="K742" s="22" t="s">
        <v>5835</v>
      </c>
      <c r="N742" s="25" t="s">
        <v>6683</v>
      </c>
      <c r="O742" s="25" t="s">
        <v>5835</v>
      </c>
      <c r="R742" s="22" t="s">
        <v>5933</v>
      </c>
    </row>
    <row r="743" spans="3:18" ht="16">
      <c r="C743" s="19" t="s">
        <v>1221</v>
      </c>
      <c r="D743" s="20" t="s">
        <v>3141</v>
      </c>
      <c r="E743" s="21" t="s">
        <v>6208</v>
      </c>
      <c r="F743" s="21" t="s">
        <v>17</v>
      </c>
      <c r="G743" s="22" t="s">
        <v>5911</v>
      </c>
      <c r="H743" s="22" t="s">
        <v>7828</v>
      </c>
      <c r="I743" s="22">
        <v>289.3</v>
      </c>
      <c r="K743" s="22" t="s">
        <v>5835</v>
      </c>
      <c r="N743" s="25" t="s">
        <v>6684</v>
      </c>
      <c r="O743" s="25" t="s">
        <v>5835</v>
      </c>
      <c r="R743" s="22" t="s">
        <v>5911</v>
      </c>
    </row>
    <row r="744" spans="3:18" ht="16">
      <c r="C744" s="19" t="s">
        <v>1222</v>
      </c>
      <c r="D744" s="20" t="s">
        <v>3142</v>
      </c>
      <c r="E744" s="21" t="s">
        <v>6257</v>
      </c>
      <c r="F744" s="21" t="s">
        <v>10</v>
      </c>
      <c r="G744" s="22" t="s">
        <v>5947</v>
      </c>
      <c r="H744" s="22" t="s">
        <v>5835</v>
      </c>
      <c r="I744" s="22">
        <v>53.3</v>
      </c>
      <c r="K744" s="22" t="s">
        <v>5835</v>
      </c>
      <c r="N744" s="25" t="s">
        <v>6685</v>
      </c>
      <c r="O744" s="25" t="s">
        <v>5835</v>
      </c>
      <c r="R744" s="22" t="s">
        <v>5947</v>
      </c>
    </row>
    <row r="745" spans="3:18" ht="16">
      <c r="C745" s="19" t="s">
        <v>1228</v>
      </c>
      <c r="D745" s="20" t="s">
        <v>3148</v>
      </c>
      <c r="E745" s="21" t="s">
        <v>6280</v>
      </c>
      <c r="F745" s="21" t="s">
        <v>6281</v>
      </c>
      <c r="G745" s="22" t="s">
        <v>5906</v>
      </c>
      <c r="H745" s="22" t="s">
        <v>5835</v>
      </c>
      <c r="I745" s="22">
        <v>23.2</v>
      </c>
      <c r="K745" s="22" t="s">
        <v>5835</v>
      </c>
      <c r="N745" s="25" t="s">
        <v>6686</v>
      </c>
      <c r="O745" s="25" t="s">
        <v>5835</v>
      </c>
      <c r="R745" s="22" t="s">
        <v>5906</v>
      </c>
    </row>
    <row r="746" spans="3:18" ht="16">
      <c r="C746" s="19" t="s">
        <v>1239</v>
      </c>
      <c r="D746" s="20" t="s">
        <v>3159</v>
      </c>
      <c r="E746" s="21" t="s">
        <v>5923</v>
      </c>
      <c r="F746" s="21" t="s">
        <v>5831</v>
      </c>
      <c r="G746" s="22" t="s">
        <v>5840</v>
      </c>
      <c r="H746" s="22" t="s">
        <v>5835</v>
      </c>
      <c r="I746" s="22">
        <v>49.9</v>
      </c>
      <c r="K746" s="22" t="s">
        <v>5835</v>
      </c>
      <c r="N746" s="25" t="s">
        <v>6687</v>
      </c>
      <c r="O746" s="25" t="s">
        <v>5835</v>
      </c>
      <c r="R746" s="22" t="s">
        <v>5840</v>
      </c>
    </row>
    <row r="747" spans="3:18" ht="16">
      <c r="C747" s="19" t="s">
        <v>1241</v>
      </c>
      <c r="D747" s="20" t="s">
        <v>3161</v>
      </c>
      <c r="E747" s="21" t="s">
        <v>5923</v>
      </c>
      <c r="F747" s="21" t="s">
        <v>5831</v>
      </c>
      <c r="G747" s="22" t="s">
        <v>5840</v>
      </c>
      <c r="H747" s="22" t="s">
        <v>5835</v>
      </c>
      <c r="I747" s="22">
        <v>62.4</v>
      </c>
      <c r="K747" s="22" t="s">
        <v>5835</v>
      </c>
      <c r="N747" s="25" t="s">
        <v>6688</v>
      </c>
      <c r="O747" s="25" t="s">
        <v>5835</v>
      </c>
      <c r="R747" s="22" t="s">
        <v>5840</v>
      </c>
    </row>
    <row r="748" spans="3:18" ht="16">
      <c r="C748" s="19" t="s">
        <v>1243</v>
      </c>
      <c r="D748" s="20" t="s">
        <v>3163</v>
      </c>
      <c r="E748" s="21" t="s">
        <v>5923</v>
      </c>
      <c r="F748" s="21" t="s">
        <v>5831</v>
      </c>
      <c r="G748" s="22" t="s">
        <v>5840</v>
      </c>
      <c r="H748" s="22" t="s">
        <v>5835</v>
      </c>
      <c r="I748" s="22">
        <v>55.4</v>
      </c>
      <c r="K748" s="22" t="s">
        <v>5835</v>
      </c>
      <c r="N748" s="25" t="s">
        <v>6689</v>
      </c>
      <c r="O748" s="25" t="s">
        <v>5835</v>
      </c>
      <c r="R748" s="22" t="s">
        <v>5840</v>
      </c>
    </row>
    <row r="749" spans="3:18" ht="16">
      <c r="C749" s="19" t="s">
        <v>1244</v>
      </c>
      <c r="D749" s="20" t="s">
        <v>3164</v>
      </c>
      <c r="E749" s="21" t="s">
        <v>5923</v>
      </c>
      <c r="F749" s="21" t="s">
        <v>5831</v>
      </c>
      <c r="G749" s="22" t="s">
        <v>5840</v>
      </c>
      <c r="H749" s="22" t="s">
        <v>7828</v>
      </c>
      <c r="I749" s="22">
        <v>502.6</v>
      </c>
      <c r="K749" s="22" t="s">
        <v>5835</v>
      </c>
      <c r="N749" s="25">
        <v>0</v>
      </c>
      <c r="O749" s="25" t="s">
        <v>5835</v>
      </c>
      <c r="R749" s="22" t="s">
        <v>5840</v>
      </c>
    </row>
    <row r="750" spans="3:18" ht="16">
      <c r="C750" s="19" t="s">
        <v>1246</v>
      </c>
      <c r="D750" s="20" t="s">
        <v>3166</v>
      </c>
      <c r="E750" s="21" t="s">
        <v>5923</v>
      </c>
      <c r="F750" s="21" t="s">
        <v>5831</v>
      </c>
      <c r="G750" s="22" t="s">
        <v>5840</v>
      </c>
      <c r="H750" s="22" t="s">
        <v>5835</v>
      </c>
      <c r="I750" s="22">
        <v>97.7</v>
      </c>
      <c r="K750" s="22" t="s">
        <v>5835</v>
      </c>
      <c r="N750" s="25" t="s">
        <v>6690</v>
      </c>
      <c r="O750" s="25" t="s">
        <v>5835</v>
      </c>
      <c r="R750" s="22" t="s">
        <v>5840</v>
      </c>
    </row>
    <row r="751" spans="3:18" ht="16">
      <c r="C751" s="19" t="s">
        <v>1249</v>
      </c>
      <c r="D751" s="20" t="s">
        <v>3169</v>
      </c>
      <c r="E751" s="21" t="s">
        <v>5923</v>
      </c>
      <c r="F751" s="21" t="s">
        <v>5831</v>
      </c>
      <c r="G751" s="22" t="s">
        <v>5840</v>
      </c>
      <c r="H751" s="22" t="s">
        <v>5835</v>
      </c>
      <c r="I751" s="22">
        <v>88.9</v>
      </c>
      <c r="K751" s="22" t="s">
        <v>5835</v>
      </c>
      <c r="N751" s="25" t="s">
        <v>6691</v>
      </c>
      <c r="O751" s="25" t="s">
        <v>5835</v>
      </c>
      <c r="R751" s="22" t="s">
        <v>5840</v>
      </c>
    </row>
    <row r="752" spans="3:18" ht="16">
      <c r="C752" s="19" t="s">
        <v>1250</v>
      </c>
      <c r="D752" s="20" t="s">
        <v>3170</v>
      </c>
      <c r="E752" s="21" t="s">
        <v>5923</v>
      </c>
      <c r="F752" s="21" t="s">
        <v>5831</v>
      </c>
      <c r="G752" s="22" t="s">
        <v>5840</v>
      </c>
      <c r="H752" s="22" t="s">
        <v>5835</v>
      </c>
      <c r="I752" s="22">
        <v>47.8</v>
      </c>
      <c r="K752" s="22" t="s">
        <v>5835</v>
      </c>
      <c r="N752" s="25" t="s">
        <v>6692</v>
      </c>
      <c r="O752" s="25" t="s">
        <v>5835</v>
      </c>
      <c r="R752" s="22" t="s">
        <v>5840</v>
      </c>
    </row>
    <row r="753" spans="3:18" ht="16">
      <c r="C753" s="19" t="s">
        <v>1251</v>
      </c>
      <c r="D753" s="20" t="s">
        <v>3171</v>
      </c>
      <c r="E753" s="21" t="s">
        <v>5923</v>
      </c>
      <c r="F753" s="21" t="s">
        <v>5831</v>
      </c>
      <c r="G753" s="22" t="s">
        <v>5840</v>
      </c>
      <c r="H753" s="22" t="s">
        <v>7828</v>
      </c>
      <c r="I753" s="22">
        <v>251.7</v>
      </c>
      <c r="K753" s="22" t="s">
        <v>5835</v>
      </c>
      <c r="N753" s="25">
        <v>0</v>
      </c>
      <c r="O753" s="25" t="s">
        <v>5835</v>
      </c>
      <c r="R753" s="22" t="s">
        <v>5840</v>
      </c>
    </row>
    <row r="754" spans="3:18" ht="16">
      <c r="C754" s="19" t="s">
        <v>1253</v>
      </c>
      <c r="D754" s="20" t="s">
        <v>3173</v>
      </c>
      <c r="E754" s="21" t="s">
        <v>6054</v>
      </c>
      <c r="F754" s="21" t="s">
        <v>6055</v>
      </c>
      <c r="G754" s="22" t="s">
        <v>5865</v>
      </c>
      <c r="H754" s="22" t="s">
        <v>5835</v>
      </c>
      <c r="I754" s="22">
        <v>59.9</v>
      </c>
      <c r="K754" s="22" t="s">
        <v>5835</v>
      </c>
      <c r="N754" s="25" t="s">
        <v>6693</v>
      </c>
      <c r="O754" s="25" t="s">
        <v>5835</v>
      </c>
      <c r="R754" s="22" t="s">
        <v>5865</v>
      </c>
    </row>
    <row r="755" spans="3:18" ht="16">
      <c r="C755" s="19" t="s">
        <v>1255</v>
      </c>
      <c r="D755" s="20" t="s">
        <v>3175</v>
      </c>
      <c r="E755" s="21" t="s">
        <v>5923</v>
      </c>
      <c r="F755" s="21" t="s">
        <v>5831</v>
      </c>
      <c r="G755" s="22" t="s">
        <v>5833</v>
      </c>
      <c r="H755" s="22" t="s">
        <v>5835</v>
      </c>
      <c r="I755" s="22">
        <v>24.8</v>
      </c>
      <c r="K755" s="22" t="s">
        <v>5835</v>
      </c>
      <c r="N755" s="25" t="s">
        <v>6694</v>
      </c>
      <c r="O755" s="25" t="s">
        <v>5835</v>
      </c>
      <c r="R755" s="22" t="s">
        <v>5833</v>
      </c>
    </row>
    <row r="756" spans="3:18" ht="16">
      <c r="C756" s="19" t="s">
        <v>1261</v>
      </c>
      <c r="D756" s="20" t="s">
        <v>3180</v>
      </c>
      <c r="E756" s="21" t="s">
        <v>6001</v>
      </c>
      <c r="F756" s="21" t="s">
        <v>5966</v>
      </c>
      <c r="G756" s="22" t="s">
        <v>5853</v>
      </c>
      <c r="H756" s="22" t="s">
        <v>5835</v>
      </c>
      <c r="I756" s="22">
        <v>160.80000000000001</v>
      </c>
      <c r="K756" s="22" t="s">
        <v>5835</v>
      </c>
      <c r="N756" s="25" t="s">
        <v>5992</v>
      </c>
      <c r="O756" s="25" t="s">
        <v>5835</v>
      </c>
      <c r="R756" s="22" t="s">
        <v>5853</v>
      </c>
    </row>
    <row r="757" spans="3:18" ht="16">
      <c r="C757" s="19" t="s">
        <v>1262</v>
      </c>
      <c r="D757" s="20" t="s">
        <v>3181</v>
      </c>
      <c r="E757" s="21" t="s">
        <v>6001</v>
      </c>
      <c r="F757" s="21" t="s">
        <v>5966</v>
      </c>
      <c r="G757" s="22" t="s">
        <v>5966</v>
      </c>
      <c r="H757" s="22" t="s">
        <v>5835</v>
      </c>
      <c r="I757" s="22">
        <v>57.2</v>
      </c>
      <c r="K757" s="22" t="s">
        <v>5835</v>
      </c>
      <c r="N757" s="25" t="s">
        <v>6695</v>
      </c>
      <c r="O757" s="25" t="s">
        <v>5835</v>
      </c>
      <c r="R757" s="22" t="s">
        <v>5966</v>
      </c>
    </row>
    <row r="758" spans="3:18" ht="16">
      <c r="C758" s="19" t="s">
        <v>1267</v>
      </c>
      <c r="D758" s="20" t="s">
        <v>3186</v>
      </c>
      <c r="E758" s="21" t="s">
        <v>6413</v>
      </c>
      <c r="F758" s="21" t="s">
        <v>5852</v>
      </c>
      <c r="G758" s="22" t="s">
        <v>5849</v>
      </c>
      <c r="H758" s="22" t="s">
        <v>5835</v>
      </c>
      <c r="I758" s="22">
        <v>47.6</v>
      </c>
      <c r="K758" s="22" t="s">
        <v>5835</v>
      </c>
      <c r="N758" s="25" t="s">
        <v>6696</v>
      </c>
      <c r="O758" s="25" t="s">
        <v>5835</v>
      </c>
      <c r="R758" s="22" t="s">
        <v>5849</v>
      </c>
    </row>
    <row r="759" spans="3:18" ht="16">
      <c r="C759" s="19" t="s">
        <v>1269</v>
      </c>
      <c r="D759" s="20" t="s">
        <v>3188</v>
      </c>
      <c r="E759" s="21" t="s">
        <v>5968</v>
      </c>
      <c r="F759" s="21" t="s">
        <v>5835</v>
      </c>
      <c r="G759" s="22" t="s">
        <v>5974</v>
      </c>
      <c r="H759" s="22" t="s">
        <v>7828</v>
      </c>
      <c r="I759" s="22">
        <v>2367.1</v>
      </c>
      <c r="K759" s="22" t="s">
        <v>5832</v>
      </c>
      <c r="N759" s="25" t="s">
        <v>6697</v>
      </c>
      <c r="O759" s="25" t="s">
        <v>5835</v>
      </c>
      <c r="R759" s="22" t="s">
        <v>5974</v>
      </c>
    </row>
    <row r="760" spans="3:18" ht="16">
      <c r="C760" s="19" t="s">
        <v>1270</v>
      </c>
      <c r="D760" s="20" t="s">
        <v>3189</v>
      </c>
      <c r="E760" s="21" t="s">
        <v>6428</v>
      </c>
      <c r="F760" s="21" t="s">
        <v>5835</v>
      </c>
      <c r="G760" s="22" t="s">
        <v>5974</v>
      </c>
      <c r="H760" s="22" t="s">
        <v>7828</v>
      </c>
      <c r="I760" s="22">
        <v>2231.5</v>
      </c>
      <c r="K760" s="22" t="s">
        <v>5832</v>
      </c>
      <c r="N760" s="25" t="s">
        <v>6429</v>
      </c>
      <c r="O760" s="25" t="s">
        <v>5835</v>
      </c>
      <c r="R760" s="22" t="s">
        <v>5974</v>
      </c>
    </row>
    <row r="761" spans="3:18" ht="16">
      <c r="C761" s="19" t="s">
        <v>1272</v>
      </c>
      <c r="D761" s="20" t="s">
        <v>3191</v>
      </c>
      <c r="E761" s="21" t="s">
        <v>6443</v>
      </c>
      <c r="F761" s="21" t="s">
        <v>5835</v>
      </c>
      <c r="G761" s="22" t="s">
        <v>5974</v>
      </c>
      <c r="H761" s="22" t="s">
        <v>7828</v>
      </c>
      <c r="I761" s="22">
        <v>3851.7</v>
      </c>
      <c r="K761" s="22" t="s">
        <v>5832</v>
      </c>
      <c r="N761" s="25" t="s">
        <v>6444</v>
      </c>
      <c r="O761" s="25" t="s">
        <v>5835</v>
      </c>
      <c r="R761" s="22" t="s">
        <v>5974</v>
      </c>
    </row>
    <row r="762" spans="3:18" ht="16">
      <c r="C762" s="19" t="s">
        <v>1277</v>
      </c>
      <c r="D762" s="20" t="s">
        <v>3196</v>
      </c>
      <c r="E762" s="21" t="s">
        <v>5980</v>
      </c>
      <c r="F762" s="21" t="s">
        <v>5852</v>
      </c>
      <c r="G762" s="22" t="s">
        <v>5846</v>
      </c>
      <c r="H762" s="22" t="s">
        <v>5835</v>
      </c>
      <c r="I762" s="22">
        <v>17.3</v>
      </c>
      <c r="K762" s="22" t="s">
        <v>5835</v>
      </c>
      <c r="N762" s="25" t="s">
        <v>6698</v>
      </c>
      <c r="O762" s="25" t="s">
        <v>5835</v>
      </c>
      <c r="R762" s="22" t="s">
        <v>5846</v>
      </c>
    </row>
    <row r="763" spans="3:18" ht="16">
      <c r="C763" s="19" t="s">
        <v>1278</v>
      </c>
      <c r="D763" s="20" t="s">
        <v>3197</v>
      </c>
      <c r="E763" s="21" t="s">
        <v>5980</v>
      </c>
      <c r="F763" s="21" t="s">
        <v>5852</v>
      </c>
      <c r="G763" s="22" t="s">
        <v>5964</v>
      </c>
      <c r="H763" s="22" t="s">
        <v>5835</v>
      </c>
      <c r="I763" s="22">
        <v>12.7</v>
      </c>
      <c r="K763" s="22" t="s">
        <v>5835</v>
      </c>
      <c r="N763" s="25" t="s">
        <v>6699</v>
      </c>
      <c r="O763" s="25" t="s">
        <v>5835</v>
      </c>
      <c r="R763" s="22" t="s">
        <v>5964</v>
      </c>
    </row>
    <row r="764" spans="3:18" ht="16">
      <c r="C764" s="19" t="s">
        <v>1279</v>
      </c>
      <c r="D764" s="20" t="s">
        <v>3198</v>
      </c>
      <c r="E764" s="21" t="s">
        <v>6440</v>
      </c>
      <c r="F764" s="21" t="s">
        <v>5835</v>
      </c>
      <c r="G764" s="22" t="s">
        <v>5974</v>
      </c>
      <c r="H764" s="22" t="s">
        <v>7828</v>
      </c>
      <c r="I764" s="22">
        <v>435.3</v>
      </c>
      <c r="K764" s="22" t="s">
        <v>5835</v>
      </c>
      <c r="N764" s="25" t="s">
        <v>6700</v>
      </c>
      <c r="O764" s="25" t="s">
        <v>5835</v>
      </c>
      <c r="R764" s="22" t="s">
        <v>5974</v>
      </c>
    </row>
    <row r="765" spans="3:18" ht="16">
      <c r="C765" s="19" t="s">
        <v>1285</v>
      </c>
      <c r="D765" s="20" t="s">
        <v>3204</v>
      </c>
      <c r="E765" s="21" t="s">
        <v>6440</v>
      </c>
      <c r="F765" s="21" t="s">
        <v>5835</v>
      </c>
      <c r="G765" s="22" t="s">
        <v>5974</v>
      </c>
      <c r="H765" s="22" t="s">
        <v>5835</v>
      </c>
      <c r="I765" s="22">
        <v>123.1</v>
      </c>
      <c r="K765" s="22" t="s">
        <v>5835</v>
      </c>
      <c r="N765" s="25" t="s">
        <v>6701</v>
      </c>
      <c r="O765" s="25" t="s">
        <v>5835</v>
      </c>
      <c r="R765" s="22" t="s">
        <v>5974</v>
      </c>
    </row>
    <row r="766" spans="3:18" ht="16">
      <c r="C766" s="19" t="s">
        <v>1290</v>
      </c>
      <c r="D766" s="20" t="s">
        <v>3209</v>
      </c>
      <c r="E766" s="21" t="s">
        <v>6208</v>
      </c>
      <c r="F766" s="21" t="s">
        <v>17</v>
      </c>
      <c r="G766" s="22" t="s">
        <v>5911</v>
      </c>
      <c r="H766" s="22" t="s">
        <v>5835</v>
      </c>
      <c r="I766" s="22">
        <v>21.6</v>
      </c>
      <c r="K766" s="22" t="s">
        <v>5835</v>
      </c>
      <c r="N766" s="25" t="s">
        <v>6702</v>
      </c>
      <c r="O766" s="25" t="s">
        <v>5835</v>
      </c>
      <c r="R766" s="22" t="s">
        <v>5911</v>
      </c>
    </row>
    <row r="767" spans="3:18" ht="16">
      <c r="C767" s="19" t="s">
        <v>1293</v>
      </c>
      <c r="D767" s="20" t="s">
        <v>3212</v>
      </c>
      <c r="E767" s="21" t="s">
        <v>6313</v>
      </c>
      <c r="F767" s="21" t="s">
        <v>6314</v>
      </c>
      <c r="G767" s="22" t="s">
        <v>5958</v>
      </c>
      <c r="H767" s="22" t="s">
        <v>7828</v>
      </c>
      <c r="I767" s="22">
        <v>108.3</v>
      </c>
      <c r="K767" s="22" t="s">
        <v>5835</v>
      </c>
      <c r="N767" s="25" t="s">
        <v>6703</v>
      </c>
      <c r="O767" s="25" t="s">
        <v>5835</v>
      </c>
      <c r="R767" s="22" t="s">
        <v>5958</v>
      </c>
    </row>
    <row r="768" spans="3:18" ht="16">
      <c r="C768" s="19" t="s">
        <v>1296</v>
      </c>
      <c r="D768" s="20" t="s">
        <v>3215</v>
      </c>
      <c r="E768" s="21" t="s">
        <v>6067</v>
      </c>
      <c r="F768" s="21" t="s">
        <v>17</v>
      </c>
      <c r="G768" s="22" t="s">
        <v>5920</v>
      </c>
      <c r="H768" s="22" t="s">
        <v>5835</v>
      </c>
      <c r="I768" s="22">
        <v>93.5</v>
      </c>
      <c r="K768" s="22" t="s">
        <v>5835</v>
      </c>
      <c r="N768" s="25" t="s">
        <v>6704</v>
      </c>
      <c r="O768" s="25" t="s">
        <v>5835</v>
      </c>
      <c r="R768" s="22" t="s">
        <v>5920</v>
      </c>
    </row>
    <row r="769" spans="3:18" ht="16">
      <c r="C769" s="19" t="s">
        <v>1297</v>
      </c>
      <c r="D769" s="20" t="s">
        <v>3216</v>
      </c>
      <c r="E769" s="21" t="s">
        <v>6297</v>
      </c>
      <c r="F769" s="21" t="s">
        <v>6200</v>
      </c>
      <c r="G769" s="22" t="s">
        <v>5949</v>
      </c>
      <c r="H769" s="22" t="s">
        <v>5835</v>
      </c>
      <c r="I769" s="22">
        <v>202</v>
      </c>
      <c r="K769" s="22" t="s">
        <v>5835</v>
      </c>
      <c r="N769" s="25" t="s">
        <v>6705</v>
      </c>
      <c r="O769" s="25" t="s">
        <v>5835</v>
      </c>
      <c r="R769" s="22" t="s">
        <v>5949</v>
      </c>
    </row>
    <row r="770" spans="3:18" ht="16">
      <c r="C770" s="19" t="s">
        <v>1298</v>
      </c>
      <c r="D770" s="20" t="s">
        <v>3217</v>
      </c>
      <c r="E770" s="21" t="s">
        <v>6243</v>
      </c>
      <c r="F770" s="21" t="s">
        <v>17</v>
      </c>
      <c r="G770" s="22" t="s">
        <v>5873</v>
      </c>
      <c r="H770" s="22" t="s">
        <v>7828</v>
      </c>
      <c r="I770" s="22">
        <v>87.6</v>
      </c>
      <c r="K770" s="22" t="s">
        <v>5835</v>
      </c>
      <c r="N770" s="25" t="s">
        <v>6706</v>
      </c>
      <c r="O770" s="25" t="s">
        <v>5835</v>
      </c>
      <c r="R770" s="22" t="s">
        <v>5873</v>
      </c>
    </row>
    <row r="771" spans="3:18" ht="16">
      <c r="C771" s="19" t="s">
        <v>1300</v>
      </c>
      <c r="D771" s="20" t="s">
        <v>3219</v>
      </c>
      <c r="E771" s="21" t="s">
        <v>6505</v>
      </c>
      <c r="F771" s="21" t="s">
        <v>6200</v>
      </c>
      <c r="G771" s="22" t="s">
        <v>5985</v>
      </c>
      <c r="H771" s="22" t="s">
        <v>5835</v>
      </c>
      <c r="I771" s="22">
        <v>69.2</v>
      </c>
      <c r="K771" s="22" t="s">
        <v>5835</v>
      </c>
      <c r="N771" s="25" t="s">
        <v>6707</v>
      </c>
      <c r="O771" s="25" t="s">
        <v>5835</v>
      </c>
      <c r="R771" s="22" t="s">
        <v>5985</v>
      </c>
    </row>
    <row r="772" spans="3:18" ht="16">
      <c r="C772" s="19" t="s">
        <v>1308</v>
      </c>
      <c r="D772" s="20" t="s">
        <v>3227</v>
      </c>
      <c r="E772" s="21" t="s">
        <v>6166</v>
      </c>
      <c r="F772" s="21" t="s">
        <v>6080</v>
      </c>
      <c r="G772" s="22" t="s">
        <v>5915</v>
      </c>
      <c r="H772" s="22" t="s">
        <v>5835</v>
      </c>
      <c r="I772" s="22">
        <v>38.299999999999997</v>
      </c>
      <c r="K772" s="22" t="s">
        <v>5835</v>
      </c>
      <c r="N772" s="25" t="s">
        <v>6708</v>
      </c>
      <c r="O772" s="25" t="s">
        <v>5835</v>
      </c>
      <c r="R772" s="22" t="s">
        <v>5915</v>
      </c>
    </row>
    <row r="773" spans="3:18" ht="16">
      <c r="C773" s="19" t="s">
        <v>1311</v>
      </c>
      <c r="D773" s="20" t="s">
        <v>3230</v>
      </c>
      <c r="E773" s="21" t="s">
        <v>6067</v>
      </c>
      <c r="F773" s="21" t="s">
        <v>17</v>
      </c>
      <c r="G773" s="22" t="s">
        <v>5920</v>
      </c>
      <c r="H773" s="22" t="s">
        <v>5835</v>
      </c>
      <c r="I773" s="22">
        <v>16</v>
      </c>
      <c r="K773" s="22" t="s">
        <v>5835</v>
      </c>
      <c r="N773" s="25" t="s">
        <v>6709</v>
      </c>
      <c r="O773" s="25" t="s">
        <v>5835</v>
      </c>
      <c r="R773" s="22" t="s">
        <v>5920</v>
      </c>
    </row>
    <row r="774" spans="3:18" ht="16">
      <c r="C774" s="19" t="s">
        <v>1313</v>
      </c>
      <c r="D774" s="20" t="s">
        <v>3232</v>
      </c>
      <c r="E774" s="21" t="s">
        <v>6237</v>
      </c>
      <c r="F774" s="21" t="s">
        <v>6231</v>
      </c>
      <c r="G774" s="22" t="s">
        <v>5933</v>
      </c>
      <c r="H774" s="22" t="s">
        <v>5835</v>
      </c>
      <c r="I774" s="22">
        <v>25.6</v>
      </c>
      <c r="K774" s="22" t="s">
        <v>5835</v>
      </c>
      <c r="N774" s="25" t="s">
        <v>6710</v>
      </c>
      <c r="O774" s="25" t="s">
        <v>5835</v>
      </c>
      <c r="R774" s="22" t="s">
        <v>5933</v>
      </c>
    </row>
    <row r="775" spans="3:18" ht="16">
      <c r="C775" s="19" t="s">
        <v>1315</v>
      </c>
      <c r="D775" s="20" t="s">
        <v>3234</v>
      </c>
      <c r="E775" s="21" t="s">
        <v>6254</v>
      </c>
      <c r="F775" s="21" t="s">
        <v>8</v>
      </c>
      <c r="G775" s="22" t="s">
        <v>5935</v>
      </c>
      <c r="H775" s="22" t="s">
        <v>7828</v>
      </c>
      <c r="I775" s="22">
        <v>714.5</v>
      </c>
      <c r="K775" s="22" t="s">
        <v>5835</v>
      </c>
      <c r="N775" s="25" t="s">
        <v>6711</v>
      </c>
      <c r="O775" s="25" t="s">
        <v>5835</v>
      </c>
      <c r="R775" s="22" t="s">
        <v>5935</v>
      </c>
    </row>
    <row r="776" spans="3:18" ht="16">
      <c r="C776" s="19" t="s">
        <v>1317</v>
      </c>
      <c r="D776" s="20" t="s">
        <v>3236</v>
      </c>
      <c r="E776" s="21" t="s">
        <v>6208</v>
      </c>
      <c r="F776" s="21" t="s">
        <v>17</v>
      </c>
      <c r="G776" s="22" t="s">
        <v>5911</v>
      </c>
      <c r="H776" s="22" t="s">
        <v>5835</v>
      </c>
      <c r="I776" s="22">
        <v>13.2</v>
      </c>
      <c r="K776" s="22" t="s">
        <v>5835</v>
      </c>
      <c r="N776" s="25" t="s">
        <v>6528</v>
      </c>
      <c r="O776" s="25" t="s">
        <v>5835</v>
      </c>
      <c r="R776" s="22" t="s">
        <v>5911</v>
      </c>
    </row>
    <row r="777" spans="3:18" ht="16">
      <c r="C777" s="19" t="s">
        <v>1318</v>
      </c>
      <c r="D777" s="20" t="s">
        <v>3237</v>
      </c>
      <c r="E777" s="21" t="s">
        <v>6226</v>
      </c>
      <c r="F777" s="21" t="s">
        <v>5913</v>
      </c>
      <c r="G777" s="22" t="s">
        <v>5913</v>
      </c>
      <c r="H777" s="22" t="s">
        <v>5835</v>
      </c>
      <c r="I777" s="22">
        <v>31</v>
      </c>
      <c r="K777" s="22" t="s">
        <v>5835</v>
      </c>
      <c r="N777" s="25" t="s">
        <v>6712</v>
      </c>
      <c r="O777" s="25" t="s">
        <v>5835</v>
      </c>
      <c r="R777" s="22" t="s">
        <v>5913</v>
      </c>
    </row>
    <row r="778" spans="3:18" ht="16">
      <c r="C778" s="19" t="s">
        <v>1326</v>
      </c>
      <c r="D778" s="20" t="s">
        <v>3245</v>
      </c>
      <c r="E778" s="21" t="s">
        <v>6209</v>
      </c>
      <c r="F778" s="21" t="s">
        <v>5913</v>
      </c>
      <c r="G778" s="22" t="s">
        <v>5913</v>
      </c>
      <c r="H778" s="22" t="s">
        <v>5835</v>
      </c>
      <c r="I778" s="22">
        <v>14.3</v>
      </c>
      <c r="K778" s="22" t="s">
        <v>5835</v>
      </c>
      <c r="N778" s="25" t="s">
        <v>6713</v>
      </c>
      <c r="O778" s="25" t="s">
        <v>5835</v>
      </c>
      <c r="R778" s="22" t="s">
        <v>5913</v>
      </c>
    </row>
    <row r="779" spans="3:18" ht="16">
      <c r="C779" s="19" t="s">
        <v>1327</v>
      </c>
      <c r="D779" s="20" t="s">
        <v>3246</v>
      </c>
      <c r="E779" s="21" t="s">
        <v>6208</v>
      </c>
      <c r="F779" s="21" t="s">
        <v>17</v>
      </c>
      <c r="G779" s="22" t="s">
        <v>5911</v>
      </c>
      <c r="H779" s="22" t="s">
        <v>5835</v>
      </c>
      <c r="I779" s="22">
        <v>85.2</v>
      </c>
      <c r="K779" s="22" t="s">
        <v>5835</v>
      </c>
      <c r="N779" s="25" t="s">
        <v>6714</v>
      </c>
      <c r="O779" s="25" t="s">
        <v>5835</v>
      </c>
      <c r="R779" s="22" t="s">
        <v>5911</v>
      </c>
    </row>
    <row r="780" spans="3:18" ht="16">
      <c r="C780" s="19" t="s">
        <v>1329</v>
      </c>
      <c r="D780" s="20" t="s">
        <v>3248</v>
      </c>
      <c r="E780" s="21" t="s">
        <v>6219</v>
      </c>
      <c r="F780" s="21" t="s">
        <v>17</v>
      </c>
      <c r="G780" s="22" t="s">
        <v>5918</v>
      </c>
      <c r="H780" s="22" t="s">
        <v>5835</v>
      </c>
      <c r="I780" s="22">
        <v>20</v>
      </c>
      <c r="K780" s="22" t="s">
        <v>5835</v>
      </c>
      <c r="N780" s="25" t="s">
        <v>6715</v>
      </c>
      <c r="O780" s="25" t="s">
        <v>5835</v>
      </c>
      <c r="R780" s="22" t="s">
        <v>5918</v>
      </c>
    </row>
    <row r="781" spans="3:18" ht="16">
      <c r="C781" s="19" t="s">
        <v>1335</v>
      </c>
      <c r="D781" s="20" t="s">
        <v>3254</v>
      </c>
      <c r="E781" s="21" t="s">
        <v>6199</v>
      </c>
      <c r="F781" s="21" t="s">
        <v>6200</v>
      </c>
      <c r="G781" s="22" t="s">
        <v>5881</v>
      </c>
      <c r="H781" s="22" t="s">
        <v>5835</v>
      </c>
      <c r="I781" s="22">
        <v>8.4</v>
      </c>
      <c r="K781" s="22" t="s">
        <v>5835</v>
      </c>
      <c r="N781" s="25" t="s">
        <v>6716</v>
      </c>
      <c r="O781" s="25" t="s">
        <v>5835</v>
      </c>
      <c r="R781" s="22" t="s">
        <v>5881</v>
      </c>
    </row>
    <row r="782" spans="3:18" ht="16">
      <c r="C782" s="19" t="s">
        <v>1336</v>
      </c>
      <c r="D782" s="20" t="s">
        <v>3255</v>
      </c>
      <c r="E782" s="21" t="s">
        <v>5968</v>
      </c>
      <c r="F782" s="21" t="s">
        <v>5969</v>
      </c>
      <c r="G782" s="22" t="s">
        <v>5920</v>
      </c>
      <c r="H782" s="22" t="s">
        <v>5835</v>
      </c>
      <c r="I782" s="22">
        <v>42</v>
      </c>
      <c r="K782" s="22" t="s">
        <v>5835</v>
      </c>
      <c r="N782" s="25" t="s">
        <v>6717</v>
      </c>
      <c r="O782" s="25" t="s">
        <v>5835</v>
      </c>
      <c r="R782" s="22" t="s">
        <v>5920</v>
      </c>
    </row>
    <row r="783" spans="3:18" ht="16">
      <c r="C783" s="19" t="s">
        <v>1337</v>
      </c>
      <c r="D783" s="20" t="s">
        <v>3256</v>
      </c>
      <c r="E783" s="21" t="s">
        <v>6285</v>
      </c>
      <c r="F783" s="21" t="s">
        <v>6281</v>
      </c>
      <c r="G783" s="22" t="s">
        <v>5945</v>
      </c>
      <c r="H783" s="22" t="s">
        <v>5835</v>
      </c>
      <c r="I783" s="22">
        <v>138.1</v>
      </c>
      <c r="K783" s="22" t="s">
        <v>5835</v>
      </c>
      <c r="N783" s="25" t="s">
        <v>6718</v>
      </c>
      <c r="O783" s="25" t="s">
        <v>5835</v>
      </c>
      <c r="R783" s="22" t="s">
        <v>5945</v>
      </c>
    </row>
    <row r="784" spans="3:18" ht="16">
      <c r="C784" s="19" t="s">
        <v>1339</v>
      </c>
      <c r="D784" s="20" t="s">
        <v>3258</v>
      </c>
      <c r="E784" s="21" t="s">
        <v>6199</v>
      </c>
      <c r="F784" s="21" t="s">
        <v>6200</v>
      </c>
      <c r="G784" s="22" t="s">
        <v>5881</v>
      </c>
      <c r="H784" s="22" t="s">
        <v>5835</v>
      </c>
      <c r="I784" s="22">
        <v>31.6</v>
      </c>
      <c r="K784" s="22" t="s">
        <v>5835</v>
      </c>
      <c r="N784" s="25" t="s">
        <v>6719</v>
      </c>
      <c r="O784" s="25" t="s">
        <v>5835</v>
      </c>
      <c r="R784" s="22" t="s">
        <v>5881</v>
      </c>
    </row>
    <row r="785" spans="3:18" ht="16">
      <c r="C785" s="19" t="s">
        <v>1346</v>
      </c>
      <c r="D785" s="20" t="s">
        <v>3265</v>
      </c>
      <c r="E785" s="21" t="s">
        <v>6505</v>
      </c>
      <c r="F785" s="21" t="s">
        <v>6200</v>
      </c>
      <c r="G785" s="22" t="s">
        <v>5985</v>
      </c>
      <c r="H785" s="22" t="s">
        <v>7828</v>
      </c>
      <c r="I785" s="22">
        <v>639.4</v>
      </c>
      <c r="K785" s="22" t="s">
        <v>5835</v>
      </c>
      <c r="N785" s="25" t="s">
        <v>6720</v>
      </c>
      <c r="O785" s="25" t="s">
        <v>5835</v>
      </c>
      <c r="R785" s="22" t="s">
        <v>5985</v>
      </c>
    </row>
    <row r="786" spans="3:18" ht="16">
      <c r="C786" s="19" t="s">
        <v>1347</v>
      </c>
      <c r="D786" s="20" t="s">
        <v>3266</v>
      </c>
      <c r="E786" s="21" t="s">
        <v>5923</v>
      </c>
      <c r="F786" s="21" t="s">
        <v>5831</v>
      </c>
      <c r="G786" s="22" t="s">
        <v>5840</v>
      </c>
      <c r="H786" s="22" t="s">
        <v>5835</v>
      </c>
      <c r="I786" s="22">
        <v>213.5</v>
      </c>
      <c r="K786" s="22" t="s">
        <v>5835</v>
      </c>
      <c r="N786" s="25">
        <v>0</v>
      </c>
      <c r="O786" s="25" t="s">
        <v>5835</v>
      </c>
      <c r="R786" s="22" t="s">
        <v>5840</v>
      </c>
    </row>
    <row r="787" spans="3:18" ht="16">
      <c r="C787" s="19" t="s">
        <v>1351</v>
      </c>
      <c r="D787" s="20" t="s">
        <v>3270</v>
      </c>
      <c r="E787" s="21" t="s">
        <v>6521</v>
      </c>
      <c r="F787" s="21" t="s">
        <v>6314</v>
      </c>
      <c r="G787" s="22" t="s">
        <v>5958</v>
      </c>
      <c r="H787" s="22" t="s">
        <v>5835</v>
      </c>
      <c r="I787" s="22">
        <v>141</v>
      </c>
      <c r="K787" s="22" t="s">
        <v>5835</v>
      </c>
      <c r="N787" s="25" t="s">
        <v>6721</v>
      </c>
      <c r="O787" s="25" t="s">
        <v>5835</v>
      </c>
      <c r="R787" s="22" t="s">
        <v>5958</v>
      </c>
    </row>
    <row r="788" spans="3:18" ht="16">
      <c r="C788" s="19" t="s">
        <v>1352</v>
      </c>
      <c r="D788" s="20" t="s">
        <v>3271</v>
      </c>
      <c r="E788" s="21" t="s">
        <v>6209</v>
      </c>
      <c r="F788" s="21" t="s">
        <v>5913</v>
      </c>
      <c r="G788" s="22" t="s">
        <v>5952</v>
      </c>
      <c r="H788" s="22" t="s">
        <v>5835</v>
      </c>
      <c r="I788" s="22">
        <v>80.8</v>
      </c>
      <c r="K788" s="22" t="s">
        <v>5835</v>
      </c>
      <c r="N788" s="25" t="s">
        <v>6722</v>
      </c>
      <c r="O788" s="25" t="s">
        <v>5835</v>
      </c>
      <c r="R788" s="22" t="s">
        <v>5952</v>
      </c>
    </row>
    <row r="789" spans="3:18" ht="16">
      <c r="C789" s="19" t="s">
        <v>1357</v>
      </c>
      <c r="D789" s="20" t="s">
        <v>3276</v>
      </c>
      <c r="E789" s="21" t="s">
        <v>6471</v>
      </c>
      <c r="F789" s="21" t="s">
        <v>6231</v>
      </c>
      <c r="G789" s="22" t="s">
        <v>5933</v>
      </c>
      <c r="H789" s="22" t="s">
        <v>5835</v>
      </c>
      <c r="I789" s="22">
        <v>167.8</v>
      </c>
      <c r="K789" s="22" t="s">
        <v>5835</v>
      </c>
      <c r="N789" s="25" t="s">
        <v>6590</v>
      </c>
      <c r="O789" s="25" t="s">
        <v>5835</v>
      </c>
      <c r="R789" s="22" t="s">
        <v>5933</v>
      </c>
    </row>
    <row r="790" spans="3:18" ht="16">
      <c r="C790" s="19" t="s">
        <v>1359</v>
      </c>
      <c r="D790" s="20" t="s">
        <v>3278</v>
      </c>
      <c r="E790" s="21" t="s">
        <v>6208</v>
      </c>
      <c r="F790" s="21" t="s">
        <v>17</v>
      </c>
      <c r="G790" s="22" t="s">
        <v>5911</v>
      </c>
      <c r="H790" s="22" t="s">
        <v>7828</v>
      </c>
      <c r="I790" s="22">
        <v>433</v>
      </c>
      <c r="K790" s="22" t="s">
        <v>5835</v>
      </c>
      <c r="N790" s="25" t="s">
        <v>6723</v>
      </c>
      <c r="O790" s="25" t="s">
        <v>5835</v>
      </c>
      <c r="R790" s="22" t="s">
        <v>5911</v>
      </c>
    </row>
    <row r="791" spans="3:18" ht="16">
      <c r="C791" s="19" t="s">
        <v>1360</v>
      </c>
      <c r="D791" s="20" t="s">
        <v>3279</v>
      </c>
      <c r="E791" s="21" t="s">
        <v>6274</v>
      </c>
      <c r="F791" s="21" t="s">
        <v>17</v>
      </c>
      <c r="G791" s="22" t="s">
        <v>5935</v>
      </c>
      <c r="H791" s="22" t="s">
        <v>5835</v>
      </c>
      <c r="I791" s="22">
        <v>96.1</v>
      </c>
      <c r="K791" s="22" t="s">
        <v>5835</v>
      </c>
      <c r="N791" s="25" t="s">
        <v>6724</v>
      </c>
      <c r="O791" s="25" t="s">
        <v>5835</v>
      </c>
      <c r="R791" s="22" t="s">
        <v>5935</v>
      </c>
    </row>
    <row r="792" spans="3:18" ht="16">
      <c r="C792" s="19" t="s">
        <v>1363</v>
      </c>
      <c r="D792" s="20" t="s">
        <v>3282</v>
      </c>
      <c r="E792" s="21" t="s">
        <v>6254</v>
      </c>
      <c r="F792" s="21" t="s">
        <v>8</v>
      </c>
      <c r="G792" s="22" t="s">
        <v>12</v>
      </c>
      <c r="H792" s="22" t="s">
        <v>7828</v>
      </c>
      <c r="I792" s="22">
        <v>379.5</v>
      </c>
      <c r="K792" s="22" t="s">
        <v>5835</v>
      </c>
      <c r="N792" s="25" t="s">
        <v>6725</v>
      </c>
      <c r="O792" s="25" t="s">
        <v>5835</v>
      </c>
      <c r="R792" s="22" t="s">
        <v>12</v>
      </c>
    </row>
    <row r="793" spans="3:18" ht="16">
      <c r="C793" s="19" t="s">
        <v>1364</v>
      </c>
      <c r="D793" s="20" t="s">
        <v>3283</v>
      </c>
      <c r="E793" s="21" t="s">
        <v>6067</v>
      </c>
      <c r="F793" s="21" t="s">
        <v>17</v>
      </c>
      <c r="G793" s="22" t="s">
        <v>5920</v>
      </c>
      <c r="H793" s="22" t="s">
        <v>5835</v>
      </c>
      <c r="I793" s="22">
        <v>179.5</v>
      </c>
      <c r="K793" s="22" t="s">
        <v>5835</v>
      </c>
      <c r="N793" s="25" t="s">
        <v>6726</v>
      </c>
      <c r="O793" s="25" t="s">
        <v>5835</v>
      </c>
      <c r="R793" s="22" t="s">
        <v>5920</v>
      </c>
    </row>
    <row r="794" spans="3:18" ht="16">
      <c r="C794" s="19" t="s">
        <v>1367</v>
      </c>
      <c r="D794" s="20" t="s">
        <v>3286</v>
      </c>
      <c r="E794" s="21" t="s">
        <v>6079</v>
      </c>
      <c r="F794" s="21" t="s">
        <v>6080</v>
      </c>
      <c r="G794" s="22" t="s">
        <v>5954</v>
      </c>
      <c r="H794" s="22" t="s">
        <v>5835</v>
      </c>
      <c r="I794" s="22">
        <v>54.7</v>
      </c>
      <c r="K794" s="22" t="s">
        <v>5835</v>
      </c>
      <c r="N794" s="25" t="s">
        <v>6727</v>
      </c>
      <c r="O794" s="25" t="s">
        <v>5835</v>
      </c>
      <c r="R794" s="22" t="s">
        <v>5954</v>
      </c>
    </row>
    <row r="795" spans="3:18" ht="16">
      <c r="C795" s="19" t="s">
        <v>1368</v>
      </c>
      <c r="D795" s="20" t="s">
        <v>3287</v>
      </c>
      <c r="E795" s="21" t="s">
        <v>6257</v>
      </c>
      <c r="F795" s="21" t="s">
        <v>10</v>
      </c>
      <c r="G795" s="22" t="s">
        <v>5947</v>
      </c>
      <c r="H795" s="22" t="s">
        <v>5835</v>
      </c>
      <c r="I795" s="22">
        <v>91.2</v>
      </c>
      <c r="K795" s="22" t="s">
        <v>5835</v>
      </c>
      <c r="N795" s="25" t="s">
        <v>6728</v>
      </c>
      <c r="O795" s="25" t="s">
        <v>5835</v>
      </c>
      <c r="R795" s="22" t="s">
        <v>5947</v>
      </c>
    </row>
    <row r="796" spans="3:18" ht="16">
      <c r="C796" s="19" t="s">
        <v>1371</v>
      </c>
      <c r="D796" s="20" t="s">
        <v>3290</v>
      </c>
      <c r="E796" s="21" t="s">
        <v>6067</v>
      </c>
      <c r="F796" s="21" t="s">
        <v>17</v>
      </c>
      <c r="G796" s="22" t="s">
        <v>5920</v>
      </c>
      <c r="H796" s="22" t="s">
        <v>5835</v>
      </c>
      <c r="I796" s="22">
        <v>33.299999999999997</v>
      </c>
      <c r="K796" s="22" t="s">
        <v>5835</v>
      </c>
      <c r="N796" s="25" t="s">
        <v>6729</v>
      </c>
      <c r="O796" s="25" t="s">
        <v>5835</v>
      </c>
      <c r="R796" s="22" t="s">
        <v>5920</v>
      </c>
    </row>
    <row r="797" spans="3:18" ht="16">
      <c r="C797" s="19" t="s">
        <v>1372</v>
      </c>
      <c r="D797" s="20" t="s">
        <v>3291</v>
      </c>
      <c r="E797" s="21" t="s">
        <v>6358</v>
      </c>
      <c r="F797" s="21" t="s">
        <v>6281</v>
      </c>
      <c r="G797" s="22" t="s">
        <v>5945</v>
      </c>
      <c r="H797" s="22" t="s">
        <v>7828</v>
      </c>
      <c r="I797" s="22">
        <v>190.3</v>
      </c>
      <c r="K797" s="22" t="s">
        <v>5835</v>
      </c>
      <c r="N797" s="25" t="s">
        <v>6730</v>
      </c>
      <c r="O797" s="25" t="s">
        <v>5835</v>
      </c>
      <c r="R797" s="22" t="s">
        <v>5945</v>
      </c>
    </row>
    <row r="798" spans="3:18" ht="16">
      <c r="C798" s="19" t="s">
        <v>1375</v>
      </c>
      <c r="D798" s="20" t="s">
        <v>3294</v>
      </c>
      <c r="E798" s="21" t="s">
        <v>6469</v>
      </c>
      <c r="F798" s="21" t="s">
        <v>17</v>
      </c>
      <c r="G798" s="22" t="s">
        <v>5976</v>
      </c>
      <c r="H798" s="22" t="s">
        <v>5835</v>
      </c>
      <c r="I798" s="22">
        <v>42.1</v>
      </c>
      <c r="K798" s="22" t="s">
        <v>5835</v>
      </c>
      <c r="N798" s="25" t="s">
        <v>6731</v>
      </c>
      <c r="O798" s="25" t="s">
        <v>5835</v>
      </c>
      <c r="R798" s="22" t="s">
        <v>5976</v>
      </c>
    </row>
    <row r="799" spans="3:18" ht="16">
      <c r="C799" s="19" t="s">
        <v>1378</v>
      </c>
      <c r="D799" s="20" t="s">
        <v>3297</v>
      </c>
      <c r="E799" s="21" t="s">
        <v>6274</v>
      </c>
      <c r="F799" s="21" t="s">
        <v>17</v>
      </c>
      <c r="G799" s="22" t="s">
        <v>5943</v>
      </c>
      <c r="H799" s="22" t="s">
        <v>7828</v>
      </c>
      <c r="I799" s="22">
        <v>319.39999999999998</v>
      </c>
      <c r="K799" s="22" t="s">
        <v>5835</v>
      </c>
      <c r="N799" s="25" t="s">
        <v>6732</v>
      </c>
      <c r="O799" s="25" t="s">
        <v>5835</v>
      </c>
      <c r="R799" s="22" t="s">
        <v>5943</v>
      </c>
    </row>
    <row r="800" spans="3:18" ht="16">
      <c r="C800" s="19" t="s">
        <v>1379</v>
      </c>
      <c r="D800" s="20" t="s">
        <v>3298</v>
      </c>
      <c r="E800" s="21" t="s">
        <v>6313</v>
      </c>
      <c r="F800" s="21" t="s">
        <v>6314</v>
      </c>
      <c r="G800" s="22" t="s">
        <v>5958</v>
      </c>
      <c r="H800" s="22" t="s">
        <v>7828</v>
      </c>
      <c r="I800" s="22">
        <v>294</v>
      </c>
      <c r="K800" s="22" t="s">
        <v>5835</v>
      </c>
      <c r="N800" s="25" t="s">
        <v>6733</v>
      </c>
      <c r="O800" s="25" t="s">
        <v>5835</v>
      </c>
      <c r="R800" s="22" t="s">
        <v>5958</v>
      </c>
    </row>
    <row r="801" spans="3:18" ht="16">
      <c r="C801" s="19" t="s">
        <v>1380</v>
      </c>
      <c r="D801" s="20" t="s">
        <v>3299</v>
      </c>
      <c r="E801" s="21" t="s">
        <v>6313</v>
      </c>
      <c r="F801" s="21" t="s">
        <v>6314</v>
      </c>
      <c r="G801" s="22" t="s">
        <v>5935</v>
      </c>
      <c r="H801" s="22" t="s">
        <v>7828</v>
      </c>
      <c r="I801" s="22">
        <v>75.3</v>
      </c>
      <c r="K801" s="22" t="s">
        <v>5835</v>
      </c>
      <c r="N801" s="25" t="s">
        <v>6734</v>
      </c>
      <c r="O801" s="25" t="s">
        <v>5835</v>
      </c>
      <c r="R801" s="22" t="s">
        <v>5935</v>
      </c>
    </row>
    <row r="802" spans="3:18" ht="16">
      <c r="C802" s="19" t="s">
        <v>1381</v>
      </c>
      <c r="D802" s="20" t="s">
        <v>3300</v>
      </c>
      <c r="E802" s="21" t="s">
        <v>6226</v>
      </c>
      <c r="F802" s="21" t="s">
        <v>5913</v>
      </c>
      <c r="G802" s="22" t="s">
        <v>5913</v>
      </c>
      <c r="H802" s="22" t="s">
        <v>5835</v>
      </c>
      <c r="I802" s="22">
        <v>30.6</v>
      </c>
      <c r="K802" s="22" t="s">
        <v>5835</v>
      </c>
      <c r="N802" s="25" t="s">
        <v>6735</v>
      </c>
      <c r="O802" s="25" t="s">
        <v>5835</v>
      </c>
      <c r="R802" s="22" t="s">
        <v>5913</v>
      </c>
    </row>
    <row r="803" spans="3:18" ht="16">
      <c r="C803" s="19" t="s">
        <v>1389</v>
      </c>
      <c r="D803" s="20" t="s">
        <v>3307</v>
      </c>
      <c r="E803" s="21" t="s">
        <v>6219</v>
      </c>
      <c r="F803" s="21" t="s">
        <v>17</v>
      </c>
      <c r="G803" s="22" t="s">
        <v>5918</v>
      </c>
      <c r="H803" s="22" t="s">
        <v>5835</v>
      </c>
      <c r="I803" s="22">
        <v>38.299999999999997</v>
      </c>
      <c r="K803" s="22" t="s">
        <v>5835</v>
      </c>
      <c r="N803" s="25" t="s">
        <v>6736</v>
      </c>
      <c r="O803" s="25" t="s">
        <v>5835</v>
      </c>
      <c r="R803" s="22" t="s">
        <v>5918</v>
      </c>
    </row>
    <row r="804" spans="3:18" ht="16">
      <c r="C804" s="19" t="s">
        <v>1390</v>
      </c>
      <c r="D804" s="20" t="s">
        <v>3308</v>
      </c>
      <c r="E804" s="21" t="s">
        <v>6266</v>
      </c>
      <c r="F804" s="21" t="s">
        <v>6080</v>
      </c>
      <c r="G804" s="22" t="s">
        <v>7825</v>
      </c>
      <c r="H804" s="22" t="s">
        <v>5835</v>
      </c>
      <c r="I804" s="22">
        <v>3.1</v>
      </c>
      <c r="K804" s="22" t="s">
        <v>5835</v>
      </c>
      <c r="N804" s="25" t="s">
        <v>6737</v>
      </c>
      <c r="O804" s="25" t="s">
        <v>5835</v>
      </c>
      <c r="R804" s="22" t="s">
        <v>6202</v>
      </c>
    </row>
    <row r="805" spans="3:18" ht="16">
      <c r="C805" s="19" t="s">
        <v>1391</v>
      </c>
      <c r="D805" s="20" t="s">
        <v>3309</v>
      </c>
      <c r="E805" s="21" t="s">
        <v>6199</v>
      </c>
      <c r="F805" s="21" t="s">
        <v>6200</v>
      </c>
      <c r="G805" s="22" t="s">
        <v>5881</v>
      </c>
      <c r="H805" s="22" t="s">
        <v>5835</v>
      </c>
      <c r="I805" s="22">
        <v>7.5</v>
      </c>
      <c r="K805" s="22" t="s">
        <v>5835</v>
      </c>
      <c r="N805" s="25" t="s">
        <v>6738</v>
      </c>
      <c r="O805" s="25" t="s">
        <v>5835</v>
      </c>
      <c r="R805" s="22" t="s">
        <v>5881</v>
      </c>
    </row>
    <row r="806" spans="3:18" ht="16">
      <c r="C806" s="19" t="s">
        <v>1395</v>
      </c>
      <c r="D806" s="20" t="s">
        <v>3313</v>
      </c>
      <c r="E806" s="21" t="s">
        <v>6277</v>
      </c>
      <c r="F806" s="21" t="s">
        <v>17</v>
      </c>
      <c r="G806" s="22" t="s">
        <v>5902</v>
      </c>
      <c r="H806" s="22" t="s">
        <v>5835</v>
      </c>
      <c r="I806" s="22">
        <v>112.6</v>
      </c>
      <c r="K806" s="22" t="s">
        <v>5835</v>
      </c>
      <c r="N806" s="25" t="s">
        <v>6739</v>
      </c>
      <c r="O806" s="25" t="s">
        <v>5835</v>
      </c>
      <c r="R806" s="22" t="s">
        <v>5902</v>
      </c>
    </row>
    <row r="807" spans="3:18" ht="16">
      <c r="C807" s="19" t="s">
        <v>1399</v>
      </c>
      <c r="D807" s="20" t="s">
        <v>3317</v>
      </c>
      <c r="E807" s="21" t="s">
        <v>6277</v>
      </c>
      <c r="F807" s="21" t="s">
        <v>17</v>
      </c>
      <c r="G807" s="22" t="s">
        <v>5873</v>
      </c>
      <c r="H807" s="22" t="s">
        <v>5835</v>
      </c>
      <c r="I807" s="22">
        <v>97.1</v>
      </c>
      <c r="K807" s="22" t="s">
        <v>5835</v>
      </c>
      <c r="N807" s="25" t="s">
        <v>6740</v>
      </c>
      <c r="O807" s="25" t="s">
        <v>5835</v>
      </c>
      <c r="R807" s="22" t="s">
        <v>5873</v>
      </c>
    </row>
    <row r="808" spans="3:18" ht="16">
      <c r="C808" s="19" t="s">
        <v>1402</v>
      </c>
      <c r="D808" s="20" t="s">
        <v>3320</v>
      </c>
      <c r="E808" s="21" t="s">
        <v>6222</v>
      </c>
      <c r="F808" s="21" t="s">
        <v>8</v>
      </c>
      <c r="G808" s="22" t="s">
        <v>14</v>
      </c>
      <c r="H808" s="22" t="s">
        <v>7828</v>
      </c>
      <c r="I808" s="22">
        <v>1028.5999999999999</v>
      </c>
      <c r="K808" s="22" t="s">
        <v>5835</v>
      </c>
      <c r="N808" s="25" t="s">
        <v>14</v>
      </c>
      <c r="O808" s="25" t="s">
        <v>5835</v>
      </c>
      <c r="R808" s="22" t="s">
        <v>14</v>
      </c>
    </row>
    <row r="809" spans="3:18" ht="16">
      <c r="C809" s="19" t="s">
        <v>1406</v>
      </c>
      <c r="D809" s="20" t="s">
        <v>3324</v>
      </c>
      <c r="E809" s="21" t="s">
        <v>6257</v>
      </c>
      <c r="F809" s="21" t="s">
        <v>10</v>
      </c>
      <c r="G809" s="22" t="s">
        <v>5947</v>
      </c>
      <c r="H809" s="22" t="s">
        <v>5835</v>
      </c>
      <c r="I809" s="22">
        <v>16.5</v>
      </c>
      <c r="K809" s="22" t="s">
        <v>5835</v>
      </c>
      <c r="N809" s="25" t="s">
        <v>6741</v>
      </c>
      <c r="O809" s="25" t="s">
        <v>5835</v>
      </c>
      <c r="R809" s="22" t="s">
        <v>5947</v>
      </c>
    </row>
    <row r="810" spans="3:18" ht="16">
      <c r="C810" s="19" t="s">
        <v>1411</v>
      </c>
      <c r="D810" s="20" t="s">
        <v>3329</v>
      </c>
      <c r="E810" s="21" t="s">
        <v>6222</v>
      </c>
      <c r="F810" s="21" t="s">
        <v>8</v>
      </c>
      <c r="G810" s="22" t="s">
        <v>14</v>
      </c>
      <c r="H810" s="22" t="s">
        <v>7828</v>
      </c>
      <c r="I810" s="22">
        <v>374.5</v>
      </c>
      <c r="K810" s="22" t="s">
        <v>5835</v>
      </c>
      <c r="N810" s="25" t="s">
        <v>6742</v>
      </c>
      <c r="O810" s="25" t="s">
        <v>5835</v>
      </c>
      <c r="R810" s="22" t="s">
        <v>14</v>
      </c>
    </row>
    <row r="811" spans="3:18" ht="16">
      <c r="C811" s="19" t="s">
        <v>1418</v>
      </c>
      <c r="D811" s="20" t="s">
        <v>3336</v>
      </c>
      <c r="E811" s="21" t="s">
        <v>6208</v>
      </c>
      <c r="F811" s="21" t="s">
        <v>17</v>
      </c>
      <c r="G811" s="22" t="s">
        <v>5911</v>
      </c>
      <c r="H811" s="22" t="s">
        <v>5835</v>
      </c>
      <c r="I811" s="22">
        <v>208.5</v>
      </c>
      <c r="K811" s="22" t="s">
        <v>5835</v>
      </c>
      <c r="N811" s="25" t="s">
        <v>6743</v>
      </c>
      <c r="O811" s="25" t="s">
        <v>5835</v>
      </c>
      <c r="R811" s="22" t="s">
        <v>5911</v>
      </c>
    </row>
    <row r="812" spans="3:18" ht="16">
      <c r="C812" s="19" t="s">
        <v>1420</v>
      </c>
      <c r="D812" s="20" t="s">
        <v>3338</v>
      </c>
      <c r="E812" s="21" t="s">
        <v>6222</v>
      </c>
      <c r="F812" s="21" t="s">
        <v>8</v>
      </c>
      <c r="G812" s="22" t="s">
        <v>5991</v>
      </c>
      <c r="H812" s="22" t="s">
        <v>5835</v>
      </c>
      <c r="I812" s="22">
        <v>217.5</v>
      </c>
      <c r="K812" s="22" t="s">
        <v>5835</v>
      </c>
      <c r="N812" s="25" t="s">
        <v>6744</v>
      </c>
      <c r="O812" s="25" t="s">
        <v>5835</v>
      </c>
      <c r="R812" s="22" t="s">
        <v>5991</v>
      </c>
    </row>
    <row r="813" spans="3:18" ht="16">
      <c r="C813" s="19" t="s">
        <v>1425</v>
      </c>
      <c r="D813" s="20" t="s">
        <v>3343</v>
      </c>
      <c r="E813" s="21" t="s">
        <v>6252</v>
      </c>
      <c r="F813" s="21" t="s">
        <v>6080</v>
      </c>
      <c r="G813" s="22" t="s">
        <v>5915</v>
      </c>
      <c r="H813" s="22" t="s">
        <v>5835</v>
      </c>
      <c r="I813" s="22">
        <v>71.099999999999994</v>
      </c>
      <c r="K813" s="22" t="s">
        <v>5835</v>
      </c>
      <c r="N813" s="25" t="s">
        <v>6745</v>
      </c>
      <c r="O813" s="25" t="s">
        <v>5835</v>
      </c>
      <c r="R813" s="22" t="s">
        <v>5915</v>
      </c>
    </row>
    <row r="814" spans="3:18" ht="16">
      <c r="C814" s="19" t="s">
        <v>1426</v>
      </c>
      <c r="D814" s="20" t="s">
        <v>3344</v>
      </c>
      <c r="E814" s="21" t="s">
        <v>6208</v>
      </c>
      <c r="F814" s="21" t="s">
        <v>17</v>
      </c>
      <c r="G814" s="22" t="s">
        <v>5985</v>
      </c>
      <c r="H814" s="22" t="s">
        <v>7828</v>
      </c>
      <c r="I814" s="22">
        <v>301.2</v>
      </c>
      <c r="K814" s="22" t="s">
        <v>5835</v>
      </c>
      <c r="N814" s="25" t="s">
        <v>6746</v>
      </c>
      <c r="O814" s="25" t="s">
        <v>5835</v>
      </c>
      <c r="R814" s="22" t="s">
        <v>5985</v>
      </c>
    </row>
    <row r="815" spans="3:18" ht="16">
      <c r="C815" s="19" t="s">
        <v>1428</v>
      </c>
      <c r="D815" s="20" t="s">
        <v>3346</v>
      </c>
      <c r="E815" s="21" t="s">
        <v>6237</v>
      </c>
      <c r="F815" s="21" t="s">
        <v>6231</v>
      </c>
      <c r="G815" s="22" t="s">
        <v>5933</v>
      </c>
      <c r="H815" s="22" t="s">
        <v>5835</v>
      </c>
      <c r="I815" s="22">
        <v>70.400000000000006</v>
      </c>
      <c r="K815" s="22" t="s">
        <v>5835</v>
      </c>
      <c r="N815" s="25" t="s">
        <v>6747</v>
      </c>
      <c r="O815" s="25" t="s">
        <v>5835</v>
      </c>
      <c r="R815" s="22" t="s">
        <v>5933</v>
      </c>
    </row>
    <row r="816" spans="3:18" ht="16">
      <c r="C816" s="19" t="s">
        <v>1429</v>
      </c>
      <c r="D816" s="20" t="s">
        <v>3347</v>
      </c>
      <c r="E816" s="21" t="s">
        <v>6025</v>
      </c>
      <c r="F816" s="21" t="s">
        <v>17</v>
      </c>
      <c r="G816" s="22" t="s">
        <v>5855</v>
      </c>
      <c r="H816" s="22" t="s">
        <v>5835</v>
      </c>
      <c r="I816" s="22">
        <v>212.9</v>
      </c>
      <c r="K816" s="22" t="s">
        <v>5835</v>
      </c>
      <c r="N816" s="25" t="s">
        <v>6320</v>
      </c>
      <c r="O816" s="25" t="s">
        <v>5835</v>
      </c>
      <c r="R816" s="22" t="s">
        <v>5855</v>
      </c>
    </row>
    <row r="817" spans="3:18" ht="16">
      <c r="C817" s="19" t="s">
        <v>1430</v>
      </c>
      <c r="D817" s="20" t="s">
        <v>3348</v>
      </c>
      <c r="E817" s="21" t="s">
        <v>6277</v>
      </c>
      <c r="F817" s="21" t="s">
        <v>17</v>
      </c>
      <c r="G817" s="22" t="s">
        <v>5867</v>
      </c>
      <c r="H817" s="22" t="s">
        <v>5835</v>
      </c>
      <c r="I817" s="22">
        <v>29.9</v>
      </c>
      <c r="K817" s="22" t="s">
        <v>5835</v>
      </c>
      <c r="N817" s="25" t="s">
        <v>6748</v>
      </c>
      <c r="O817" s="25" t="s">
        <v>5835</v>
      </c>
      <c r="R817" s="22" t="s">
        <v>5867</v>
      </c>
    </row>
    <row r="818" spans="3:18" ht="16">
      <c r="C818" s="19" t="s">
        <v>1432</v>
      </c>
      <c r="D818" s="20" t="s">
        <v>3350</v>
      </c>
      <c r="E818" s="21" t="s">
        <v>6209</v>
      </c>
      <c r="F818" s="21" t="s">
        <v>5913</v>
      </c>
      <c r="G818" s="22" t="s">
        <v>5913</v>
      </c>
      <c r="H818" s="22" t="s">
        <v>7828</v>
      </c>
      <c r="I818" s="22">
        <v>561.70000000000005</v>
      </c>
      <c r="K818" s="22" t="s">
        <v>5835</v>
      </c>
      <c r="N818" s="25" t="s">
        <v>6749</v>
      </c>
      <c r="O818" s="25" t="s">
        <v>5835</v>
      </c>
      <c r="R818" s="22" t="s">
        <v>5913</v>
      </c>
    </row>
    <row r="819" spans="3:18" ht="16">
      <c r="C819" s="19" t="s">
        <v>6750</v>
      </c>
      <c r="D819" s="20" t="s">
        <v>6751</v>
      </c>
      <c r="E819" s="21" t="s">
        <v>6199</v>
      </c>
      <c r="F819" s="21" t="s">
        <v>6200</v>
      </c>
      <c r="G819" s="22" t="s">
        <v>5867</v>
      </c>
      <c r="H819" s="22" t="s">
        <v>5835</v>
      </c>
      <c r="I819" s="22">
        <v>38.700000000000003</v>
      </c>
      <c r="K819" s="22" t="s">
        <v>5835</v>
      </c>
      <c r="N819" s="25" t="s">
        <v>6752</v>
      </c>
      <c r="O819" s="25" t="s">
        <v>5835</v>
      </c>
      <c r="R819" s="22" t="s">
        <v>5867</v>
      </c>
    </row>
    <row r="820" spans="3:18" ht="16">
      <c r="C820" s="19" t="s">
        <v>1437</v>
      </c>
      <c r="D820" s="20" t="s">
        <v>3355</v>
      </c>
      <c r="E820" s="21" t="s">
        <v>6505</v>
      </c>
      <c r="F820" s="21" t="s">
        <v>6200</v>
      </c>
      <c r="G820" s="22" t="s">
        <v>5960</v>
      </c>
      <c r="H820" s="22" t="s">
        <v>5835</v>
      </c>
      <c r="I820" s="22">
        <v>16.100000000000001</v>
      </c>
      <c r="K820" s="22" t="s">
        <v>5835</v>
      </c>
      <c r="N820" s="25" t="s">
        <v>6753</v>
      </c>
      <c r="O820" s="25" t="s">
        <v>5835</v>
      </c>
      <c r="R820" s="22" t="s">
        <v>5960</v>
      </c>
    </row>
    <row r="821" spans="3:18" ht="16">
      <c r="C821" s="19" t="s">
        <v>1438</v>
      </c>
      <c r="D821" s="20" t="s">
        <v>3356</v>
      </c>
      <c r="E821" s="21" t="s">
        <v>6319</v>
      </c>
      <c r="F821" s="21" t="s">
        <v>17</v>
      </c>
      <c r="G821" s="22" t="s">
        <v>5855</v>
      </c>
      <c r="H821" s="22" t="s">
        <v>7828</v>
      </c>
      <c r="I821" s="22">
        <v>1091.9000000000001</v>
      </c>
      <c r="K821" s="22" t="s">
        <v>5835</v>
      </c>
      <c r="N821" s="25" t="s">
        <v>6754</v>
      </c>
      <c r="O821" s="25" t="s">
        <v>5835</v>
      </c>
      <c r="R821" s="22" t="s">
        <v>5855</v>
      </c>
    </row>
    <row r="822" spans="3:18" ht="16">
      <c r="C822" s="19" t="s">
        <v>1440</v>
      </c>
      <c r="D822" s="20" t="s">
        <v>3358</v>
      </c>
      <c r="E822" s="21" t="s">
        <v>6025</v>
      </c>
      <c r="F822" s="21" t="s">
        <v>17</v>
      </c>
      <c r="G822" s="22" t="s">
        <v>5855</v>
      </c>
      <c r="H822" s="22" t="s">
        <v>7828</v>
      </c>
      <c r="I822" s="22">
        <v>464.9</v>
      </c>
      <c r="K822" s="22" t="s">
        <v>5835</v>
      </c>
      <c r="N822" s="25" t="s">
        <v>6755</v>
      </c>
      <c r="O822" s="25" t="s">
        <v>5835</v>
      </c>
      <c r="R822" s="22" t="s">
        <v>5855</v>
      </c>
    </row>
    <row r="823" spans="3:18" ht="16">
      <c r="C823" s="19" t="s">
        <v>1441</v>
      </c>
      <c r="D823" s="20" t="s">
        <v>3359</v>
      </c>
      <c r="E823" s="21" t="s">
        <v>6285</v>
      </c>
      <c r="F823" s="21" t="s">
        <v>6281</v>
      </c>
      <c r="G823" s="22" t="s">
        <v>5945</v>
      </c>
      <c r="H823" s="22" t="s">
        <v>7828</v>
      </c>
      <c r="I823" s="22">
        <v>406.7</v>
      </c>
      <c r="K823" s="22" t="s">
        <v>5835</v>
      </c>
      <c r="N823" s="25" t="s">
        <v>6756</v>
      </c>
      <c r="O823" s="25" t="s">
        <v>5835</v>
      </c>
      <c r="R823" s="22" t="s">
        <v>5945</v>
      </c>
    </row>
    <row r="824" spans="3:18" ht="16">
      <c r="C824" s="19" t="s">
        <v>1442</v>
      </c>
      <c r="D824" s="20" t="s">
        <v>3360</v>
      </c>
      <c r="E824" s="21" t="s">
        <v>6257</v>
      </c>
      <c r="F824" s="21" t="s">
        <v>10</v>
      </c>
      <c r="G824" s="22" t="s">
        <v>5988</v>
      </c>
      <c r="H824" s="22" t="s">
        <v>7828</v>
      </c>
      <c r="I824" s="22">
        <v>1332.8</v>
      </c>
      <c r="K824" s="22" t="s">
        <v>5835</v>
      </c>
      <c r="N824" s="25" t="s">
        <v>6757</v>
      </c>
      <c r="O824" s="25" t="s">
        <v>5835</v>
      </c>
      <c r="R824" s="22" t="s">
        <v>5988</v>
      </c>
    </row>
    <row r="825" spans="3:18" ht="16">
      <c r="C825" s="19" t="s">
        <v>1443</v>
      </c>
      <c r="D825" s="20" t="s">
        <v>3361</v>
      </c>
      <c r="E825" s="21" t="s">
        <v>6226</v>
      </c>
      <c r="F825" s="21" t="s">
        <v>5913</v>
      </c>
      <c r="G825" s="22" t="s">
        <v>5945</v>
      </c>
      <c r="H825" s="22" t="s">
        <v>5835</v>
      </c>
      <c r="I825" s="22">
        <v>63.8</v>
      </c>
      <c r="K825" s="22" t="s">
        <v>5835</v>
      </c>
      <c r="N825" s="25" t="s">
        <v>6758</v>
      </c>
      <c r="O825" s="25" t="s">
        <v>5835</v>
      </c>
      <c r="R825" s="22" t="s">
        <v>5945</v>
      </c>
    </row>
    <row r="826" spans="3:18" ht="16">
      <c r="C826" s="19" t="s">
        <v>1449</v>
      </c>
      <c r="D826" s="20" t="s">
        <v>3367</v>
      </c>
      <c r="E826" s="21" t="s">
        <v>6209</v>
      </c>
      <c r="F826" s="21" t="s">
        <v>5913</v>
      </c>
      <c r="G826" s="22" t="s">
        <v>5962</v>
      </c>
      <c r="H826" s="22" t="s">
        <v>5835</v>
      </c>
      <c r="I826" s="22">
        <v>28.7</v>
      </c>
      <c r="K826" s="22" t="s">
        <v>5835</v>
      </c>
      <c r="N826" s="25" t="s">
        <v>6759</v>
      </c>
      <c r="O826" s="25" t="s">
        <v>5835</v>
      </c>
      <c r="R826" s="22" t="s">
        <v>5962</v>
      </c>
    </row>
    <row r="827" spans="3:18" ht="16">
      <c r="C827" s="19" t="s">
        <v>1450</v>
      </c>
      <c r="D827" s="20" t="s">
        <v>3368</v>
      </c>
      <c r="E827" s="21" t="s">
        <v>6469</v>
      </c>
      <c r="F827" s="21" t="s">
        <v>17</v>
      </c>
      <c r="G827" s="22" t="s">
        <v>5960</v>
      </c>
      <c r="H827" s="22" t="s">
        <v>5835</v>
      </c>
      <c r="I827" s="22">
        <v>15.5</v>
      </c>
      <c r="K827" s="22" t="s">
        <v>5835</v>
      </c>
      <c r="N827" s="25" t="s">
        <v>6760</v>
      </c>
      <c r="O827" s="25" t="s">
        <v>5835</v>
      </c>
      <c r="R827" s="22" t="s">
        <v>5960</v>
      </c>
    </row>
    <row r="828" spans="3:18" ht="16">
      <c r="C828" s="19" t="s">
        <v>1453</v>
      </c>
      <c r="D828" s="20" t="s">
        <v>3371</v>
      </c>
      <c r="E828" s="21" t="s">
        <v>6254</v>
      </c>
      <c r="F828" s="21" t="s">
        <v>8</v>
      </c>
      <c r="G828" s="22" t="s">
        <v>5935</v>
      </c>
      <c r="H828" s="22" t="s">
        <v>7828</v>
      </c>
      <c r="I828" s="22">
        <v>128.19999999999999</v>
      </c>
      <c r="K828" s="22" t="s">
        <v>5835</v>
      </c>
      <c r="N828" s="25" t="s">
        <v>6761</v>
      </c>
      <c r="O828" s="25" t="s">
        <v>5835</v>
      </c>
      <c r="R828" s="22" t="s">
        <v>5935</v>
      </c>
    </row>
    <row r="829" spans="3:18" ht="16">
      <c r="C829" s="19" t="s">
        <v>1455</v>
      </c>
      <c r="D829" s="20" t="s">
        <v>3373</v>
      </c>
      <c r="E829" s="21" t="s">
        <v>6209</v>
      </c>
      <c r="F829" s="21" t="s">
        <v>5913</v>
      </c>
      <c r="G829" s="22" t="s">
        <v>5962</v>
      </c>
      <c r="H829" s="22" t="s">
        <v>7828</v>
      </c>
      <c r="I829" s="22">
        <v>338.6</v>
      </c>
      <c r="K829" s="22" t="s">
        <v>5835</v>
      </c>
      <c r="N829" s="25" t="s">
        <v>6762</v>
      </c>
      <c r="O829" s="25" t="s">
        <v>5835</v>
      </c>
      <c r="R829" s="22" t="s">
        <v>5962</v>
      </c>
    </row>
    <row r="830" spans="3:18" ht="16">
      <c r="C830" s="19" t="s">
        <v>1456</v>
      </c>
      <c r="D830" s="20" t="s">
        <v>3374</v>
      </c>
      <c r="E830" s="21" t="s">
        <v>6293</v>
      </c>
      <c r="F830" s="21" t="s">
        <v>8</v>
      </c>
      <c r="G830" s="22" t="s">
        <v>5875</v>
      </c>
      <c r="H830" s="22" t="s">
        <v>5835</v>
      </c>
      <c r="I830" s="22">
        <v>76.400000000000006</v>
      </c>
      <c r="K830" s="22" t="s">
        <v>5835</v>
      </c>
      <c r="N830" s="25" t="s">
        <v>6763</v>
      </c>
      <c r="O830" s="25" t="s">
        <v>5835</v>
      </c>
      <c r="R830" s="22" t="s">
        <v>5875</v>
      </c>
    </row>
    <row r="831" spans="3:18" ht="16">
      <c r="C831" s="19" t="s">
        <v>1457</v>
      </c>
      <c r="D831" s="20" t="s">
        <v>3375</v>
      </c>
      <c r="E831" s="21" t="s">
        <v>6074</v>
      </c>
      <c r="F831" s="21" t="s">
        <v>6075</v>
      </c>
      <c r="G831" s="22" t="s">
        <v>5891</v>
      </c>
      <c r="H831" s="22" t="s">
        <v>7828</v>
      </c>
      <c r="I831" s="22">
        <v>1833.7</v>
      </c>
      <c r="K831" s="22" t="s">
        <v>5835</v>
      </c>
      <c r="N831" s="25" t="s">
        <v>6764</v>
      </c>
      <c r="O831" s="25" t="s">
        <v>5835</v>
      </c>
      <c r="R831" s="22" t="s">
        <v>5891</v>
      </c>
    </row>
    <row r="832" spans="3:18" ht="16">
      <c r="C832" s="19" t="s">
        <v>1458</v>
      </c>
      <c r="D832" s="20" t="s">
        <v>3376</v>
      </c>
      <c r="E832" s="21" t="s">
        <v>6219</v>
      </c>
      <c r="F832" s="21" t="s">
        <v>17</v>
      </c>
      <c r="G832" s="22" t="s">
        <v>5918</v>
      </c>
      <c r="H832" s="22" t="s">
        <v>5835</v>
      </c>
      <c r="I832" s="22">
        <v>96.1</v>
      </c>
      <c r="K832" s="22" t="s">
        <v>5835</v>
      </c>
      <c r="N832" s="25" t="s">
        <v>6765</v>
      </c>
      <c r="O832" s="25" t="s">
        <v>5835</v>
      </c>
      <c r="R832" s="22" t="s">
        <v>5918</v>
      </c>
    </row>
    <row r="833" spans="3:18" ht="16">
      <c r="C833" s="19" t="s">
        <v>1459</v>
      </c>
      <c r="D833" s="20" t="s">
        <v>3377</v>
      </c>
      <c r="E833" s="21" t="s">
        <v>6222</v>
      </c>
      <c r="F833" s="21" t="s">
        <v>8</v>
      </c>
      <c r="G833" s="22" t="s">
        <v>5962</v>
      </c>
      <c r="H833" s="22" t="s">
        <v>7828</v>
      </c>
      <c r="I833" s="22">
        <v>154.30000000000001</v>
      </c>
      <c r="K833" s="22" t="s">
        <v>5835</v>
      </c>
      <c r="N833" s="25" t="s">
        <v>6766</v>
      </c>
      <c r="O833" s="25" t="s">
        <v>5835</v>
      </c>
      <c r="R833" s="22" t="s">
        <v>5962</v>
      </c>
    </row>
    <row r="834" spans="3:18" ht="16">
      <c r="C834" s="19" t="s">
        <v>1460</v>
      </c>
      <c r="D834" s="20" t="s">
        <v>3378</v>
      </c>
      <c r="E834" s="21" t="s">
        <v>6497</v>
      </c>
      <c r="F834" s="21" t="s">
        <v>6200</v>
      </c>
      <c r="G834" s="22" t="s">
        <v>5985</v>
      </c>
      <c r="H834" s="22" t="s">
        <v>7828</v>
      </c>
      <c r="I834" s="22">
        <v>136.30000000000001</v>
      </c>
      <c r="K834" s="22" t="s">
        <v>5835</v>
      </c>
      <c r="N834" s="25" t="s">
        <v>6767</v>
      </c>
      <c r="O834" s="25" t="s">
        <v>5835</v>
      </c>
      <c r="R834" s="22" t="s">
        <v>5985</v>
      </c>
    </row>
    <row r="835" spans="3:18" ht="16">
      <c r="C835" s="19" t="s">
        <v>1463</v>
      </c>
      <c r="D835" s="20" t="s">
        <v>3381</v>
      </c>
      <c r="E835" s="21" t="s">
        <v>5968</v>
      </c>
      <c r="F835" s="21" t="s">
        <v>5969</v>
      </c>
      <c r="G835" s="22" t="s">
        <v>5952</v>
      </c>
      <c r="H835" s="22" t="s">
        <v>5835</v>
      </c>
      <c r="I835" s="22">
        <v>102.1</v>
      </c>
      <c r="K835" s="22" t="s">
        <v>5835</v>
      </c>
      <c r="N835" s="25" t="s">
        <v>6768</v>
      </c>
      <c r="O835" s="25" t="s">
        <v>5835</v>
      </c>
      <c r="R835" s="22" t="s">
        <v>5952</v>
      </c>
    </row>
    <row r="836" spans="3:18" ht="16">
      <c r="C836" s="19" t="s">
        <v>1467</v>
      </c>
      <c r="D836" s="20" t="s">
        <v>3385</v>
      </c>
      <c r="E836" s="21" t="s">
        <v>6074</v>
      </c>
      <c r="F836" s="21" t="s">
        <v>6075</v>
      </c>
      <c r="G836" s="22" t="s">
        <v>5882</v>
      </c>
      <c r="H836" s="22" t="s">
        <v>7828</v>
      </c>
      <c r="I836" s="22">
        <v>876.1</v>
      </c>
      <c r="K836" s="22" t="s">
        <v>5835</v>
      </c>
      <c r="N836" s="25" t="s">
        <v>6769</v>
      </c>
      <c r="O836" s="25" t="s">
        <v>5835</v>
      </c>
      <c r="R836" s="22" t="s">
        <v>5882</v>
      </c>
    </row>
    <row r="837" spans="3:18" ht="16">
      <c r="C837" s="19" t="s">
        <v>1469</v>
      </c>
      <c r="D837" s="20" t="s">
        <v>3387</v>
      </c>
      <c r="E837" s="21" t="s">
        <v>6293</v>
      </c>
      <c r="F837" s="21" t="s">
        <v>8</v>
      </c>
      <c r="G837" s="22" t="s">
        <v>5875</v>
      </c>
      <c r="H837" s="22" t="s">
        <v>5835</v>
      </c>
      <c r="I837" s="22">
        <v>34.200000000000003</v>
      </c>
      <c r="K837" s="22" t="s">
        <v>5835</v>
      </c>
      <c r="N837" s="25" t="s">
        <v>6770</v>
      </c>
      <c r="O837" s="25" t="s">
        <v>5835</v>
      </c>
      <c r="R837" s="22" t="s">
        <v>5875</v>
      </c>
    </row>
    <row r="838" spans="3:18" ht="16">
      <c r="C838" s="19" t="s">
        <v>1474</v>
      </c>
      <c r="D838" s="20" t="s">
        <v>3392</v>
      </c>
      <c r="E838" s="21" t="s">
        <v>6074</v>
      </c>
      <c r="F838" s="21" t="s">
        <v>6075</v>
      </c>
      <c r="G838" s="22" t="s">
        <v>5889</v>
      </c>
      <c r="H838" s="22" t="s">
        <v>7828</v>
      </c>
      <c r="I838" s="22">
        <v>232.4</v>
      </c>
      <c r="K838" s="22" t="s">
        <v>5835</v>
      </c>
      <c r="N838" s="25" t="s">
        <v>6771</v>
      </c>
      <c r="O838" s="25" t="s">
        <v>5835</v>
      </c>
      <c r="R838" s="22" t="s">
        <v>5889</v>
      </c>
    </row>
    <row r="839" spans="3:18" ht="16">
      <c r="C839" s="19" t="s">
        <v>1480</v>
      </c>
      <c r="D839" s="20" t="s">
        <v>3397</v>
      </c>
      <c r="E839" s="21" t="s">
        <v>6074</v>
      </c>
      <c r="F839" s="21" t="s">
        <v>6075</v>
      </c>
      <c r="G839" s="22" t="s">
        <v>7827</v>
      </c>
      <c r="H839" s="22" t="s">
        <v>5835</v>
      </c>
      <c r="I839" s="22">
        <v>43.8</v>
      </c>
      <c r="K839" s="22" t="s">
        <v>5835</v>
      </c>
      <c r="N839" s="25" t="s">
        <v>6772</v>
      </c>
      <c r="O839" s="25" t="s">
        <v>5835</v>
      </c>
      <c r="R839" s="22" t="s">
        <v>5940</v>
      </c>
    </row>
    <row r="840" spans="3:18" ht="16">
      <c r="C840" s="19" t="s">
        <v>1481</v>
      </c>
      <c r="D840" s="20" t="s">
        <v>3398</v>
      </c>
      <c r="E840" s="21" t="s">
        <v>5895</v>
      </c>
      <c r="F840" s="21" t="s">
        <v>5896</v>
      </c>
      <c r="G840" s="22" t="s">
        <v>5972</v>
      </c>
      <c r="H840" s="22" t="s">
        <v>7828</v>
      </c>
      <c r="I840" s="22">
        <v>3477</v>
      </c>
      <c r="K840" s="22" t="s">
        <v>5832</v>
      </c>
      <c r="N840" s="25" t="s">
        <v>6773</v>
      </c>
      <c r="O840" s="25" t="s">
        <v>5835</v>
      </c>
      <c r="R840" s="22" t="s">
        <v>5972</v>
      </c>
    </row>
    <row r="841" spans="3:18" ht="16">
      <c r="C841" s="19" t="s">
        <v>1487</v>
      </c>
      <c r="D841" s="20" t="s">
        <v>3404</v>
      </c>
      <c r="E841" s="21" t="s">
        <v>6222</v>
      </c>
      <c r="F841" s="21" t="s">
        <v>8</v>
      </c>
      <c r="G841" s="22" t="s">
        <v>14</v>
      </c>
      <c r="H841" s="22" t="s">
        <v>7828</v>
      </c>
      <c r="I841" s="22">
        <v>403.9</v>
      </c>
      <c r="K841" s="22" t="s">
        <v>5835</v>
      </c>
      <c r="N841" s="25" t="s">
        <v>6774</v>
      </c>
      <c r="O841" s="25" t="s">
        <v>5835</v>
      </c>
      <c r="R841" s="22" t="s">
        <v>14</v>
      </c>
    </row>
    <row r="842" spans="3:18" ht="16">
      <c r="C842" s="19" t="s">
        <v>1491</v>
      </c>
      <c r="D842" s="20" t="s">
        <v>3408</v>
      </c>
      <c r="E842" s="21" t="s">
        <v>6222</v>
      </c>
      <c r="F842" s="21" t="s">
        <v>8</v>
      </c>
      <c r="G842" s="22" t="s">
        <v>5930</v>
      </c>
      <c r="H842" s="22" t="s">
        <v>5835</v>
      </c>
      <c r="I842" s="22">
        <v>87.1</v>
      </c>
      <c r="K842" s="22" t="s">
        <v>5835</v>
      </c>
      <c r="N842" s="25" t="s">
        <v>6775</v>
      </c>
      <c r="O842" s="25" t="s">
        <v>5835</v>
      </c>
      <c r="R842" s="22" t="s">
        <v>5930</v>
      </c>
    </row>
    <row r="843" spans="3:18" ht="16">
      <c r="C843" s="19" t="s">
        <v>1492</v>
      </c>
      <c r="D843" s="20" t="s">
        <v>3409</v>
      </c>
      <c r="E843" s="21" t="s">
        <v>6209</v>
      </c>
      <c r="F843" s="21" t="s">
        <v>5835</v>
      </c>
      <c r="G843" s="22" t="s">
        <v>7825</v>
      </c>
      <c r="H843" s="22" t="s">
        <v>7828</v>
      </c>
      <c r="I843" s="22">
        <v>911.2</v>
      </c>
      <c r="K843" s="22" t="s">
        <v>5835</v>
      </c>
      <c r="N843" s="25" t="s">
        <v>5835</v>
      </c>
      <c r="O843" s="25" t="s">
        <v>5835</v>
      </c>
      <c r="R843" s="22" t="s">
        <v>6202</v>
      </c>
    </row>
    <row r="844" spans="3:18" ht="16">
      <c r="C844" s="19" t="s">
        <v>1495</v>
      </c>
      <c r="D844" s="20" t="s">
        <v>3412</v>
      </c>
      <c r="E844" s="21" t="s">
        <v>6257</v>
      </c>
      <c r="F844" s="21" t="s">
        <v>10</v>
      </c>
      <c r="G844" s="22" t="s">
        <v>5928</v>
      </c>
      <c r="H844" s="22" t="s">
        <v>7828</v>
      </c>
      <c r="I844" s="22">
        <v>494.5</v>
      </c>
      <c r="K844" s="22" t="s">
        <v>5835</v>
      </c>
      <c r="N844" s="25" t="s">
        <v>6776</v>
      </c>
      <c r="O844" s="25" t="s">
        <v>5835</v>
      </c>
      <c r="R844" s="22" t="s">
        <v>5928</v>
      </c>
    </row>
    <row r="845" spans="3:18" ht="16">
      <c r="C845" s="19" t="s">
        <v>1497</v>
      </c>
      <c r="D845" s="20" t="s">
        <v>3414</v>
      </c>
      <c r="E845" s="21" t="s">
        <v>6257</v>
      </c>
      <c r="F845" s="21" t="s">
        <v>10</v>
      </c>
      <c r="G845" s="22" t="s">
        <v>5981</v>
      </c>
      <c r="H845" s="22" t="s">
        <v>7828</v>
      </c>
      <c r="I845" s="22">
        <v>134.4</v>
      </c>
      <c r="K845" s="22" t="s">
        <v>5835</v>
      </c>
      <c r="N845" s="25" t="s">
        <v>6777</v>
      </c>
      <c r="O845" s="25" t="s">
        <v>5835</v>
      </c>
      <c r="R845" s="22" t="s">
        <v>5981</v>
      </c>
    </row>
    <row r="846" spans="3:18" ht="16">
      <c r="C846" s="19" t="s">
        <v>1501</v>
      </c>
      <c r="D846" s="20" t="s">
        <v>3417</v>
      </c>
      <c r="E846" s="21" t="s">
        <v>6074</v>
      </c>
      <c r="F846" s="21" t="s">
        <v>6075</v>
      </c>
      <c r="G846" s="22" t="s">
        <v>5891</v>
      </c>
      <c r="H846" s="22" t="s">
        <v>5835</v>
      </c>
      <c r="I846" s="22">
        <v>135.30000000000001</v>
      </c>
      <c r="K846" s="22" t="s">
        <v>5835</v>
      </c>
      <c r="N846" s="25" t="s">
        <v>6778</v>
      </c>
      <c r="O846" s="25" t="s">
        <v>5835</v>
      </c>
      <c r="R846" s="22" t="s">
        <v>5891</v>
      </c>
    </row>
    <row r="847" spans="3:18" ht="16">
      <c r="C847" s="19" t="s">
        <v>1506</v>
      </c>
      <c r="D847" s="20" t="s">
        <v>3422</v>
      </c>
      <c r="E847" s="21" t="s">
        <v>6074</v>
      </c>
      <c r="F847" s="21" t="s">
        <v>6075</v>
      </c>
      <c r="G847" s="22" t="s">
        <v>5891</v>
      </c>
      <c r="H847" s="22" t="s">
        <v>7828</v>
      </c>
      <c r="I847" s="22">
        <v>287.7</v>
      </c>
      <c r="K847" s="22" t="s">
        <v>5835</v>
      </c>
      <c r="N847" s="25" t="s">
        <v>6779</v>
      </c>
      <c r="O847" s="25" t="s">
        <v>5835</v>
      </c>
      <c r="R847" s="22" t="s">
        <v>5891</v>
      </c>
    </row>
    <row r="848" spans="3:18" ht="16">
      <c r="C848" s="19" t="s">
        <v>1507</v>
      </c>
      <c r="D848" s="20" t="s">
        <v>3423</v>
      </c>
      <c r="E848" s="21" t="s">
        <v>6222</v>
      </c>
      <c r="F848" s="21" t="s">
        <v>8</v>
      </c>
      <c r="G848" s="22" t="s">
        <v>5983</v>
      </c>
      <c r="H848" s="22" t="s">
        <v>5835</v>
      </c>
      <c r="I848" s="22">
        <v>20.100000000000001</v>
      </c>
      <c r="K848" s="22" t="s">
        <v>5835</v>
      </c>
      <c r="N848" s="25" t="s">
        <v>6780</v>
      </c>
      <c r="O848" s="25" t="s">
        <v>5835</v>
      </c>
      <c r="R848" s="22" t="s">
        <v>5983</v>
      </c>
    </row>
    <row r="849" spans="3:18" ht="16">
      <c r="C849" s="19" t="s">
        <v>1509</v>
      </c>
      <c r="D849" s="20" t="s">
        <v>3425</v>
      </c>
      <c r="E849" s="21" t="s">
        <v>6277</v>
      </c>
      <c r="F849" s="21" t="s">
        <v>17</v>
      </c>
      <c r="G849" s="22" t="s">
        <v>5995</v>
      </c>
      <c r="H849" s="22" t="s">
        <v>7828</v>
      </c>
      <c r="I849" s="22">
        <v>47.3</v>
      </c>
      <c r="K849" s="22" t="s">
        <v>5835</v>
      </c>
      <c r="N849" s="25" t="s">
        <v>6781</v>
      </c>
      <c r="O849" s="25" t="s">
        <v>5835</v>
      </c>
      <c r="R849" s="22" t="s">
        <v>5995</v>
      </c>
    </row>
    <row r="850" spans="3:18" ht="16">
      <c r="C850" s="19" t="s">
        <v>1515</v>
      </c>
      <c r="D850" s="20" t="s">
        <v>3431</v>
      </c>
      <c r="E850" s="21" t="s">
        <v>6199</v>
      </c>
      <c r="F850" s="21" t="s">
        <v>6200</v>
      </c>
      <c r="G850" s="22" t="s">
        <v>7825</v>
      </c>
      <c r="H850" s="22" t="s">
        <v>5835</v>
      </c>
      <c r="I850" s="22">
        <v>7.6</v>
      </c>
      <c r="K850" s="22" t="s">
        <v>5835</v>
      </c>
      <c r="N850" s="25" t="s">
        <v>6782</v>
      </c>
      <c r="O850" s="25" t="s">
        <v>5835</v>
      </c>
      <c r="R850" s="22" t="s">
        <v>6202</v>
      </c>
    </row>
    <row r="851" spans="3:18" ht="16">
      <c r="C851" s="19" t="s">
        <v>1520</v>
      </c>
      <c r="D851" s="20" t="s">
        <v>3436</v>
      </c>
      <c r="E851" s="21" t="s">
        <v>6285</v>
      </c>
      <c r="F851" s="21" t="s">
        <v>6281</v>
      </c>
      <c r="G851" s="22" t="s">
        <v>5945</v>
      </c>
      <c r="H851" s="22" t="s">
        <v>5835</v>
      </c>
      <c r="I851" s="22">
        <v>201.7</v>
      </c>
      <c r="K851" s="22" t="s">
        <v>5835</v>
      </c>
      <c r="N851" s="25" t="s">
        <v>6783</v>
      </c>
      <c r="O851" s="25" t="s">
        <v>5835</v>
      </c>
      <c r="R851" s="22" t="s">
        <v>5945</v>
      </c>
    </row>
    <row r="852" spans="3:18" ht="16">
      <c r="C852" s="19" t="s">
        <v>1521</v>
      </c>
      <c r="D852" s="20" t="s">
        <v>3437</v>
      </c>
      <c r="E852" s="21" t="s">
        <v>5968</v>
      </c>
      <c r="F852" s="21" t="s">
        <v>5969</v>
      </c>
      <c r="G852" s="22" t="s">
        <v>5887</v>
      </c>
      <c r="H852" s="22" t="s">
        <v>5835</v>
      </c>
      <c r="I852" s="22">
        <v>115.2</v>
      </c>
      <c r="K852" s="22" t="s">
        <v>5835</v>
      </c>
      <c r="N852" s="25" t="s">
        <v>6784</v>
      </c>
      <c r="O852" s="25" t="s">
        <v>5835</v>
      </c>
      <c r="R852" s="22" t="s">
        <v>5887</v>
      </c>
    </row>
    <row r="853" spans="3:18" ht="16">
      <c r="C853" s="19" t="s">
        <v>1522</v>
      </c>
      <c r="D853" s="20" t="s">
        <v>3438</v>
      </c>
      <c r="E853" s="21" t="s">
        <v>6170</v>
      </c>
      <c r="F853" s="21" t="s">
        <v>5896</v>
      </c>
      <c r="G853" s="22" t="s">
        <v>5893</v>
      </c>
      <c r="H853" s="22" t="s">
        <v>5835</v>
      </c>
      <c r="I853" s="22">
        <v>35.1</v>
      </c>
      <c r="K853" s="22" t="s">
        <v>5835</v>
      </c>
      <c r="N853" s="25" t="s">
        <v>6785</v>
      </c>
      <c r="O853" s="25" t="s">
        <v>5835</v>
      </c>
      <c r="R853" s="22" t="s">
        <v>5893</v>
      </c>
    </row>
    <row r="854" spans="3:18" ht="16">
      <c r="C854" s="19" t="s">
        <v>1524</v>
      </c>
      <c r="D854" s="20" t="s">
        <v>3440</v>
      </c>
      <c r="E854" s="21" t="s">
        <v>5895</v>
      </c>
      <c r="F854" s="21" t="s">
        <v>5896</v>
      </c>
      <c r="G854" s="22" t="s">
        <v>7827</v>
      </c>
      <c r="H854" s="22" t="s">
        <v>5835</v>
      </c>
      <c r="I854" s="22">
        <v>71.2</v>
      </c>
      <c r="K854" s="22" t="s">
        <v>5835</v>
      </c>
      <c r="N854" s="25" t="s">
        <v>5835</v>
      </c>
      <c r="O854" s="25" t="s">
        <v>5835</v>
      </c>
      <c r="R854" s="22" t="s">
        <v>5940</v>
      </c>
    </row>
    <row r="855" spans="3:18" ht="16">
      <c r="C855" s="19" t="s">
        <v>1528</v>
      </c>
      <c r="D855" s="20" t="s">
        <v>3444</v>
      </c>
      <c r="E855" s="21" t="s">
        <v>6277</v>
      </c>
      <c r="F855" s="21" t="s">
        <v>17</v>
      </c>
      <c r="G855" s="22" t="s">
        <v>5902</v>
      </c>
      <c r="H855" s="22" t="s">
        <v>5835</v>
      </c>
      <c r="I855" s="22">
        <v>25.2</v>
      </c>
      <c r="K855" s="22" t="s">
        <v>5835</v>
      </c>
      <c r="N855" s="25" t="s">
        <v>6786</v>
      </c>
      <c r="O855" s="25" t="s">
        <v>5835</v>
      </c>
      <c r="R855" s="22" t="s">
        <v>5902</v>
      </c>
    </row>
    <row r="856" spans="3:18" ht="16">
      <c r="C856" s="19" t="s">
        <v>1529</v>
      </c>
      <c r="D856" s="20" t="s">
        <v>3445</v>
      </c>
      <c r="E856" s="21" t="s">
        <v>5968</v>
      </c>
      <c r="F856" s="21" t="s">
        <v>5969</v>
      </c>
      <c r="G856" s="22" t="s">
        <v>5974</v>
      </c>
      <c r="H856" s="22" t="s">
        <v>7828</v>
      </c>
      <c r="I856" s="22">
        <v>479.5</v>
      </c>
      <c r="K856" s="22" t="s">
        <v>5835</v>
      </c>
      <c r="N856" s="25" t="s">
        <v>6787</v>
      </c>
      <c r="O856" s="25" t="s">
        <v>5835</v>
      </c>
      <c r="R856" s="22" t="s">
        <v>5974</v>
      </c>
    </row>
    <row r="857" spans="3:18" ht="16">
      <c r="C857" s="19" t="s">
        <v>1533</v>
      </c>
      <c r="D857" s="20" t="s">
        <v>3448</v>
      </c>
      <c r="E857" s="21" t="s">
        <v>6074</v>
      </c>
      <c r="F857" s="21" t="s">
        <v>6075</v>
      </c>
      <c r="G857" s="22" t="s">
        <v>7827</v>
      </c>
      <c r="H857" s="22" t="s">
        <v>5835</v>
      </c>
      <c r="I857" s="22">
        <v>20</v>
      </c>
      <c r="K857" s="22" t="s">
        <v>5835</v>
      </c>
      <c r="N857" s="25" t="s">
        <v>6788</v>
      </c>
      <c r="O857" s="25" t="s">
        <v>5835</v>
      </c>
      <c r="R857" s="22" t="s">
        <v>5940</v>
      </c>
    </row>
    <row r="858" spans="3:18" ht="16">
      <c r="C858" s="19" t="s">
        <v>1535</v>
      </c>
      <c r="D858" s="20" t="s">
        <v>3450</v>
      </c>
      <c r="E858" s="21" t="s">
        <v>5926</v>
      </c>
      <c r="F858" s="21" t="s">
        <v>5927</v>
      </c>
      <c r="G858" s="22" t="s">
        <v>5843</v>
      </c>
      <c r="H858" s="22" t="s">
        <v>7828</v>
      </c>
      <c r="I858" s="22">
        <v>300.89999999999998</v>
      </c>
      <c r="K858" s="22" t="s">
        <v>5835</v>
      </c>
      <c r="N858" s="25" t="s">
        <v>6789</v>
      </c>
      <c r="O858" s="25" t="s">
        <v>5835</v>
      </c>
      <c r="R858" s="22" t="s">
        <v>5843</v>
      </c>
    </row>
    <row r="859" spans="3:18" ht="16">
      <c r="C859" s="19" t="s">
        <v>1536</v>
      </c>
      <c r="D859" s="20" t="s">
        <v>3451</v>
      </c>
      <c r="E859" s="21" t="s">
        <v>6033</v>
      </c>
      <c r="F859" s="21" t="s">
        <v>5969</v>
      </c>
      <c r="G859" s="22" t="s">
        <v>7827</v>
      </c>
      <c r="H859" s="22" t="s">
        <v>5835</v>
      </c>
      <c r="I859" s="22">
        <v>27</v>
      </c>
      <c r="K859" s="22" t="s">
        <v>5835</v>
      </c>
      <c r="N859" s="25" t="s">
        <v>5835</v>
      </c>
      <c r="O859" s="25" t="s">
        <v>5835</v>
      </c>
      <c r="R859" s="22" t="s">
        <v>5940</v>
      </c>
    </row>
    <row r="860" spans="3:18" ht="16">
      <c r="C860" s="19" t="s">
        <v>1546</v>
      </c>
      <c r="D860" s="20" t="s">
        <v>3461</v>
      </c>
      <c r="E860" s="21" t="s">
        <v>5968</v>
      </c>
      <c r="F860" s="21" t="s">
        <v>5969</v>
      </c>
      <c r="G860" s="22" t="s">
        <v>7827</v>
      </c>
      <c r="H860" s="22" t="s">
        <v>5835</v>
      </c>
      <c r="I860" s="22">
        <v>59.7</v>
      </c>
      <c r="K860" s="22" t="s">
        <v>5835</v>
      </c>
      <c r="N860" s="25" t="s">
        <v>6790</v>
      </c>
      <c r="O860" s="25" t="s">
        <v>5835</v>
      </c>
      <c r="R860" s="22" t="s">
        <v>5940</v>
      </c>
    </row>
    <row r="861" spans="3:18" ht="16">
      <c r="C861" s="19" t="s">
        <v>1550</v>
      </c>
      <c r="D861" s="20" t="s">
        <v>3465</v>
      </c>
      <c r="E861" s="21" t="s">
        <v>5968</v>
      </c>
      <c r="F861" s="21" t="s">
        <v>5969</v>
      </c>
      <c r="G861" s="22" t="s">
        <v>5869</v>
      </c>
      <c r="H861" s="22" t="s">
        <v>5835</v>
      </c>
      <c r="I861" s="22">
        <v>8</v>
      </c>
      <c r="K861" s="22" t="s">
        <v>5835</v>
      </c>
      <c r="N861" s="25" t="s">
        <v>6791</v>
      </c>
      <c r="O861" s="25" t="s">
        <v>5835</v>
      </c>
      <c r="R861" s="22" t="s">
        <v>5869</v>
      </c>
    </row>
    <row r="862" spans="3:18" ht="16">
      <c r="C862" s="19" t="s">
        <v>1557</v>
      </c>
      <c r="D862" s="20" t="s">
        <v>3471</v>
      </c>
      <c r="E862" s="21" t="s">
        <v>5968</v>
      </c>
      <c r="F862" s="21" t="s">
        <v>5969</v>
      </c>
      <c r="G862" s="22" t="s">
        <v>5879</v>
      </c>
      <c r="H862" s="22" t="s">
        <v>5835</v>
      </c>
      <c r="I862" s="22">
        <v>97.1</v>
      </c>
      <c r="K862" s="22" t="s">
        <v>5835</v>
      </c>
      <c r="N862" s="25" t="s">
        <v>6792</v>
      </c>
      <c r="O862" s="25" t="s">
        <v>5835</v>
      </c>
      <c r="R862" s="22" t="s">
        <v>5879</v>
      </c>
    </row>
    <row r="863" spans="3:18" ht="16">
      <c r="C863" s="19" t="s">
        <v>1558</v>
      </c>
      <c r="D863" s="20" t="s">
        <v>3472</v>
      </c>
      <c r="E863" s="21" t="s">
        <v>6074</v>
      </c>
      <c r="F863" s="21" t="s">
        <v>6075</v>
      </c>
      <c r="G863" s="22" t="s">
        <v>7827</v>
      </c>
      <c r="H863" s="22" t="s">
        <v>5835</v>
      </c>
      <c r="I863" s="22">
        <v>53.3</v>
      </c>
      <c r="K863" s="22" t="s">
        <v>5835</v>
      </c>
      <c r="N863" s="25" t="s">
        <v>5835</v>
      </c>
      <c r="O863" s="25" t="s">
        <v>5835</v>
      </c>
      <c r="R863" s="22" t="s">
        <v>5940</v>
      </c>
    </row>
    <row r="864" spans="3:18" ht="16">
      <c r="C864" s="19" t="s">
        <v>1559</v>
      </c>
      <c r="D864" s="20" t="s">
        <v>3473</v>
      </c>
      <c r="E864" s="21" t="s">
        <v>6274</v>
      </c>
      <c r="F864" s="21" t="s">
        <v>5835</v>
      </c>
      <c r="G864" s="22" t="s">
        <v>7825</v>
      </c>
      <c r="H864" s="22" t="s">
        <v>5835</v>
      </c>
      <c r="I864" s="22">
        <v>26.7</v>
      </c>
      <c r="K864" s="22" t="s">
        <v>5835</v>
      </c>
      <c r="N864" s="25" t="s">
        <v>5835</v>
      </c>
      <c r="O864" s="25" t="s">
        <v>5835</v>
      </c>
      <c r="R864" s="22" t="s">
        <v>6202</v>
      </c>
    </row>
    <row r="865" spans="3:18" ht="16">
      <c r="C865" s="19" t="s">
        <v>1563</v>
      </c>
      <c r="D865" s="20" t="s">
        <v>3477</v>
      </c>
      <c r="E865" s="21" t="s">
        <v>6074</v>
      </c>
      <c r="F865" s="21" t="s">
        <v>6075</v>
      </c>
      <c r="G865" s="22" t="s">
        <v>5884</v>
      </c>
      <c r="H865" s="22" t="s">
        <v>5835</v>
      </c>
      <c r="I865" s="22">
        <v>20.399999999999999</v>
      </c>
      <c r="K865" s="22" t="s">
        <v>5835</v>
      </c>
      <c r="N865" s="25" t="s">
        <v>6793</v>
      </c>
      <c r="O865" s="25" t="s">
        <v>5835</v>
      </c>
      <c r="R865" s="22" t="s">
        <v>5884</v>
      </c>
    </row>
    <row r="866" spans="3:18" ht="16">
      <c r="C866" s="19" t="s">
        <v>1565</v>
      </c>
      <c r="D866" s="20" t="s">
        <v>3479</v>
      </c>
      <c r="E866" s="21" t="s">
        <v>6469</v>
      </c>
      <c r="F866" s="21" t="s">
        <v>17</v>
      </c>
      <c r="G866" s="22" t="s">
        <v>5862</v>
      </c>
      <c r="H866" s="22" t="s">
        <v>5835</v>
      </c>
      <c r="I866" s="22">
        <v>49</v>
      </c>
      <c r="K866" s="22" t="s">
        <v>5835</v>
      </c>
      <c r="N866" s="25" t="s">
        <v>6794</v>
      </c>
      <c r="O866" s="25" t="s">
        <v>5835</v>
      </c>
      <c r="R866" s="22" t="s">
        <v>5862</v>
      </c>
    </row>
    <row r="867" spans="3:18" ht="16">
      <c r="C867" s="19" t="s">
        <v>1566</v>
      </c>
      <c r="D867" s="20" t="s">
        <v>3480</v>
      </c>
      <c r="E867" s="21" t="s">
        <v>6196</v>
      </c>
      <c r="F867" s="21" t="s">
        <v>6197</v>
      </c>
      <c r="G867" s="22" t="s">
        <v>5909</v>
      </c>
      <c r="H867" s="22" t="s">
        <v>7828</v>
      </c>
      <c r="I867" s="22">
        <v>4821.5</v>
      </c>
      <c r="K867" s="22" t="s">
        <v>5832</v>
      </c>
      <c r="N867" s="25" t="s">
        <v>6795</v>
      </c>
      <c r="O867" s="25" t="s">
        <v>5835</v>
      </c>
      <c r="R867" s="22" t="s">
        <v>5909</v>
      </c>
    </row>
    <row r="868" spans="3:18" ht="16">
      <c r="C868" s="19" t="s">
        <v>1567</v>
      </c>
      <c r="D868" s="20" t="s">
        <v>3481</v>
      </c>
      <c r="E868" s="21" t="s">
        <v>6796</v>
      </c>
      <c r="F868" s="21" t="s">
        <v>6680</v>
      </c>
      <c r="G868" s="22" t="s">
        <v>5859</v>
      </c>
      <c r="H868" s="22" t="s">
        <v>7828</v>
      </c>
      <c r="I868" s="22">
        <v>389.9</v>
      </c>
      <c r="K868" s="22" t="s">
        <v>5835</v>
      </c>
      <c r="N868" s="25" t="s">
        <v>6797</v>
      </c>
      <c r="O868" s="25" t="s">
        <v>5835</v>
      </c>
      <c r="R868" s="22" t="s">
        <v>5859</v>
      </c>
    </row>
    <row r="869" spans="3:18" ht="16">
      <c r="C869" s="19" t="s">
        <v>1568</v>
      </c>
      <c r="D869" s="20" t="s">
        <v>3482</v>
      </c>
      <c r="E869" s="21" t="s">
        <v>5851</v>
      </c>
      <c r="F869" s="21" t="s">
        <v>5852</v>
      </c>
      <c r="G869" s="22" t="s">
        <v>7827</v>
      </c>
      <c r="H869" s="22" t="s">
        <v>5835</v>
      </c>
      <c r="I869" s="22">
        <v>25</v>
      </c>
      <c r="K869" s="22" t="s">
        <v>5835</v>
      </c>
      <c r="N869" s="25" t="s">
        <v>6798</v>
      </c>
      <c r="O869" s="25" t="s">
        <v>5835</v>
      </c>
      <c r="R869" s="22" t="s">
        <v>5940</v>
      </c>
    </row>
    <row r="870" spans="3:18" ht="16">
      <c r="C870" s="19" t="s">
        <v>1569</v>
      </c>
      <c r="D870" s="20" t="s">
        <v>3483</v>
      </c>
      <c r="E870" s="21" t="s">
        <v>6208</v>
      </c>
      <c r="F870" s="21" t="s">
        <v>17</v>
      </c>
      <c r="G870" s="22" t="s">
        <v>5943</v>
      </c>
      <c r="H870" s="22" t="s">
        <v>5835</v>
      </c>
      <c r="I870" s="22">
        <v>51.1</v>
      </c>
      <c r="K870" s="22" t="s">
        <v>5835</v>
      </c>
      <c r="N870" s="25" t="s">
        <v>6799</v>
      </c>
      <c r="O870" s="25" t="s">
        <v>5835</v>
      </c>
      <c r="R870" s="22" t="s">
        <v>5943</v>
      </c>
    </row>
    <row r="871" spans="3:18" ht="16">
      <c r="C871" s="19" t="s">
        <v>1570</v>
      </c>
      <c r="D871" s="20" t="s">
        <v>3484</v>
      </c>
      <c r="E871" s="21" t="s">
        <v>6226</v>
      </c>
      <c r="F871" s="21" t="s">
        <v>5913</v>
      </c>
      <c r="G871" s="22" t="s">
        <v>5913</v>
      </c>
      <c r="H871" s="22" t="s">
        <v>5835</v>
      </c>
      <c r="I871" s="22">
        <v>16.899999999999999</v>
      </c>
      <c r="K871" s="22" t="s">
        <v>5835</v>
      </c>
      <c r="N871" s="25" t="s">
        <v>6800</v>
      </c>
      <c r="O871" s="25" t="s">
        <v>5835</v>
      </c>
      <c r="R871" s="22" t="s">
        <v>5913</v>
      </c>
    </row>
    <row r="872" spans="3:18" ht="16">
      <c r="C872" s="19" t="s">
        <v>1575</v>
      </c>
      <c r="D872" s="20" t="s">
        <v>3489</v>
      </c>
      <c r="E872" s="21" t="s">
        <v>6313</v>
      </c>
      <c r="F872" s="21" t="s">
        <v>5913</v>
      </c>
      <c r="G872" s="22" t="s">
        <v>7825</v>
      </c>
      <c r="H872" s="22" t="s">
        <v>5835</v>
      </c>
      <c r="I872" s="22">
        <v>55.4</v>
      </c>
      <c r="K872" s="22" t="s">
        <v>5835</v>
      </c>
      <c r="N872" s="25" t="s">
        <v>5835</v>
      </c>
      <c r="O872" s="25" t="s">
        <v>5835</v>
      </c>
      <c r="R872" s="22" t="s">
        <v>6202</v>
      </c>
    </row>
    <row r="873" spans="3:18" ht="16">
      <c r="C873" s="19" t="s">
        <v>1577</v>
      </c>
      <c r="D873" s="20" t="s">
        <v>3491</v>
      </c>
      <c r="E873" s="21" t="s">
        <v>5923</v>
      </c>
      <c r="F873" s="21" t="s">
        <v>8</v>
      </c>
      <c r="G873" s="22" t="s">
        <v>12</v>
      </c>
      <c r="H873" s="22" t="s">
        <v>7828</v>
      </c>
      <c r="I873" s="22">
        <v>492.5</v>
      </c>
      <c r="K873" s="22" t="s">
        <v>5835</v>
      </c>
      <c r="N873" s="25" t="s">
        <v>6801</v>
      </c>
      <c r="O873" s="25" t="s">
        <v>5835</v>
      </c>
      <c r="R873" s="22" t="s">
        <v>12</v>
      </c>
    </row>
    <row r="874" spans="3:18" ht="16">
      <c r="C874" s="19" t="s">
        <v>1580</v>
      </c>
      <c r="D874" s="20" t="s">
        <v>3494</v>
      </c>
      <c r="E874" s="21" t="s">
        <v>6257</v>
      </c>
      <c r="F874" s="21" t="s">
        <v>10</v>
      </c>
      <c r="G874" s="22" t="s">
        <v>7825</v>
      </c>
      <c r="H874" s="22" t="s">
        <v>5835</v>
      </c>
      <c r="I874" s="22">
        <v>40.5</v>
      </c>
      <c r="K874" s="22" t="s">
        <v>5835</v>
      </c>
      <c r="N874" s="25" t="s">
        <v>5835</v>
      </c>
      <c r="O874" s="25" t="s">
        <v>5835</v>
      </c>
      <c r="R874" s="22" t="s">
        <v>6202</v>
      </c>
    </row>
    <row r="875" spans="3:18" ht="16">
      <c r="C875" s="19" t="s">
        <v>1582</v>
      </c>
      <c r="D875" s="20" t="s">
        <v>3496</v>
      </c>
      <c r="E875" s="21" t="s">
        <v>6166</v>
      </c>
      <c r="F875" s="21" t="s">
        <v>6080</v>
      </c>
      <c r="G875" s="22" t="s">
        <v>5960</v>
      </c>
      <c r="H875" s="22" t="s">
        <v>5835</v>
      </c>
      <c r="I875" s="22">
        <v>20.399999999999999</v>
      </c>
      <c r="K875" s="22" t="s">
        <v>5835</v>
      </c>
      <c r="N875" s="25" t="s">
        <v>6802</v>
      </c>
      <c r="O875" s="25" t="s">
        <v>5835</v>
      </c>
      <c r="R875" s="22" t="s">
        <v>5960</v>
      </c>
    </row>
    <row r="876" spans="3:18" ht="16">
      <c r="C876" s="19" t="s">
        <v>1584</v>
      </c>
      <c r="D876" s="20" t="s">
        <v>3498</v>
      </c>
      <c r="E876" s="21" t="s">
        <v>6199</v>
      </c>
      <c r="F876" s="21" t="s">
        <v>6200</v>
      </c>
      <c r="G876" s="22" t="s">
        <v>5881</v>
      </c>
      <c r="H876" s="22" t="s">
        <v>5835</v>
      </c>
      <c r="I876" s="22">
        <v>47.9</v>
      </c>
      <c r="K876" s="22" t="s">
        <v>5835</v>
      </c>
      <c r="N876" s="25" t="s">
        <v>6803</v>
      </c>
      <c r="O876" s="25" t="s">
        <v>5835</v>
      </c>
      <c r="R876" s="22" t="s">
        <v>5881</v>
      </c>
    </row>
    <row r="877" spans="3:18" ht="16">
      <c r="C877" s="19" t="s">
        <v>1587</v>
      </c>
      <c r="D877" s="20" t="s">
        <v>3501</v>
      </c>
      <c r="E877" s="21" t="s">
        <v>6067</v>
      </c>
      <c r="F877" s="21" t="s">
        <v>17</v>
      </c>
      <c r="G877" s="22" t="s">
        <v>5962</v>
      </c>
      <c r="H877" s="22" t="s">
        <v>5835</v>
      </c>
      <c r="I877" s="22">
        <v>74.400000000000006</v>
      </c>
      <c r="K877" s="22" t="s">
        <v>5835</v>
      </c>
      <c r="N877" s="25" t="s">
        <v>6804</v>
      </c>
      <c r="O877" s="25" t="s">
        <v>5835</v>
      </c>
      <c r="R877" s="22" t="s">
        <v>5962</v>
      </c>
    </row>
    <row r="878" spans="3:18" ht="16">
      <c r="C878" s="19" t="s">
        <v>1589</v>
      </c>
      <c r="D878" s="20" t="s">
        <v>3503</v>
      </c>
      <c r="E878" s="21" t="s">
        <v>6257</v>
      </c>
      <c r="F878" s="21" t="s">
        <v>10</v>
      </c>
      <c r="G878" s="22" t="s">
        <v>5988</v>
      </c>
      <c r="H878" s="22" t="s">
        <v>7828</v>
      </c>
      <c r="I878" s="22">
        <v>217.7</v>
      </c>
      <c r="K878" s="22" t="s">
        <v>5835</v>
      </c>
      <c r="N878" s="25" t="s">
        <v>6805</v>
      </c>
      <c r="O878" s="25" t="s">
        <v>5835</v>
      </c>
      <c r="R878" s="22" t="s">
        <v>5988</v>
      </c>
    </row>
    <row r="879" spans="3:18" ht="16">
      <c r="C879" s="19" t="s">
        <v>1602</v>
      </c>
      <c r="D879" s="20" t="s">
        <v>3514</v>
      </c>
      <c r="E879" s="21" t="s">
        <v>6469</v>
      </c>
      <c r="F879" s="21" t="s">
        <v>5835</v>
      </c>
      <c r="G879" s="22" t="s">
        <v>7825</v>
      </c>
      <c r="H879" s="22" t="s">
        <v>5835</v>
      </c>
      <c r="I879" s="22">
        <v>39.200000000000003</v>
      </c>
      <c r="K879" s="22" t="s">
        <v>5835</v>
      </c>
      <c r="N879" s="25" t="s">
        <v>5835</v>
      </c>
      <c r="O879" s="25" t="s">
        <v>5835</v>
      </c>
      <c r="R879" s="22" t="s">
        <v>6202</v>
      </c>
    </row>
    <row r="880" spans="3:18" ht="16">
      <c r="C880" s="19" t="s">
        <v>1603</v>
      </c>
      <c r="D880" s="20" t="s">
        <v>3515</v>
      </c>
      <c r="E880" s="21" t="s">
        <v>6079</v>
      </c>
      <c r="F880" s="21" t="s">
        <v>6080</v>
      </c>
      <c r="G880" s="22" t="s">
        <v>5954</v>
      </c>
      <c r="H880" s="22" t="s">
        <v>5835</v>
      </c>
      <c r="I880" s="22">
        <v>44.5</v>
      </c>
      <c r="K880" s="22" t="s">
        <v>5835</v>
      </c>
      <c r="N880" s="25" t="s">
        <v>6806</v>
      </c>
      <c r="O880" s="25" t="s">
        <v>5835</v>
      </c>
      <c r="R880" s="22" t="s">
        <v>5954</v>
      </c>
    </row>
    <row r="881" spans="3:18" ht="16">
      <c r="C881" s="19" t="s">
        <v>1606</v>
      </c>
      <c r="D881" s="20" t="s">
        <v>3518</v>
      </c>
      <c r="E881" s="21" t="s">
        <v>6001</v>
      </c>
      <c r="F881" s="21" t="s">
        <v>5966</v>
      </c>
      <c r="G881" s="22" t="s">
        <v>7827</v>
      </c>
      <c r="H881" s="22" t="s">
        <v>5835</v>
      </c>
      <c r="I881" s="22">
        <v>106.3</v>
      </c>
      <c r="K881" s="22" t="s">
        <v>5835</v>
      </c>
      <c r="N881" s="25" t="s">
        <v>5835</v>
      </c>
      <c r="O881" s="25" t="s">
        <v>5835</v>
      </c>
      <c r="R881" s="22" t="s">
        <v>5940</v>
      </c>
    </row>
    <row r="882" spans="3:18" ht="16">
      <c r="C882" s="19" t="s">
        <v>1607</v>
      </c>
      <c r="D882" s="20" t="s">
        <v>3519</v>
      </c>
      <c r="E882" s="21" t="s">
        <v>5968</v>
      </c>
      <c r="F882" s="21" t="s">
        <v>5969</v>
      </c>
      <c r="G882" s="22" t="s">
        <v>5840</v>
      </c>
      <c r="H882" s="22" t="s">
        <v>5835</v>
      </c>
      <c r="I882" s="22">
        <v>38.299999999999997</v>
      </c>
      <c r="K882" s="22" t="s">
        <v>5835</v>
      </c>
      <c r="N882" s="25" t="s">
        <v>6807</v>
      </c>
      <c r="O882" s="25" t="s">
        <v>5835</v>
      </c>
      <c r="R882" s="22" t="s">
        <v>5840</v>
      </c>
    </row>
    <row r="883" spans="3:18" ht="16">
      <c r="C883" s="19" t="s">
        <v>1608</v>
      </c>
      <c r="D883" s="20" t="s">
        <v>3520</v>
      </c>
      <c r="E883" s="21" t="s">
        <v>6257</v>
      </c>
      <c r="F883" s="21" t="s">
        <v>10</v>
      </c>
      <c r="G883" s="22" t="s">
        <v>5978</v>
      </c>
      <c r="H883" s="22" t="s">
        <v>5835</v>
      </c>
      <c r="I883" s="22">
        <v>63.5</v>
      </c>
      <c r="K883" s="22" t="s">
        <v>5835</v>
      </c>
      <c r="N883" s="25" t="s">
        <v>6808</v>
      </c>
      <c r="O883" s="25" t="s">
        <v>5835</v>
      </c>
      <c r="R883" s="22" t="s">
        <v>5978</v>
      </c>
    </row>
    <row r="884" spans="3:18" ht="16">
      <c r="C884" s="19" t="s">
        <v>1614</v>
      </c>
      <c r="D884" s="20" t="s">
        <v>3524</v>
      </c>
      <c r="E884" s="21" t="s">
        <v>5968</v>
      </c>
      <c r="F884" s="21" t="s">
        <v>5969</v>
      </c>
      <c r="G884" s="22" t="s">
        <v>5846</v>
      </c>
      <c r="H884" s="22" t="s">
        <v>5835</v>
      </c>
      <c r="I884" s="22">
        <v>208</v>
      </c>
      <c r="K884" s="22" t="s">
        <v>5835</v>
      </c>
      <c r="N884" s="25" t="s">
        <v>6809</v>
      </c>
      <c r="O884" s="25" t="s">
        <v>5835</v>
      </c>
      <c r="R884" s="22" t="s">
        <v>5846</v>
      </c>
    </row>
    <row r="885" spans="3:18" ht="16">
      <c r="C885" s="19" t="s">
        <v>1615</v>
      </c>
      <c r="D885" s="20" t="s">
        <v>3525</v>
      </c>
      <c r="E885" s="21" t="s">
        <v>6203</v>
      </c>
      <c r="F885" s="21" t="s">
        <v>8</v>
      </c>
      <c r="G885" s="22" t="s">
        <v>5904</v>
      </c>
      <c r="H885" s="22" t="s">
        <v>7828</v>
      </c>
      <c r="I885" s="22">
        <v>653.29999999999995</v>
      </c>
      <c r="K885" s="22" t="s">
        <v>5835</v>
      </c>
      <c r="N885" s="25" t="s">
        <v>24</v>
      </c>
      <c r="O885" s="25" t="s">
        <v>5835</v>
      </c>
      <c r="R885" s="22" t="s">
        <v>5904</v>
      </c>
    </row>
    <row r="886" spans="3:18" ht="16">
      <c r="C886" s="19" t="s">
        <v>1617</v>
      </c>
      <c r="D886" s="20" t="s">
        <v>3526</v>
      </c>
      <c r="E886" s="21" t="s">
        <v>6237</v>
      </c>
      <c r="F886" s="21" t="s">
        <v>6231</v>
      </c>
      <c r="G886" s="22" t="s">
        <v>5933</v>
      </c>
      <c r="H886" s="22" t="s">
        <v>5835</v>
      </c>
      <c r="I886" s="22">
        <v>47.8</v>
      </c>
      <c r="K886" s="22" t="s">
        <v>5835</v>
      </c>
      <c r="N886" s="25" t="s">
        <v>6810</v>
      </c>
      <c r="O886" s="25" t="s">
        <v>5835</v>
      </c>
      <c r="R886" s="22" t="s">
        <v>5933</v>
      </c>
    </row>
    <row r="887" spans="3:18" ht="16">
      <c r="C887" s="19" t="s">
        <v>1618</v>
      </c>
      <c r="D887" s="20" t="s">
        <v>3527</v>
      </c>
      <c r="E887" s="21" t="s">
        <v>6025</v>
      </c>
      <c r="F887" s="21" t="s">
        <v>17</v>
      </c>
      <c r="G887" s="22" t="s">
        <v>5995</v>
      </c>
      <c r="H887" s="22" t="s">
        <v>7828</v>
      </c>
      <c r="I887" s="22">
        <v>879.6</v>
      </c>
      <c r="K887" s="22" t="s">
        <v>5835</v>
      </c>
      <c r="N887" s="25" t="s">
        <v>6811</v>
      </c>
      <c r="O887" s="25" t="s">
        <v>5835</v>
      </c>
      <c r="R887" s="22" t="s">
        <v>5995</v>
      </c>
    </row>
    <row r="888" spans="3:18" ht="16">
      <c r="C888" s="19" t="s">
        <v>1619</v>
      </c>
      <c r="D888" s="20" t="s">
        <v>3528</v>
      </c>
      <c r="E888" s="21" t="s">
        <v>5968</v>
      </c>
      <c r="F888" s="21" t="s">
        <v>6075</v>
      </c>
      <c r="G888" s="22" t="s">
        <v>5889</v>
      </c>
      <c r="H888" s="22" t="s">
        <v>7828</v>
      </c>
      <c r="I888" s="22">
        <v>105.5</v>
      </c>
      <c r="K888" s="22" t="s">
        <v>5835</v>
      </c>
      <c r="N888" s="25" t="s">
        <v>6812</v>
      </c>
      <c r="O888" s="25" t="s">
        <v>5835</v>
      </c>
      <c r="R888" s="22" t="s">
        <v>5889</v>
      </c>
    </row>
    <row r="889" spans="3:18" ht="16">
      <c r="C889" s="19" t="s">
        <v>1622</v>
      </c>
      <c r="D889" s="20" t="s">
        <v>3531</v>
      </c>
      <c r="E889" s="21" t="s">
        <v>6199</v>
      </c>
      <c r="F889" s="21" t="s">
        <v>8</v>
      </c>
      <c r="G889" s="22" t="s">
        <v>5991</v>
      </c>
      <c r="H889" s="22" t="s">
        <v>7828</v>
      </c>
      <c r="I889" s="22">
        <v>718</v>
      </c>
      <c r="K889" s="22" t="s">
        <v>5835</v>
      </c>
      <c r="N889" s="25" t="s">
        <v>6813</v>
      </c>
      <c r="O889" s="25" t="s">
        <v>5835</v>
      </c>
      <c r="R889" s="22" t="s">
        <v>5991</v>
      </c>
    </row>
    <row r="890" spans="3:18" ht="16">
      <c r="C890" s="19" t="s">
        <v>1623</v>
      </c>
      <c r="D890" s="20" t="s">
        <v>3532</v>
      </c>
      <c r="E890" s="21" t="s">
        <v>6137</v>
      </c>
      <c r="F890" s="21" t="s">
        <v>5969</v>
      </c>
      <c r="G890" s="22" t="s">
        <v>5897</v>
      </c>
      <c r="H890" s="22" t="s">
        <v>5835</v>
      </c>
      <c r="I890" s="22">
        <v>115.5</v>
      </c>
      <c r="K890" s="22" t="s">
        <v>5835</v>
      </c>
      <c r="N890" s="25" t="s">
        <v>6814</v>
      </c>
      <c r="O890" s="25" t="s">
        <v>5835</v>
      </c>
      <c r="R890" s="22" t="s">
        <v>5897</v>
      </c>
    </row>
    <row r="891" spans="3:18" ht="16">
      <c r="C891" s="19" t="s">
        <v>1625</v>
      </c>
      <c r="D891" s="20" t="s">
        <v>3534</v>
      </c>
      <c r="E891" s="21" t="s">
        <v>6067</v>
      </c>
      <c r="F891" s="21" t="s">
        <v>17</v>
      </c>
      <c r="G891" s="22" t="s">
        <v>7825</v>
      </c>
      <c r="H891" s="22" t="s">
        <v>5835</v>
      </c>
      <c r="I891" s="22">
        <v>24.5</v>
      </c>
      <c r="K891" s="22" t="s">
        <v>5835</v>
      </c>
      <c r="N891" s="25" t="s">
        <v>5835</v>
      </c>
      <c r="O891" s="25" t="s">
        <v>5835</v>
      </c>
      <c r="R891" s="22" t="s">
        <v>6202</v>
      </c>
    </row>
    <row r="892" spans="3:18" ht="16">
      <c r="C892" s="19" t="s">
        <v>1627</v>
      </c>
      <c r="D892" s="20" t="s">
        <v>3536</v>
      </c>
      <c r="E892" s="21" t="s">
        <v>6074</v>
      </c>
      <c r="F892" s="21" t="s">
        <v>6075</v>
      </c>
      <c r="G892" s="22" t="s">
        <v>7827</v>
      </c>
      <c r="H892" s="22" t="s">
        <v>5835</v>
      </c>
      <c r="I892" s="22">
        <v>27.9</v>
      </c>
      <c r="K892" s="22" t="s">
        <v>5835</v>
      </c>
      <c r="N892" s="25" t="s">
        <v>5835</v>
      </c>
      <c r="O892" s="25" t="s">
        <v>5835</v>
      </c>
      <c r="R892" s="22" t="s">
        <v>5940</v>
      </c>
    </row>
    <row r="893" spans="3:18" ht="16">
      <c r="C893" s="19" t="s">
        <v>1628</v>
      </c>
      <c r="D893" s="20" t="s">
        <v>3537</v>
      </c>
      <c r="E893" s="21" t="s">
        <v>6079</v>
      </c>
      <c r="F893" s="21" t="s">
        <v>10</v>
      </c>
      <c r="G893" s="22" t="s">
        <v>7825</v>
      </c>
      <c r="H893" s="22" t="s">
        <v>5835</v>
      </c>
      <c r="I893" s="22">
        <v>39.700000000000003</v>
      </c>
      <c r="K893" s="22" t="s">
        <v>5835</v>
      </c>
      <c r="N893" s="25" t="s">
        <v>5835</v>
      </c>
      <c r="O893" s="25" t="s">
        <v>5835</v>
      </c>
      <c r="R893" s="22" t="s">
        <v>6202</v>
      </c>
    </row>
    <row r="894" spans="3:18" ht="16">
      <c r="C894" s="19" t="s">
        <v>1631</v>
      </c>
      <c r="D894" s="20" t="s">
        <v>3540</v>
      </c>
      <c r="E894" s="21" t="s">
        <v>6277</v>
      </c>
      <c r="F894" s="21" t="s">
        <v>5835</v>
      </c>
      <c r="G894" s="22" t="s">
        <v>7825</v>
      </c>
      <c r="H894" s="22" t="s">
        <v>7828</v>
      </c>
      <c r="I894" s="22">
        <v>563.20000000000005</v>
      </c>
      <c r="K894" s="22" t="s">
        <v>5835</v>
      </c>
      <c r="N894" s="25" t="s">
        <v>5835</v>
      </c>
      <c r="O894" s="25" t="s">
        <v>5835</v>
      </c>
      <c r="R894" s="22" t="s">
        <v>6202</v>
      </c>
    </row>
    <row r="895" spans="3:18" ht="16">
      <c r="C895" s="19" t="s">
        <v>1632</v>
      </c>
      <c r="D895" s="20" t="s">
        <v>3541</v>
      </c>
      <c r="E895" s="21" t="s">
        <v>6293</v>
      </c>
      <c r="F895" s="21" t="s">
        <v>8</v>
      </c>
      <c r="G895" s="22" t="s">
        <v>5875</v>
      </c>
      <c r="H895" s="22" t="s">
        <v>5835</v>
      </c>
      <c r="I895" s="22">
        <v>212.5</v>
      </c>
      <c r="K895" s="22" t="s">
        <v>5835</v>
      </c>
      <c r="N895" s="25" t="s">
        <v>6815</v>
      </c>
      <c r="O895" s="25" t="s">
        <v>5835</v>
      </c>
      <c r="R895" s="22" t="s">
        <v>5875</v>
      </c>
    </row>
    <row r="896" spans="3:18" ht="16">
      <c r="C896" s="19" t="s">
        <v>1633</v>
      </c>
      <c r="D896" s="20" t="s">
        <v>3542</v>
      </c>
      <c r="E896" s="21" t="s">
        <v>5968</v>
      </c>
      <c r="F896" s="21" t="s">
        <v>5969</v>
      </c>
      <c r="G896" s="22" t="s">
        <v>7827</v>
      </c>
      <c r="H896" s="22" t="s">
        <v>5835</v>
      </c>
      <c r="I896" s="22">
        <v>32.700000000000003</v>
      </c>
      <c r="K896" s="22" t="s">
        <v>5835</v>
      </c>
      <c r="N896" s="25" t="s">
        <v>5835</v>
      </c>
      <c r="O896" s="25" t="s">
        <v>5835</v>
      </c>
      <c r="R896" s="22" t="s">
        <v>5940</v>
      </c>
    </row>
    <row r="897" spans="3:18" ht="16">
      <c r="C897" s="19" t="s">
        <v>1638</v>
      </c>
      <c r="D897" s="20" t="s">
        <v>3547</v>
      </c>
      <c r="E897" s="21" t="s">
        <v>6222</v>
      </c>
      <c r="F897" s="21" t="s">
        <v>8</v>
      </c>
      <c r="G897" s="22" t="s">
        <v>7825</v>
      </c>
      <c r="H897" s="22" t="s">
        <v>5835</v>
      </c>
      <c r="I897" s="22">
        <v>64.5</v>
      </c>
      <c r="K897" s="22" t="s">
        <v>5835</v>
      </c>
      <c r="N897" s="25" t="s">
        <v>5835</v>
      </c>
      <c r="O897" s="25" t="s">
        <v>5835</v>
      </c>
      <c r="R897" s="22" t="s">
        <v>6202</v>
      </c>
    </row>
    <row r="898" spans="3:18" ht="16">
      <c r="C898" s="19" t="s">
        <v>1640</v>
      </c>
      <c r="D898" s="20" t="s">
        <v>3549</v>
      </c>
      <c r="E898" s="21" t="s">
        <v>6219</v>
      </c>
      <c r="F898" s="21" t="s">
        <v>17</v>
      </c>
      <c r="G898" s="22" t="s">
        <v>7825</v>
      </c>
      <c r="H898" s="22" t="s">
        <v>5835</v>
      </c>
      <c r="I898" s="22">
        <v>27.1</v>
      </c>
      <c r="K898" s="22" t="s">
        <v>5835</v>
      </c>
      <c r="N898" s="25" t="s">
        <v>5835</v>
      </c>
      <c r="O898" s="25" t="s">
        <v>5835</v>
      </c>
      <c r="R898" s="22" t="s">
        <v>6202</v>
      </c>
    </row>
    <row r="899" spans="3:18" ht="16">
      <c r="C899" s="19" t="s">
        <v>1641</v>
      </c>
      <c r="D899" s="20" t="s">
        <v>3550</v>
      </c>
      <c r="E899" s="21" t="s">
        <v>6067</v>
      </c>
      <c r="F899" s="21" t="s">
        <v>17</v>
      </c>
      <c r="G899" s="22" t="s">
        <v>7825</v>
      </c>
      <c r="H899" s="22" t="s">
        <v>5835</v>
      </c>
      <c r="I899" s="22">
        <v>28.7</v>
      </c>
      <c r="K899" s="22" t="s">
        <v>5835</v>
      </c>
      <c r="N899" s="25" t="s">
        <v>5835</v>
      </c>
      <c r="O899" s="25" t="s">
        <v>5835</v>
      </c>
      <c r="R899" s="22" t="s">
        <v>6202</v>
      </c>
    </row>
    <row r="900" spans="3:18" ht="16">
      <c r="C900" s="19" t="s">
        <v>1652</v>
      </c>
      <c r="D900" s="20" t="s">
        <v>3559</v>
      </c>
      <c r="E900" s="21" t="s">
        <v>6067</v>
      </c>
      <c r="F900" s="21" t="s">
        <v>6075</v>
      </c>
      <c r="G900" s="22" t="s">
        <v>7825</v>
      </c>
      <c r="H900" s="22" t="s">
        <v>5835</v>
      </c>
      <c r="I900" s="22">
        <v>21</v>
      </c>
      <c r="K900" s="22" t="s">
        <v>5835</v>
      </c>
      <c r="N900" s="25" t="s">
        <v>5835</v>
      </c>
      <c r="O900" s="25" t="s">
        <v>5835</v>
      </c>
      <c r="R900" s="22" t="s">
        <v>6202</v>
      </c>
    </row>
    <row r="901" spans="3:18" ht="16">
      <c r="C901" s="19" t="s">
        <v>1654</v>
      </c>
      <c r="D901" s="20" t="s">
        <v>3561</v>
      </c>
      <c r="E901" s="21" t="s">
        <v>6204</v>
      </c>
      <c r="F901" s="21" t="s">
        <v>5913</v>
      </c>
      <c r="G901" s="22" t="s">
        <v>7825</v>
      </c>
      <c r="H901" s="22" t="s">
        <v>7828</v>
      </c>
      <c r="I901" s="22">
        <v>116.8</v>
      </c>
      <c r="K901" s="22" t="s">
        <v>5835</v>
      </c>
      <c r="N901" s="25" t="s">
        <v>5835</v>
      </c>
      <c r="O901" s="25" t="s">
        <v>5835</v>
      </c>
      <c r="R901" s="22" t="s">
        <v>6202</v>
      </c>
    </row>
    <row r="902" spans="3:18" ht="16">
      <c r="C902" s="19" t="s">
        <v>1656</v>
      </c>
      <c r="D902" s="20" t="s">
        <v>3563</v>
      </c>
      <c r="E902" s="21" t="s">
        <v>6293</v>
      </c>
      <c r="F902" s="21" t="s">
        <v>5835</v>
      </c>
      <c r="G902" s="22" t="s">
        <v>7825</v>
      </c>
      <c r="H902" s="22" t="s">
        <v>7828</v>
      </c>
      <c r="I902" s="22">
        <v>214.3</v>
      </c>
      <c r="K902" s="22" t="s">
        <v>5835</v>
      </c>
      <c r="N902" s="25" t="s">
        <v>5835</v>
      </c>
      <c r="O902" s="25" t="s">
        <v>5835</v>
      </c>
      <c r="R902" s="22" t="s">
        <v>6202</v>
      </c>
    </row>
    <row r="903" spans="3:18" ht="16">
      <c r="C903" s="19" t="s">
        <v>1667</v>
      </c>
      <c r="D903" s="20" t="s">
        <v>3570</v>
      </c>
      <c r="E903" s="21" t="s">
        <v>5968</v>
      </c>
      <c r="F903" s="21" t="s">
        <v>5835</v>
      </c>
      <c r="G903" s="22" t="s">
        <v>7827</v>
      </c>
      <c r="H903" s="22" t="s">
        <v>7828</v>
      </c>
      <c r="I903" s="22">
        <v>749.4</v>
      </c>
      <c r="K903" s="22" t="s">
        <v>5835</v>
      </c>
      <c r="N903" s="25" t="s">
        <v>5835</v>
      </c>
      <c r="O903" s="25" t="s">
        <v>5835</v>
      </c>
      <c r="R903" s="22" t="s">
        <v>5940</v>
      </c>
    </row>
    <row r="904" spans="3:18" ht="16">
      <c r="C904" s="19" t="s">
        <v>1671</v>
      </c>
      <c r="D904" s="20" t="s">
        <v>3574</v>
      </c>
      <c r="E904" s="21" t="s">
        <v>6074</v>
      </c>
      <c r="F904" s="21" t="s">
        <v>5835</v>
      </c>
      <c r="G904" s="22" t="s">
        <v>7827</v>
      </c>
      <c r="H904" s="22" t="s">
        <v>5835</v>
      </c>
      <c r="I904" s="22">
        <v>169.1</v>
      </c>
      <c r="K904" s="22" t="s">
        <v>5835</v>
      </c>
      <c r="N904" s="25" t="s">
        <v>5835</v>
      </c>
      <c r="O904" s="25" t="s">
        <v>5835</v>
      </c>
      <c r="R904" s="22" t="s">
        <v>5940</v>
      </c>
    </row>
    <row r="905" spans="3:18" ht="16">
      <c r="C905" s="19" t="s">
        <v>1675</v>
      </c>
      <c r="D905" s="20" t="s">
        <v>3577</v>
      </c>
      <c r="E905" s="21" t="s">
        <v>6313</v>
      </c>
      <c r="F905" s="21" t="s">
        <v>5835</v>
      </c>
      <c r="G905" s="22" t="s">
        <v>7825</v>
      </c>
      <c r="H905" s="22" t="s">
        <v>5835</v>
      </c>
      <c r="I905" s="22">
        <v>43.2</v>
      </c>
      <c r="K905" s="22" t="s">
        <v>5835</v>
      </c>
      <c r="N905" s="25" t="s">
        <v>5835</v>
      </c>
      <c r="O905" s="25" t="s">
        <v>5835</v>
      </c>
      <c r="R905" s="22" t="s">
        <v>6202</v>
      </c>
    </row>
    <row r="906" spans="3:18" ht="16">
      <c r="C906" s="19" t="s">
        <v>1680</v>
      </c>
      <c r="D906" s="20" t="s">
        <v>3579</v>
      </c>
      <c r="E906" s="21" t="s">
        <v>5968</v>
      </c>
      <c r="F906" s="21" t="s">
        <v>5835</v>
      </c>
      <c r="G906" s="22" t="s">
        <v>7827</v>
      </c>
      <c r="H906" s="22" t="s">
        <v>5835</v>
      </c>
      <c r="I906" s="22">
        <v>95.7</v>
      </c>
      <c r="K906" s="22" t="s">
        <v>5835</v>
      </c>
      <c r="N906" s="25" t="s">
        <v>5835</v>
      </c>
      <c r="O906" s="25" t="s">
        <v>5835</v>
      </c>
      <c r="R906" s="22" t="s">
        <v>5940</v>
      </c>
    </row>
    <row r="907" spans="3:18" ht="16">
      <c r="C907" s="19" t="s">
        <v>1681</v>
      </c>
      <c r="D907" s="20" t="s">
        <v>3580</v>
      </c>
      <c r="E907" s="21" t="s">
        <v>6497</v>
      </c>
      <c r="F907" s="21" t="s">
        <v>5835</v>
      </c>
      <c r="G907" s="22" t="s">
        <v>7825</v>
      </c>
      <c r="H907" s="22" t="s">
        <v>5835</v>
      </c>
      <c r="I907" s="22">
        <v>13.4</v>
      </c>
      <c r="K907" s="22" t="s">
        <v>5835</v>
      </c>
      <c r="N907" s="25" t="s">
        <v>5835</v>
      </c>
      <c r="O907" s="25" t="s">
        <v>5835</v>
      </c>
      <c r="R907" s="22" t="s">
        <v>6202</v>
      </c>
    </row>
    <row r="908" spans="3:18" ht="16">
      <c r="C908" s="19" t="s">
        <v>1689</v>
      </c>
      <c r="D908" s="20" t="s">
        <v>3582</v>
      </c>
      <c r="E908" s="21" t="s">
        <v>6285</v>
      </c>
      <c r="F908" s="21" t="s">
        <v>5835</v>
      </c>
      <c r="G908" s="22" t="s">
        <v>7825</v>
      </c>
      <c r="H908" s="22" t="s">
        <v>5835</v>
      </c>
      <c r="I908" s="22">
        <v>38.1</v>
      </c>
      <c r="K908" s="22" t="s">
        <v>5835</v>
      </c>
      <c r="N908" s="25" t="s">
        <v>5835</v>
      </c>
      <c r="O908" s="25" t="s">
        <v>5835</v>
      </c>
      <c r="R908" s="22" t="s">
        <v>6202</v>
      </c>
    </row>
    <row r="909" spans="3:18" ht="16">
      <c r="C909" s="19" t="s">
        <v>1692</v>
      </c>
      <c r="D909" s="20" t="s">
        <v>3584</v>
      </c>
      <c r="E909" s="21" t="s">
        <v>6166</v>
      </c>
      <c r="F909" s="21" t="s">
        <v>5835</v>
      </c>
      <c r="G909" s="22" t="s">
        <v>7825</v>
      </c>
      <c r="H909" s="22" t="s">
        <v>5835</v>
      </c>
      <c r="I909" s="22">
        <v>56.4</v>
      </c>
      <c r="K909" s="22" t="s">
        <v>5835</v>
      </c>
      <c r="N909" s="25" t="s">
        <v>5835</v>
      </c>
      <c r="O909" s="25" t="s">
        <v>5835</v>
      </c>
      <c r="R909" s="22" t="s">
        <v>6202</v>
      </c>
    </row>
    <row r="910" spans="3:18" ht="16">
      <c r="C910" s="19" t="s">
        <v>1695</v>
      </c>
      <c r="D910" s="20" t="s">
        <v>3585</v>
      </c>
      <c r="E910" s="21" t="s">
        <v>6230</v>
      </c>
      <c r="F910" s="21" t="s">
        <v>5835</v>
      </c>
      <c r="G910" s="22" t="s">
        <v>7825</v>
      </c>
      <c r="H910" s="22" t="s">
        <v>7828</v>
      </c>
      <c r="I910" s="22">
        <v>143.30000000000001</v>
      </c>
      <c r="K910" s="22" t="s">
        <v>5835</v>
      </c>
      <c r="N910" s="25" t="s">
        <v>5835</v>
      </c>
      <c r="O910" s="25" t="s">
        <v>5835</v>
      </c>
      <c r="R910" s="22" t="s">
        <v>6202</v>
      </c>
    </row>
    <row r="911" spans="3:18" ht="16">
      <c r="C911" s="19" t="s">
        <v>1699</v>
      </c>
      <c r="D911" s="20" t="s">
        <v>3586</v>
      </c>
      <c r="E911" s="21" t="s">
        <v>5851</v>
      </c>
      <c r="F911" s="21" t="s">
        <v>5835</v>
      </c>
      <c r="G911" s="22" t="s">
        <v>7827</v>
      </c>
      <c r="H911" s="22" t="s">
        <v>5835</v>
      </c>
      <c r="I911" s="22">
        <v>33</v>
      </c>
      <c r="K911" s="22" t="s">
        <v>5835</v>
      </c>
      <c r="N911" s="25" t="s">
        <v>5835</v>
      </c>
      <c r="O911" s="25" t="s">
        <v>5835</v>
      </c>
      <c r="R911" s="22" t="s">
        <v>5940</v>
      </c>
    </row>
    <row r="912" spans="3:18" ht="16">
      <c r="C912" s="19" t="s">
        <v>1702</v>
      </c>
      <c r="D912" s="20" t="s">
        <v>3588</v>
      </c>
      <c r="E912" s="21" t="s">
        <v>5968</v>
      </c>
      <c r="F912" s="21" t="s">
        <v>5835</v>
      </c>
      <c r="G912" s="22" t="s">
        <v>7827</v>
      </c>
      <c r="H912" s="22" t="s">
        <v>5835</v>
      </c>
      <c r="I912" s="22">
        <v>86</v>
      </c>
      <c r="K912" s="22" t="s">
        <v>5835</v>
      </c>
      <c r="N912" s="25" t="s">
        <v>5835</v>
      </c>
      <c r="O912" s="25" t="s">
        <v>5835</v>
      </c>
      <c r="R912" s="22" t="s">
        <v>5940</v>
      </c>
    </row>
    <row r="913" spans="3:18" ht="16">
      <c r="C913" s="19" t="s">
        <v>1769</v>
      </c>
      <c r="D913" s="20" t="s">
        <v>3618</v>
      </c>
      <c r="E913" s="21" t="s">
        <v>6226</v>
      </c>
      <c r="F913" s="21" t="s">
        <v>5913</v>
      </c>
      <c r="G913" s="22" t="s">
        <v>5962</v>
      </c>
      <c r="H913" s="22" t="s">
        <v>5835</v>
      </c>
      <c r="I913" s="22">
        <v>33.200000000000003</v>
      </c>
      <c r="K913" s="22" t="s">
        <v>5835</v>
      </c>
      <c r="N913" s="25" t="s">
        <v>6816</v>
      </c>
      <c r="O913" s="25" t="s">
        <v>5835</v>
      </c>
      <c r="R913" s="22" t="s">
        <v>5962</v>
      </c>
    </row>
    <row r="914" spans="3:18" ht="16">
      <c r="C914" s="19" t="s">
        <v>1770</v>
      </c>
      <c r="D914" s="20" t="s">
        <v>3619</v>
      </c>
      <c r="E914" s="21" t="s">
        <v>6257</v>
      </c>
      <c r="F914" s="21" t="s">
        <v>10</v>
      </c>
      <c r="G914" s="22" t="s">
        <v>5937</v>
      </c>
      <c r="H914" s="22" t="s">
        <v>7828</v>
      </c>
      <c r="I914" s="22">
        <v>248.6</v>
      </c>
      <c r="K914" s="22" t="s">
        <v>5835</v>
      </c>
      <c r="N914" s="25" t="s">
        <v>6817</v>
      </c>
      <c r="O914" s="25" t="s">
        <v>5835</v>
      </c>
      <c r="R914" s="22" t="s">
        <v>5937</v>
      </c>
    </row>
    <row r="915" spans="3:18" ht="16">
      <c r="C915" s="19" t="s">
        <v>1771</v>
      </c>
      <c r="D915" s="20" t="s">
        <v>3620</v>
      </c>
      <c r="E915" s="21" t="s">
        <v>6274</v>
      </c>
      <c r="F915" s="21" t="s">
        <v>17</v>
      </c>
      <c r="G915" s="22" t="s">
        <v>5935</v>
      </c>
      <c r="H915" s="22" t="s">
        <v>5835</v>
      </c>
      <c r="I915" s="22">
        <v>76.900000000000006</v>
      </c>
      <c r="K915" s="22" t="s">
        <v>5835</v>
      </c>
      <c r="N915" s="25" t="s">
        <v>6818</v>
      </c>
      <c r="O915" s="25" t="s">
        <v>5835</v>
      </c>
      <c r="R915" s="22" t="s">
        <v>5935</v>
      </c>
    </row>
    <row r="916" spans="3:18" ht="16">
      <c r="C916" s="19" t="s">
        <v>1774</v>
      </c>
      <c r="D916" s="20" t="s">
        <v>3623</v>
      </c>
      <c r="E916" s="21" t="s">
        <v>6203</v>
      </c>
      <c r="F916" s="21" t="s">
        <v>8</v>
      </c>
      <c r="G916" s="22" t="s">
        <v>5993</v>
      </c>
      <c r="H916" s="22" t="s">
        <v>7828</v>
      </c>
      <c r="I916" s="22">
        <v>227</v>
      </c>
      <c r="K916" s="22" t="s">
        <v>5835</v>
      </c>
      <c r="N916" s="25" t="s">
        <v>6819</v>
      </c>
      <c r="O916" s="25" t="s">
        <v>5835</v>
      </c>
      <c r="R916" s="22" t="s">
        <v>5993</v>
      </c>
    </row>
    <row r="917" spans="3:18" ht="16">
      <c r="C917" s="19" t="s">
        <v>1776</v>
      </c>
      <c r="D917" s="20" t="s">
        <v>3625</v>
      </c>
      <c r="E917" s="21" t="s">
        <v>6079</v>
      </c>
      <c r="F917" s="21" t="s">
        <v>6080</v>
      </c>
      <c r="G917" s="22" t="s">
        <v>5970</v>
      </c>
      <c r="H917" s="22" t="s">
        <v>5835</v>
      </c>
      <c r="I917" s="22">
        <v>96.1</v>
      </c>
      <c r="K917" s="22" t="s">
        <v>5835</v>
      </c>
      <c r="N917" s="25" t="s">
        <v>6820</v>
      </c>
      <c r="O917" s="25" t="s">
        <v>5835</v>
      </c>
      <c r="R917" s="22" t="s">
        <v>5970</v>
      </c>
    </row>
    <row r="918" spans="3:18" ht="16">
      <c r="C918" s="19" t="s">
        <v>1779</v>
      </c>
      <c r="D918" s="20" t="s">
        <v>3628</v>
      </c>
      <c r="E918" s="21" t="s">
        <v>6208</v>
      </c>
      <c r="F918" s="21" t="s">
        <v>17</v>
      </c>
      <c r="G918" s="22" t="s">
        <v>5943</v>
      </c>
      <c r="H918" s="22" t="s">
        <v>5835</v>
      </c>
      <c r="I918" s="22">
        <v>117.2</v>
      </c>
      <c r="K918" s="22" t="s">
        <v>5835</v>
      </c>
      <c r="N918" s="25" t="s">
        <v>6821</v>
      </c>
      <c r="O918" s="25" t="s">
        <v>5835</v>
      </c>
      <c r="R918" s="22" t="s">
        <v>5943</v>
      </c>
    </row>
    <row r="919" spans="3:18" ht="16">
      <c r="C919" s="19" t="s">
        <v>1785</v>
      </c>
      <c r="D919" s="20" t="s">
        <v>3633</v>
      </c>
      <c r="E919" s="21" t="s">
        <v>6208</v>
      </c>
      <c r="F919" s="21" t="s">
        <v>17</v>
      </c>
      <c r="G919" s="22" t="s">
        <v>5983</v>
      </c>
      <c r="H919" s="22" t="s">
        <v>7828</v>
      </c>
      <c r="I919" s="22">
        <v>904.7</v>
      </c>
      <c r="K919" s="22" t="s">
        <v>5835</v>
      </c>
      <c r="N919" s="25" t="s">
        <v>6496</v>
      </c>
      <c r="O919" s="25" t="s">
        <v>5835</v>
      </c>
      <c r="R919" s="22" t="s">
        <v>5983</v>
      </c>
    </row>
    <row r="920" spans="3:18" ht="16">
      <c r="C920" s="19" t="s">
        <v>1797</v>
      </c>
      <c r="D920" s="20" t="s">
        <v>3645</v>
      </c>
      <c r="E920" s="21" t="s">
        <v>6254</v>
      </c>
      <c r="F920" s="21" t="s">
        <v>8</v>
      </c>
      <c r="G920" s="22" t="s">
        <v>5933</v>
      </c>
      <c r="H920" s="22" t="s">
        <v>7828</v>
      </c>
      <c r="I920" s="22">
        <v>289.7</v>
      </c>
      <c r="K920" s="22" t="s">
        <v>5835</v>
      </c>
      <c r="N920" s="25" t="s">
        <v>6822</v>
      </c>
      <c r="O920" s="25" t="s">
        <v>5835</v>
      </c>
      <c r="R920" s="22" t="s">
        <v>5933</v>
      </c>
    </row>
    <row r="921" spans="3:18" ht="16">
      <c r="C921" s="19" t="s">
        <v>1799</v>
      </c>
      <c r="D921" s="20" t="s">
        <v>3647</v>
      </c>
      <c r="E921" s="21" t="s">
        <v>6280</v>
      </c>
      <c r="F921" s="21" t="s">
        <v>6281</v>
      </c>
      <c r="G921" s="22" t="s">
        <v>5906</v>
      </c>
      <c r="H921" s="22" t="s">
        <v>7828</v>
      </c>
      <c r="I921" s="22">
        <v>35</v>
      </c>
      <c r="K921" s="22" t="s">
        <v>5835</v>
      </c>
      <c r="N921" s="25" t="s">
        <v>6823</v>
      </c>
      <c r="O921" s="25" t="s">
        <v>5835</v>
      </c>
      <c r="R921" s="22" t="s">
        <v>5906</v>
      </c>
    </row>
    <row r="922" spans="3:18" ht="16">
      <c r="C922" s="19" t="s">
        <v>1804</v>
      </c>
      <c r="D922" s="20" t="s">
        <v>3651</v>
      </c>
      <c r="E922" s="21" t="s">
        <v>6257</v>
      </c>
      <c r="F922" s="21" t="s">
        <v>10</v>
      </c>
      <c r="G922" s="22" t="s">
        <v>5988</v>
      </c>
      <c r="H922" s="22" t="s">
        <v>7828</v>
      </c>
      <c r="I922" s="22">
        <v>188.8</v>
      </c>
      <c r="K922" s="22" t="s">
        <v>5835</v>
      </c>
      <c r="N922" s="25" t="s">
        <v>6824</v>
      </c>
      <c r="O922" s="25" t="s">
        <v>5835</v>
      </c>
      <c r="R922" s="22" t="s">
        <v>5988</v>
      </c>
    </row>
    <row r="923" spans="3:18" ht="16">
      <c r="C923" s="19" t="s">
        <v>1818</v>
      </c>
      <c r="D923" s="20" t="s">
        <v>3664</v>
      </c>
      <c r="E923" s="21" t="s">
        <v>6372</v>
      </c>
      <c r="F923" s="21" t="s">
        <v>6197</v>
      </c>
      <c r="G923" s="22" t="s">
        <v>7825</v>
      </c>
      <c r="H923" s="22" t="s">
        <v>5835</v>
      </c>
      <c r="I923" s="22">
        <v>4.8</v>
      </c>
      <c r="K923" s="22" t="s">
        <v>5835</v>
      </c>
      <c r="N923" s="25" t="s">
        <v>6825</v>
      </c>
      <c r="O923" s="25" t="s">
        <v>5835</v>
      </c>
      <c r="R923" s="22" t="s">
        <v>6202</v>
      </c>
    </row>
    <row r="924" spans="3:18" ht="16">
      <c r="C924" s="19" t="s">
        <v>1820</v>
      </c>
      <c r="D924" s="20" t="s">
        <v>3666</v>
      </c>
      <c r="E924" s="21" t="s">
        <v>6067</v>
      </c>
      <c r="F924" s="21" t="s">
        <v>17</v>
      </c>
      <c r="G924" s="22" t="s">
        <v>5920</v>
      </c>
      <c r="H924" s="22" t="s">
        <v>5835</v>
      </c>
      <c r="I924" s="22">
        <v>39.200000000000003</v>
      </c>
      <c r="K924" s="22" t="s">
        <v>5835</v>
      </c>
      <c r="N924" s="25" t="s">
        <v>6826</v>
      </c>
      <c r="O924" s="25" t="s">
        <v>5835</v>
      </c>
      <c r="R924" s="22" t="s">
        <v>5920</v>
      </c>
    </row>
    <row r="925" spans="3:18" ht="16">
      <c r="C925" s="19" t="s">
        <v>1821</v>
      </c>
      <c r="D925" s="20" t="s">
        <v>3667</v>
      </c>
      <c r="E925" s="21" t="s">
        <v>6297</v>
      </c>
      <c r="F925" s="21" t="s">
        <v>6200</v>
      </c>
      <c r="G925" s="22" t="s">
        <v>5949</v>
      </c>
      <c r="H925" s="22" t="s">
        <v>5835</v>
      </c>
      <c r="I925" s="22">
        <v>35.9</v>
      </c>
      <c r="K925" s="22" t="s">
        <v>5835</v>
      </c>
      <c r="N925" s="25" t="s">
        <v>6827</v>
      </c>
      <c r="O925" s="25" t="s">
        <v>5835</v>
      </c>
      <c r="R925" s="22" t="s">
        <v>5949</v>
      </c>
    </row>
    <row r="926" spans="3:18" ht="16">
      <c r="C926" s="19" t="s">
        <v>1822</v>
      </c>
      <c r="D926" s="20" t="s">
        <v>3668</v>
      </c>
      <c r="E926" s="21" t="s">
        <v>6497</v>
      </c>
      <c r="F926" s="21" t="s">
        <v>6200</v>
      </c>
      <c r="G926" s="22" t="s">
        <v>5985</v>
      </c>
      <c r="H926" s="22" t="s">
        <v>5835</v>
      </c>
      <c r="I926" s="22">
        <v>56.1</v>
      </c>
      <c r="K926" s="22" t="s">
        <v>5835</v>
      </c>
      <c r="N926" s="25" t="s">
        <v>6828</v>
      </c>
      <c r="O926" s="25" t="s">
        <v>5835</v>
      </c>
      <c r="R926" s="22" t="s">
        <v>5985</v>
      </c>
    </row>
    <row r="927" spans="3:18" ht="16">
      <c r="C927" s="19" t="s">
        <v>1825</v>
      </c>
      <c r="D927" s="20" t="s">
        <v>3671</v>
      </c>
      <c r="E927" s="21" t="s">
        <v>6222</v>
      </c>
      <c r="F927" s="21" t="s">
        <v>8</v>
      </c>
      <c r="G927" s="22" t="s">
        <v>14</v>
      </c>
      <c r="H927" s="22" t="s">
        <v>5835</v>
      </c>
      <c r="I927" s="22">
        <v>66.3</v>
      </c>
      <c r="K927" s="22" t="s">
        <v>5835</v>
      </c>
      <c r="N927" s="25" t="s">
        <v>6829</v>
      </c>
      <c r="O927" s="25" t="s">
        <v>5835</v>
      </c>
      <c r="R927" s="22" t="s">
        <v>14</v>
      </c>
    </row>
    <row r="928" spans="3:18" ht="16">
      <c r="C928" s="19" t="s">
        <v>1827</v>
      </c>
      <c r="D928" s="20" t="s">
        <v>3673</v>
      </c>
      <c r="E928" s="21" t="s">
        <v>6471</v>
      </c>
      <c r="F928" s="21" t="s">
        <v>6231</v>
      </c>
      <c r="G928" s="22" t="s">
        <v>5933</v>
      </c>
      <c r="H928" s="22" t="s">
        <v>7828</v>
      </c>
      <c r="I928" s="22">
        <v>234.3</v>
      </c>
      <c r="K928" s="22" t="s">
        <v>5835</v>
      </c>
      <c r="N928" s="25" t="s">
        <v>6830</v>
      </c>
      <c r="O928" s="25" t="s">
        <v>5835</v>
      </c>
      <c r="R928" s="22" t="s">
        <v>5933</v>
      </c>
    </row>
    <row r="929" spans="3:18" ht="16">
      <c r="C929" s="19" t="s">
        <v>1828</v>
      </c>
      <c r="D929" s="20" t="s">
        <v>3674</v>
      </c>
      <c r="E929" s="21" t="s">
        <v>6358</v>
      </c>
      <c r="F929" s="21" t="s">
        <v>6281</v>
      </c>
      <c r="G929" s="22" t="s">
        <v>5945</v>
      </c>
      <c r="H929" s="22" t="s">
        <v>7828</v>
      </c>
      <c r="I929" s="22">
        <v>203</v>
      </c>
      <c r="K929" s="22" t="s">
        <v>5835</v>
      </c>
      <c r="N929" s="25" t="s">
        <v>6831</v>
      </c>
      <c r="O929" s="25" t="s">
        <v>5835</v>
      </c>
      <c r="R929" s="22" t="s">
        <v>5945</v>
      </c>
    </row>
    <row r="930" spans="3:18" ht="16">
      <c r="C930" s="19" t="s">
        <v>1830</v>
      </c>
      <c r="D930" s="20" t="s">
        <v>3676</v>
      </c>
      <c r="E930" s="21" t="s">
        <v>6222</v>
      </c>
      <c r="F930" s="21" t="s">
        <v>8</v>
      </c>
      <c r="G930" s="22" t="s">
        <v>14</v>
      </c>
      <c r="H930" s="22" t="s">
        <v>5835</v>
      </c>
      <c r="I930" s="22">
        <v>120.9</v>
      </c>
      <c r="K930" s="22" t="s">
        <v>5835</v>
      </c>
      <c r="N930" s="25" t="s">
        <v>6832</v>
      </c>
      <c r="O930" s="25" t="s">
        <v>5835</v>
      </c>
      <c r="R930" s="22" t="s">
        <v>14</v>
      </c>
    </row>
    <row r="931" spans="3:18" ht="16">
      <c r="C931" s="19" t="s">
        <v>1832</v>
      </c>
      <c r="D931" s="20" t="s">
        <v>3678</v>
      </c>
      <c r="E931" s="21" t="s">
        <v>6222</v>
      </c>
      <c r="F931" s="21" t="s">
        <v>8</v>
      </c>
      <c r="G931" s="22" t="s">
        <v>14</v>
      </c>
      <c r="H931" s="22" t="s">
        <v>5835</v>
      </c>
      <c r="I931" s="22">
        <v>193.6</v>
      </c>
      <c r="K931" s="22" t="s">
        <v>5835</v>
      </c>
      <c r="N931" s="25" t="s">
        <v>6833</v>
      </c>
      <c r="O931" s="25" t="s">
        <v>5835</v>
      </c>
      <c r="R931" s="22" t="s">
        <v>14</v>
      </c>
    </row>
    <row r="932" spans="3:18" ht="16">
      <c r="C932" s="19" t="s">
        <v>1835</v>
      </c>
      <c r="D932" s="20" t="s">
        <v>3680</v>
      </c>
      <c r="E932" s="21" t="s">
        <v>6166</v>
      </c>
      <c r="F932" s="21" t="s">
        <v>6080</v>
      </c>
      <c r="G932" s="22" t="s">
        <v>5915</v>
      </c>
      <c r="H932" s="22" t="s">
        <v>5835</v>
      </c>
      <c r="I932" s="22">
        <v>97.6</v>
      </c>
      <c r="K932" s="22" t="s">
        <v>5835</v>
      </c>
      <c r="N932" s="25" t="s">
        <v>6834</v>
      </c>
      <c r="O932" s="25" t="s">
        <v>5835</v>
      </c>
      <c r="R932" s="22" t="s">
        <v>5915</v>
      </c>
    </row>
    <row r="933" spans="3:18" ht="16">
      <c r="C933" s="19" t="s">
        <v>1840</v>
      </c>
      <c r="D933" s="20" t="s">
        <v>3685</v>
      </c>
      <c r="E933" s="21" t="s">
        <v>6079</v>
      </c>
      <c r="F933" s="21" t="s">
        <v>6080</v>
      </c>
      <c r="G933" s="22" t="s">
        <v>7825</v>
      </c>
      <c r="H933" s="22" t="s">
        <v>5835</v>
      </c>
      <c r="I933" s="22">
        <v>6.7</v>
      </c>
      <c r="K933" s="22" t="s">
        <v>5835</v>
      </c>
      <c r="N933" s="25" t="s">
        <v>6835</v>
      </c>
      <c r="O933" s="25" t="s">
        <v>5835</v>
      </c>
      <c r="R933" s="22" t="s">
        <v>6202</v>
      </c>
    </row>
    <row r="934" spans="3:18" ht="16">
      <c r="C934" s="19" t="s">
        <v>1841</v>
      </c>
      <c r="D934" s="20" t="s">
        <v>3686</v>
      </c>
      <c r="E934" s="21" t="s">
        <v>6243</v>
      </c>
      <c r="F934" s="21" t="s">
        <v>17</v>
      </c>
      <c r="G934" s="22" t="s">
        <v>5873</v>
      </c>
      <c r="H934" s="22" t="s">
        <v>7828</v>
      </c>
      <c r="I934" s="22">
        <v>645.5</v>
      </c>
      <c r="K934" s="22" t="s">
        <v>5835</v>
      </c>
      <c r="N934" s="25" t="s">
        <v>6836</v>
      </c>
      <c r="O934" s="25" t="s">
        <v>5835</v>
      </c>
      <c r="R934" s="22" t="s">
        <v>5873</v>
      </c>
    </row>
    <row r="935" spans="3:18" ht="16">
      <c r="C935" s="19" t="s">
        <v>1842</v>
      </c>
      <c r="D935" s="20" t="s">
        <v>3687</v>
      </c>
      <c r="E935" s="21" t="s">
        <v>6208</v>
      </c>
      <c r="F935" s="21" t="s">
        <v>17</v>
      </c>
      <c r="G935" s="22" t="s">
        <v>5911</v>
      </c>
      <c r="H935" s="22" t="s">
        <v>5835</v>
      </c>
      <c r="I935" s="22">
        <v>82.4</v>
      </c>
      <c r="K935" s="22" t="s">
        <v>5835</v>
      </c>
      <c r="N935" s="25" t="s">
        <v>6837</v>
      </c>
      <c r="O935" s="25" t="s">
        <v>5835</v>
      </c>
      <c r="R935" s="22" t="s">
        <v>5911</v>
      </c>
    </row>
    <row r="936" spans="3:18" ht="16">
      <c r="C936" s="19" t="s">
        <v>1843</v>
      </c>
      <c r="D936" s="20" t="s">
        <v>3688</v>
      </c>
      <c r="E936" s="21" t="s">
        <v>6505</v>
      </c>
      <c r="F936" s="21" t="s">
        <v>6200</v>
      </c>
      <c r="G936" s="22" t="s">
        <v>5985</v>
      </c>
      <c r="H936" s="22" t="s">
        <v>5835</v>
      </c>
      <c r="I936" s="22">
        <v>72.2</v>
      </c>
      <c r="K936" s="22" t="s">
        <v>5835</v>
      </c>
      <c r="N936" s="25" t="s">
        <v>6838</v>
      </c>
      <c r="O936" s="25" t="s">
        <v>5835</v>
      </c>
      <c r="R936" s="22" t="s">
        <v>5985</v>
      </c>
    </row>
    <row r="937" spans="3:18" ht="16">
      <c r="C937" s="19" t="s">
        <v>1844</v>
      </c>
      <c r="D937" s="20" t="s">
        <v>3689</v>
      </c>
      <c r="E937" s="21" t="s">
        <v>5968</v>
      </c>
      <c r="F937" s="21" t="s">
        <v>5969</v>
      </c>
      <c r="G937" s="22" t="s">
        <v>5970</v>
      </c>
      <c r="H937" s="22" t="s">
        <v>7828</v>
      </c>
      <c r="I937" s="22">
        <v>32.1</v>
      </c>
      <c r="K937" s="22" t="s">
        <v>5835</v>
      </c>
      <c r="N937" s="25" t="s">
        <v>6839</v>
      </c>
      <c r="O937" s="25" t="s">
        <v>5835</v>
      </c>
      <c r="R937" s="22" t="s">
        <v>5970</v>
      </c>
    </row>
    <row r="938" spans="3:18" ht="16">
      <c r="C938" s="19" t="s">
        <v>1848</v>
      </c>
      <c r="D938" s="20" t="s">
        <v>3693</v>
      </c>
      <c r="E938" s="21" t="s">
        <v>6266</v>
      </c>
      <c r="F938" s="21" t="s">
        <v>6080</v>
      </c>
      <c r="G938" s="22" t="s">
        <v>5991</v>
      </c>
      <c r="H938" s="22" t="s">
        <v>5835</v>
      </c>
      <c r="I938" s="22">
        <v>70.099999999999994</v>
      </c>
      <c r="K938" s="22" t="s">
        <v>5835</v>
      </c>
      <c r="N938" s="25" t="s">
        <v>6840</v>
      </c>
      <c r="O938" s="25" t="s">
        <v>5835</v>
      </c>
      <c r="R938" s="22" t="s">
        <v>5991</v>
      </c>
    </row>
    <row r="939" spans="3:18" ht="16">
      <c r="C939" s="19" t="s">
        <v>1850</v>
      </c>
      <c r="D939" s="20" t="s">
        <v>3695</v>
      </c>
      <c r="E939" s="21" t="s">
        <v>6257</v>
      </c>
      <c r="F939" s="21" t="s">
        <v>10</v>
      </c>
      <c r="G939" s="22" t="s">
        <v>5930</v>
      </c>
      <c r="H939" s="22" t="s">
        <v>5835</v>
      </c>
      <c r="I939" s="22">
        <v>91</v>
      </c>
      <c r="K939" s="22" t="s">
        <v>5835</v>
      </c>
      <c r="N939" s="25" t="s">
        <v>6841</v>
      </c>
      <c r="O939" s="25" t="s">
        <v>5835</v>
      </c>
      <c r="R939" s="22" t="s">
        <v>5930</v>
      </c>
    </row>
    <row r="940" spans="3:18" ht="16">
      <c r="C940" s="19" t="s">
        <v>1851</v>
      </c>
      <c r="D940" s="20" t="s">
        <v>3696</v>
      </c>
      <c r="E940" s="21" t="s">
        <v>6233</v>
      </c>
      <c r="F940" s="21" t="s">
        <v>5928</v>
      </c>
      <c r="G940" s="22" t="s">
        <v>5928</v>
      </c>
      <c r="H940" s="22" t="s">
        <v>5835</v>
      </c>
      <c r="I940" s="22">
        <v>66</v>
      </c>
      <c r="K940" s="22" t="s">
        <v>5835</v>
      </c>
      <c r="N940" s="25" t="s">
        <v>6842</v>
      </c>
      <c r="O940" s="25" t="s">
        <v>5835</v>
      </c>
      <c r="R940" s="22" t="s">
        <v>5928</v>
      </c>
    </row>
    <row r="941" spans="3:18" ht="16">
      <c r="C941" s="19" t="s">
        <v>1859</v>
      </c>
      <c r="D941" s="20" t="s">
        <v>3704</v>
      </c>
      <c r="E941" s="21" t="s">
        <v>5968</v>
      </c>
      <c r="F941" s="21" t="s">
        <v>5969</v>
      </c>
      <c r="G941" s="22" t="s">
        <v>5869</v>
      </c>
      <c r="H941" s="22" t="s">
        <v>5835</v>
      </c>
      <c r="I941" s="22">
        <v>91.5</v>
      </c>
      <c r="K941" s="22" t="s">
        <v>5835</v>
      </c>
      <c r="N941" s="25" t="s">
        <v>6843</v>
      </c>
      <c r="O941" s="25" t="s">
        <v>5835</v>
      </c>
      <c r="R941" s="22" t="s">
        <v>5869</v>
      </c>
    </row>
    <row r="942" spans="3:18" ht="16">
      <c r="C942" s="19" t="s">
        <v>1864</v>
      </c>
      <c r="D942" s="20" t="s">
        <v>3709</v>
      </c>
      <c r="E942" s="21" t="s">
        <v>6001</v>
      </c>
      <c r="F942" s="21" t="s">
        <v>5966</v>
      </c>
      <c r="G942" s="22" t="s">
        <v>5853</v>
      </c>
      <c r="H942" s="22" t="s">
        <v>5835</v>
      </c>
      <c r="I942" s="22">
        <v>41.9</v>
      </c>
      <c r="K942" s="22" t="s">
        <v>5835</v>
      </c>
      <c r="N942" s="25" t="s">
        <v>6844</v>
      </c>
      <c r="O942" s="25" t="s">
        <v>5835</v>
      </c>
      <c r="R942" s="22" t="s">
        <v>5853</v>
      </c>
    </row>
    <row r="943" spans="3:18" ht="16">
      <c r="C943" s="19" t="s">
        <v>1865</v>
      </c>
      <c r="D943" s="20" t="s">
        <v>3710</v>
      </c>
      <c r="E943" s="21" t="s">
        <v>6033</v>
      </c>
      <c r="F943" s="21" t="s">
        <v>5969</v>
      </c>
      <c r="G943" s="22" t="s">
        <v>5857</v>
      </c>
      <c r="H943" s="22" t="s">
        <v>5835</v>
      </c>
      <c r="I943" s="22">
        <v>102.8</v>
      </c>
      <c r="K943" s="22" t="s">
        <v>5835</v>
      </c>
      <c r="N943" s="25" t="s">
        <v>6845</v>
      </c>
      <c r="O943" s="25" t="s">
        <v>5835</v>
      </c>
      <c r="R943" s="22" t="s">
        <v>5857</v>
      </c>
    </row>
    <row r="944" spans="3:18" ht="16">
      <c r="C944" s="19" t="s">
        <v>1870</v>
      </c>
      <c r="D944" s="20" t="s">
        <v>3715</v>
      </c>
      <c r="E944" s="21" t="s">
        <v>5968</v>
      </c>
      <c r="F944" s="21" t="s">
        <v>5969</v>
      </c>
      <c r="G944" s="22" t="s">
        <v>5846</v>
      </c>
      <c r="H944" s="22" t="s">
        <v>5835</v>
      </c>
      <c r="I944" s="22">
        <v>80.2</v>
      </c>
      <c r="K944" s="22" t="s">
        <v>5835</v>
      </c>
      <c r="N944" s="25" t="s">
        <v>6846</v>
      </c>
      <c r="O944" s="25" t="s">
        <v>5835</v>
      </c>
      <c r="R944" s="22" t="s">
        <v>5846</v>
      </c>
    </row>
    <row r="945" spans="3:18" ht="16">
      <c r="C945" s="19" t="s">
        <v>1873</v>
      </c>
      <c r="D945" s="20" t="s">
        <v>3718</v>
      </c>
      <c r="E945" s="21" t="s">
        <v>5968</v>
      </c>
      <c r="F945" s="21" t="s">
        <v>5969</v>
      </c>
      <c r="G945" s="22" t="s">
        <v>7827</v>
      </c>
      <c r="H945" s="22" t="s">
        <v>5835</v>
      </c>
      <c r="I945" s="22">
        <v>28.3</v>
      </c>
      <c r="K945" s="22" t="s">
        <v>5835</v>
      </c>
      <c r="N945" s="25" t="s">
        <v>6847</v>
      </c>
      <c r="O945" s="25" t="s">
        <v>5835</v>
      </c>
      <c r="R945" s="22" t="s">
        <v>5940</v>
      </c>
    </row>
    <row r="946" spans="3:18" ht="16">
      <c r="C946" s="19" t="s">
        <v>1877</v>
      </c>
      <c r="D946" s="20" t="s">
        <v>6848</v>
      </c>
      <c r="E946" s="21" t="s">
        <v>5968</v>
      </c>
      <c r="F946" s="21" t="s">
        <v>5969</v>
      </c>
      <c r="G946" s="22" t="s">
        <v>5869</v>
      </c>
      <c r="H946" s="22" t="s">
        <v>7828</v>
      </c>
      <c r="I946" s="22">
        <v>209.1</v>
      </c>
      <c r="K946" s="22" t="s">
        <v>5835</v>
      </c>
      <c r="N946" s="25" t="s">
        <v>6849</v>
      </c>
      <c r="O946" s="25" t="s">
        <v>5835</v>
      </c>
      <c r="R946" s="22" t="s">
        <v>5869</v>
      </c>
    </row>
    <row r="947" spans="3:18" ht="16">
      <c r="C947" s="19" t="s">
        <v>1881</v>
      </c>
      <c r="D947" s="20" t="s">
        <v>3725</v>
      </c>
      <c r="E947" s="21" t="s">
        <v>5980</v>
      </c>
      <c r="F947" s="21" t="s">
        <v>5852</v>
      </c>
      <c r="G947" s="22" t="s">
        <v>5846</v>
      </c>
      <c r="H947" s="22" t="s">
        <v>5835</v>
      </c>
      <c r="I947" s="22">
        <v>14.6</v>
      </c>
      <c r="K947" s="22" t="s">
        <v>5835</v>
      </c>
      <c r="N947" s="25" t="s">
        <v>6850</v>
      </c>
      <c r="O947" s="25" t="s">
        <v>5835</v>
      </c>
      <c r="R947" s="22" t="s">
        <v>5846</v>
      </c>
    </row>
    <row r="948" spans="3:18" ht="16">
      <c r="C948" s="19" t="s">
        <v>1888</v>
      </c>
      <c r="D948" s="20" t="s">
        <v>3732</v>
      </c>
      <c r="E948" s="21" t="s">
        <v>6096</v>
      </c>
      <c r="F948" s="21" t="s">
        <v>5896</v>
      </c>
      <c r="G948" s="22" t="s">
        <v>7827</v>
      </c>
      <c r="H948" s="22" t="s">
        <v>5835</v>
      </c>
      <c r="I948" s="22">
        <v>20.8</v>
      </c>
      <c r="K948" s="22" t="s">
        <v>5835</v>
      </c>
      <c r="N948" s="25" t="s">
        <v>5835</v>
      </c>
      <c r="O948" s="25" t="s">
        <v>5835</v>
      </c>
      <c r="R948" s="22" t="s">
        <v>5940</v>
      </c>
    </row>
    <row r="949" spans="3:18" ht="16">
      <c r="C949" s="19" t="s">
        <v>1890</v>
      </c>
      <c r="D949" s="20" t="s">
        <v>3734</v>
      </c>
      <c r="E949" s="21" t="s">
        <v>5968</v>
      </c>
      <c r="F949" s="21" t="s">
        <v>5969</v>
      </c>
      <c r="G949" s="22" t="s">
        <v>7827</v>
      </c>
      <c r="H949" s="22" t="s">
        <v>5835</v>
      </c>
      <c r="I949" s="22">
        <v>58.1</v>
      </c>
      <c r="K949" s="22" t="s">
        <v>5835</v>
      </c>
      <c r="N949" s="25" t="s">
        <v>6851</v>
      </c>
      <c r="O949" s="25" t="s">
        <v>5835</v>
      </c>
      <c r="R949" s="22" t="s">
        <v>5940</v>
      </c>
    </row>
    <row r="950" spans="3:18" ht="16">
      <c r="C950" s="19" t="s">
        <v>1891</v>
      </c>
      <c r="D950" s="20" t="s">
        <v>3735</v>
      </c>
      <c r="E950" s="21" t="s">
        <v>5980</v>
      </c>
      <c r="F950" s="21" t="s">
        <v>5852</v>
      </c>
      <c r="G950" s="22" t="s">
        <v>5849</v>
      </c>
      <c r="H950" s="22" t="s">
        <v>5835</v>
      </c>
      <c r="I950" s="22">
        <v>8</v>
      </c>
      <c r="K950" s="22" t="s">
        <v>5835</v>
      </c>
      <c r="N950" s="25" t="s">
        <v>6852</v>
      </c>
      <c r="O950" s="25" t="s">
        <v>5835</v>
      </c>
      <c r="R950" s="22" t="s">
        <v>5849</v>
      </c>
    </row>
    <row r="951" spans="3:18" ht="16">
      <c r="C951" s="19" t="s">
        <v>1895</v>
      </c>
      <c r="D951" s="20" t="s">
        <v>3739</v>
      </c>
      <c r="E951" s="21" t="s">
        <v>5980</v>
      </c>
      <c r="F951" s="21" t="s">
        <v>5852</v>
      </c>
      <c r="G951" s="22" t="s">
        <v>5964</v>
      </c>
      <c r="H951" s="22" t="s">
        <v>7828</v>
      </c>
      <c r="I951" s="22">
        <v>647.4</v>
      </c>
      <c r="K951" s="22" t="s">
        <v>5835</v>
      </c>
      <c r="N951" s="25" t="s">
        <v>6853</v>
      </c>
      <c r="O951" s="25" t="s">
        <v>5835</v>
      </c>
      <c r="R951" s="22" t="s">
        <v>5964</v>
      </c>
    </row>
    <row r="952" spans="3:18" ht="16">
      <c r="C952" s="19" t="s">
        <v>1897</v>
      </c>
      <c r="D952" s="20" t="s">
        <v>3741</v>
      </c>
      <c r="E952" s="21" t="s">
        <v>6413</v>
      </c>
      <c r="F952" s="21" t="s">
        <v>5852</v>
      </c>
      <c r="G952" s="22" t="s">
        <v>5859</v>
      </c>
      <c r="H952" s="22" t="s">
        <v>5835</v>
      </c>
      <c r="I952" s="22">
        <v>105.9</v>
      </c>
      <c r="K952" s="22" t="s">
        <v>5835</v>
      </c>
      <c r="N952" s="25" t="s">
        <v>6854</v>
      </c>
      <c r="O952" s="25" t="s">
        <v>5835</v>
      </c>
      <c r="R952" s="22" t="s">
        <v>5859</v>
      </c>
    </row>
    <row r="953" spans="3:18" ht="16">
      <c r="C953" s="19" t="s">
        <v>1898</v>
      </c>
      <c r="D953" s="20" t="s">
        <v>3742</v>
      </c>
      <c r="E953" s="21" t="s">
        <v>5968</v>
      </c>
      <c r="F953" s="21" t="s">
        <v>5969</v>
      </c>
      <c r="G953" s="22" t="s">
        <v>5833</v>
      </c>
      <c r="H953" s="22" t="s">
        <v>5835</v>
      </c>
      <c r="I953" s="22">
        <v>34.200000000000003</v>
      </c>
      <c r="K953" s="22" t="s">
        <v>5835</v>
      </c>
      <c r="N953" s="25" t="s">
        <v>6855</v>
      </c>
      <c r="O953" s="25" t="s">
        <v>5835</v>
      </c>
      <c r="R953" s="22" t="s">
        <v>5833</v>
      </c>
    </row>
    <row r="954" spans="3:18" ht="16">
      <c r="C954" s="19" t="s">
        <v>1899</v>
      </c>
      <c r="D954" s="20" t="s">
        <v>3743</v>
      </c>
      <c r="E954" s="21" t="s">
        <v>5968</v>
      </c>
      <c r="F954" s="21" t="s">
        <v>6680</v>
      </c>
      <c r="G954" s="22" t="s">
        <v>5879</v>
      </c>
      <c r="H954" s="22" t="s">
        <v>7828</v>
      </c>
      <c r="I954" s="22">
        <v>1194</v>
      </c>
      <c r="K954" s="22" t="s">
        <v>5835</v>
      </c>
      <c r="N954" s="25" t="s">
        <v>6856</v>
      </c>
      <c r="O954" s="25" t="s">
        <v>5835</v>
      </c>
      <c r="R954" s="22" t="s">
        <v>5879</v>
      </c>
    </row>
    <row r="955" spans="3:18" ht="16">
      <c r="C955" s="19" t="s">
        <v>1900</v>
      </c>
      <c r="D955" s="20" t="s">
        <v>3744</v>
      </c>
      <c r="E955" s="21" t="s">
        <v>5968</v>
      </c>
      <c r="F955" s="21" t="s">
        <v>5969</v>
      </c>
      <c r="G955" s="22" t="s">
        <v>5879</v>
      </c>
      <c r="H955" s="22" t="s">
        <v>5835</v>
      </c>
      <c r="I955" s="22">
        <v>22.1</v>
      </c>
      <c r="K955" s="22" t="s">
        <v>5835</v>
      </c>
      <c r="N955" s="25" t="s">
        <v>6857</v>
      </c>
      <c r="O955" s="25" t="s">
        <v>5835</v>
      </c>
      <c r="R955" s="22" t="s">
        <v>5879</v>
      </c>
    </row>
    <row r="956" spans="3:18" ht="16">
      <c r="C956" s="19" t="s">
        <v>1901</v>
      </c>
      <c r="D956" s="20" t="s">
        <v>3745</v>
      </c>
      <c r="E956" s="21" t="s">
        <v>5968</v>
      </c>
      <c r="F956" s="21" t="s">
        <v>5969</v>
      </c>
      <c r="G956" s="22" t="s">
        <v>5859</v>
      </c>
      <c r="H956" s="22" t="s">
        <v>7828</v>
      </c>
      <c r="I956" s="22">
        <v>87.3</v>
      </c>
      <c r="K956" s="22" t="s">
        <v>5835</v>
      </c>
      <c r="N956" s="25" t="s">
        <v>6858</v>
      </c>
      <c r="O956" s="25" t="s">
        <v>5835</v>
      </c>
      <c r="R956" s="22" t="s">
        <v>5859</v>
      </c>
    </row>
    <row r="957" spans="3:18" ht="16">
      <c r="C957" s="19" t="s">
        <v>1903</v>
      </c>
      <c r="D957" s="20" t="s">
        <v>3747</v>
      </c>
      <c r="E957" s="21" t="s">
        <v>5968</v>
      </c>
      <c r="F957" s="21" t="s">
        <v>5969</v>
      </c>
      <c r="G957" s="22" t="s">
        <v>5869</v>
      </c>
      <c r="H957" s="22" t="s">
        <v>5835</v>
      </c>
      <c r="I957" s="22">
        <v>58.7</v>
      </c>
      <c r="K957" s="22" t="s">
        <v>5835</v>
      </c>
      <c r="N957" s="25" t="s">
        <v>6859</v>
      </c>
      <c r="O957" s="25" t="s">
        <v>5835</v>
      </c>
      <c r="R957" s="22" t="s">
        <v>5869</v>
      </c>
    </row>
    <row r="958" spans="3:18" ht="16">
      <c r="C958" s="19" t="s">
        <v>1904</v>
      </c>
      <c r="D958" s="20" t="s">
        <v>6860</v>
      </c>
      <c r="E958" s="21" t="s">
        <v>5968</v>
      </c>
      <c r="F958" s="21" t="s">
        <v>5969</v>
      </c>
      <c r="G958" s="22" t="s">
        <v>5869</v>
      </c>
      <c r="H958" s="22" t="s">
        <v>5835</v>
      </c>
      <c r="I958" s="22">
        <v>32.4</v>
      </c>
      <c r="K958" s="22" t="s">
        <v>5835</v>
      </c>
      <c r="N958" s="25" t="s">
        <v>6861</v>
      </c>
      <c r="O958" s="25" t="s">
        <v>5835</v>
      </c>
      <c r="R958" s="22" t="s">
        <v>5869</v>
      </c>
    </row>
    <row r="959" spans="3:18" ht="16">
      <c r="C959" s="19" t="s">
        <v>1906</v>
      </c>
      <c r="D959" s="20" t="s">
        <v>3749</v>
      </c>
      <c r="E959" s="21" t="s">
        <v>5968</v>
      </c>
      <c r="F959" s="21" t="s">
        <v>5969</v>
      </c>
      <c r="G959" s="22" t="s">
        <v>7827</v>
      </c>
      <c r="H959" s="22" t="s">
        <v>7828</v>
      </c>
      <c r="I959" s="22">
        <v>214.5</v>
      </c>
      <c r="K959" s="22" t="s">
        <v>5835</v>
      </c>
      <c r="N959" s="25" t="s">
        <v>6862</v>
      </c>
      <c r="O959" s="25" t="s">
        <v>5835</v>
      </c>
      <c r="R959" s="22" t="s">
        <v>5940</v>
      </c>
    </row>
    <row r="960" spans="3:18" ht="16">
      <c r="C960" s="19" t="s">
        <v>1907</v>
      </c>
      <c r="D960" s="20" t="s">
        <v>3750</v>
      </c>
      <c r="E960" s="21" t="s">
        <v>5968</v>
      </c>
      <c r="F960" s="21" t="s">
        <v>5969</v>
      </c>
      <c r="G960" s="22" t="s">
        <v>5859</v>
      </c>
      <c r="H960" s="22" t="s">
        <v>5835</v>
      </c>
      <c r="I960" s="22">
        <v>29.3</v>
      </c>
      <c r="K960" s="22" t="s">
        <v>5835</v>
      </c>
      <c r="N960" s="25" t="s">
        <v>6863</v>
      </c>
      <c r="O960" s="25" t="s">
        <v>5835</v>
      </c>
      <c r="R960" s="22" t="s">
        <v>5859</v>
      </c>
    </row>
    <row r="961" spans="3:18" ht="16">
      <c r="C961" s="19" t="s">
        <v>1908</v>
      </c>
      <c r="D961" s="20" t="s">
        <v>3751</v>
      </c>
      <c r="E961" s="21" t="s">
        <v>5968</v>
      </c>
      <c r="F961" s="21" t="s">
        <v>5969</v>
      </c>
      <c r="G961" s="22" t="s">
        <v>5879</v>
      </c>
      <c r="H961" s="22" t="s">
        <v>5835</v>
      </c>
      <c r="I961" s="22">
        <v>57.6</v>
      </c>
      <c r="K961" s="22" t="s">
        <v>5835</v>
      </c>
      <c r="N961" s="25" t="s">
        <v>6864</v>
      </c>
      <c r="O961" s="25" t="s">
        <v>5835</v>
      </c>
      <c r="R961" s="22" t="s">
        <v>5879</v>
      </c>
    </row>
    <row r="962" spans="3:18" ht="16">
      <c r="C962" s="19" t="s">
        <v>1910</v>
      </c>
      <c r="D962" s="20" t="s">
        <v>3752</v>
      </c>
      <c r="E962" s="21" t="s">
        <v>5968</v>
      </c>
      <c r="F962" s="21" t="s">
        <v>5969</v>
      </c>
      <c r="G962" s="22" t="s">
        <v>5865</v>
      </c>
      <c r="H962" s="22" t="s">
        <v>5835</v>
      </c>
      <c r="I962" s="22">
        <v>8.3000000000000007</v>
      </c>
      <c r="K962" s="22" t="s">
        <v>5835</v>
      </c>
      <c r="N962" s="25" t="s">
        <v>6865</v>
      </c>
      <c r="O962" s="25" t="s">
        <v>5835</v>
      </c>
      <c r="R962" s="22" t="s">
        <v>5865</v>
      </c>
    </row>
    <row r="963" spans="3:18" ht="16">
      <c r="C963" s="19" t="s">
        <v>1912</v>
      </c>
      <c r="D963" s="20" t="s">
        <v>3754</v>
      </c>
      <c r="E963" s="21" t="s">
        <v>6252</v>
      </c>
      <c r="F963" s="21" t="s">
        <v>6080</v>
      </c>
      <c r="G963" s="22" t="s">
        <v>7825</v>
      </c>
      <c r="H963" s="22" t="s">
        <v>7828</v>
      </c>
      <c r="I963" s="22">
        <v>94.2</v>
      </c>
      <c r="K963" s="22" t="s">
        <v>5835</v>
      </c>
      <c r="N963" s="25" t="s">
        <v>6866</v>
      </c>
      <c r="O963" s="25" t="s">
        <v>5835</v>
      </c>
      <c r="R963" s="22" t="s">
        <v>6202</v>
      </c>
    </row>
    <row r="964" spans="3:18" ht="16">
      <c r="C964" s="19" t="s">
        <v>1921</v>
      </c>
      <c r="D964" s="20" t="s">
        <v>3763</v>
      </c>
      <c r="E964" s="21" t="s">
        <v>5968</v>
      </c>
      <c r="F964" s="21" t="s">
        <v>5969</v>
      </c>
      <c r="G964" s="22" t="s">
        <v>5972</v>
      </c>
      <c r="H964" s="22" t="s">
        <v>7828</v>
      </c>
      <c r="I964" s="22">
        <v>306</v>
      </c>
      <c r="K964" s="22" t="s">
        <v>5835</v>
      </c>
      <c r="N964" s="25" t="s">
        <v>6867</v>
      </c>
      <c r="O964" s="25" t="s">
        <v>5835</v>
      </c>
      <c r="R964" s="22" t="s">
        <v>5972</v>
      </c>
    </row>
    <row r="965" spans="3:18" ht="16">
      <c r="C965" s="19" t="s">
        <v>1933</v>
      </c>
      <c r="D965" s="20" t="s">
        <v>3774</v>
      </c>
      <c r="E965" s="21" t="s">
        <v>6413</v>
      </c>
      <c r="F965" s="21" t="s">
        <v>5852</v>
      </c>
      <c r="G965" s="22" t="s">
        <v>5849</v>
      </c>
      <c r="H965" s="22" t="s">
        <v>5835</v>
      </c>
      <c r="I965" s="22">
        <v>13.8</v>
      </c>
      <c r="K965" s="22" t="s">
        <v>5835</v>
      </c>
      <c r="N965" s="25" t="s">
        <v>6868</v>
      </c>
      <c r="O965" s="25" t="s">
        <v>5835</v>
      </c>
      <c r="R965" s="22" t="s">
        <v>5849</v>
      </c>
    </row>
    <row r="966" spans="3:18" ht="16">
      <c r="C966" s="19" t="s">
        <v>1936</v>
      </c>
      <c r="D966" s="20" t="s">
        <v>3777</v>
      </c>
      <c r="E966" s="21" t="s">
        <v>6033</v>
      </c>
      <c r="F966" s="21" t="s">
        <v>5969</v>
      </c>
      <c r="G966" s="22" t="s">
        <v>5995</v>
      </c>
      <c r="H966" s="22" t="s">
        <v>7828</v>
      </c>
      <c r="I966" s="22">
        <v>237.6</v>
      </c>
      <c r="K966" s="22" t="s">
        <v>5835</v>
      </c>
      <c r="N966" s="25" t="s">
        <v>6869</v>
      </c>
      <c r="O966" s="25" t="s">
        <v>5835</v>
      </c>
      <c r="R966" s="22" t="s">
        <v>5995</v>
      </c>
    </row>
    <row r="967" spans="3:18" ht="16">
      <c r="C967" s="19" t="s">
        <v>1937</v>
      </c>
      <c r="D967" s="20" t="s">
        <v>3778</v>
      </c>
      <c r="E967" s="21" t="s">
        <v>5968</v>
      </c>
      <c r="F967" s="21" t="s">
        <v>5969</v>
      </c>
      <c r="G967" s="22" t="s">
        <v>7827</v>
      </c>
      <c r="H967" s="22" t="s">
        <v>5835</v>
      </c>
      <c r="I967" s="22">
        <v>10.199999999999999</v>
      </c>
      <c r="K967" s="22" t="s">
        <v>5835</v>
      </c>
      <c r="N967" s="25" t="s">
        <v>6870</v>
      </c>
      <c r="O967" s="25" t="s">
        <v>5835</v>
      </c>
      <c r="R967" s="22" t="s">
        <v>5940</v>
      </c>
    </row>
    <row r="968" spans="3:18" ht="16">
      <c r="C968" s="19" t="s">
        <v>1938</v>
      </c>
      <c r="D968" s="20" t="s">
        <v>3779</v>
      </c>
      <c r="E968" s="21" t="s">
        <v>5851</v>
      </c>
      <c r="F968" s="21" t="s">
        <v>5852</v>
      </c>
      <c r="G968" s="22" t="s">
        <v>7827</v>
      </c>
      <c r="H968" s="22" t="s">
        <v>5835</v>
      </c>
      <c r="I968" s="22">
        <v>4.9000000000000004</v>
      </c>
      <c r="K968" s="22" t="s">
        <v>5835</v>
      </c>
      <c r="N968" s="25" t="s">
        <v>5835</v>
      </c>
      <c r="O968" s="25" t="s">
        <v>5835</v>
      </c>
      <c r="R968" s="22" t="s">
        <v>5940</v>
      </c>
    </row>
    <row r="969" spans="3:18" ht="16">
      <c r="C969" s="19" t="s">
        <v>1939</v>
      </c>
      <c r="D969" s="20" t="s">
        <v>3780</v>
      </c>
      <c r="E969" s="21" t="s">
        <v>5968</v>
      </c>
      <c r="F969" s="21" t="s">
        <v>5969</v>
      </c>
      <c r="G969" s="22" t="s">
        <v>5915</v>
      </c>
      <c r="H969" s="22" t="s">
        <v>7828</v>
      </c>
      <c r="I969" s="22">
        <v>95.5</v>
      </c>
      <c r="K969" s="22" t="s">
        <v>5835</v>
      </c>
      <c r="N969" s="25" t="s">
        <v>6871</v>
      </c>
      <c r="O969" s="25" t="s">
        <v>5835</v>
      </c>
      <c r="R969" s="22" t="s">
        <v>5915</v>
      </c>
    </row>
    <row r="970" spans="3:18" ht="16">
      <c r="C970" s="19" t="s">
        <v>1940</v>
      </c>
      <c r="D970" s="20" t="s">
        <v>3781</v>
      </c>
      <c r="E970" s="21" t="s">
        <v>6237</v>
      </c>
      <c r="F970" s="21" t="s">
        <v>6231</v>
      </c>
      <c r="G970" s="22" t="s">
        <v>7825</v>
      </c>
      <c r="H970" s="22" t="s">
        <v>5835</v>
      </c>
      <c r="I970" s="22">
        <v>1.9</v>
      </c>
      <c r="K970" s="22" t="s">
        <v>5835</v>
      </c>
      <c r="N970" s="25" t="s">
        <v>5835</v>
      </c>
      <c r="O970" s="25" t="s">
        <v>5835</v>
      </c>
      <c r="R970" s="22" t="s">
        <v>6202</v>
      </c>
    </row>
    <row r="971" spans="3:18" ht="16">
      <c r="C971" s="19" t="s">
        <v>1941</v>
      </c>
      <c r="D971" s="20" t="s">
        <v>3782</v>
      </c>
      <c r="E971" s="21" t="s">
        <v>5926</v>
      </c>
      <c r="F971" s="21" t="s">
        <v>5927</v>
      </c>
      <c r="G971" s="22" t="s">
        <v>7827</v>
      </c>
      <c r="H971" s="22" t="s">
        <v>5835</v>
      </c>
      <c r="I971" s="22">
        <v>3.3</v>
      </c>
      <c r="K971" s="22" t="s">
        <v>5835</v>
      </c>
      <c r="N971" s="25" t="s">
        <v>6872</v>
      </c>
      <c r="O971" s="25" t="s">
        <v>5835</v>
      </c>
      <c r="R971" s="22" t="s">
        <v>5940</v>
      </c>
    </row>
    <row r="972" spans="3:18" ht="16">
      <c r="C972" s="19" t="s">
        <v>1942</v>
      </c>
      <c r="D972" s="20" t="s">
        <v>3783</v>
      </c>
      <c r="E972" s="21" t="s">
        <v>5968</v>
      </c>
      <c r="F972" s="21" t="s">
        <v>5969</v>
      </c>
      <c r="G972" s="22" t="s">
        <v>7827</v>
      </c>
      <c r="H972" s="22" t="s">
        <v>5835</v>
      </c>
      <c r="I972" s="22">
        <v>1</v>
      </c>
      <c r="K972" s="22" t="s">
        <v>5835</v>
      </c>
      <c r="N972" s="25" t="s">
        <v>5835</v>
      </c>
      <c r="O972" s="25" t="s">
        <v>5835</v>
      </c>
      <c r="R972" s="22" t="s">
        <v>5940</v>
      </c>
    </row>
    <row r="973" spans="3:18" ht="16">
      <c r="C973" s="19" t="s">
        <v>1943</v>
      </c>
      <c r="D973" s="20" t="s">
        <v>3784</v>
      </c>
      <c r="E973" s="21" t="s">
        <v>6054</v>
      </c>
      <c r="F973" s="21" t="s">
        <v>6055</v>
      </c>
      <c r="G973" s="22" t="s">
        <v>7827</v>
      </c>
      <c r="H973" s="22" t="s">
        <v>5835</v>
      </c>
      <c r="I973" s="22">
        <v>1.2</v>
      </c>
      <c r="K973" s="22" t="s">
        <v>5835</v>
      </c>
      <c r="N973" s="25" t="s">
        <v>5835</v>
      </c>
      <c r="O973" s="25" t="s">
        <v>5835</v>
      </c>
      <c r="R973" s="22" t="s">
        <v>5940</v>
      </c>
    </row>
    <row r="974" spans="3:18" ht="16">
      <c r="C974" s="19" t="s">
        <v>1944</v>
      </c>
      <c r="D974" s="20" t="s">
        <v>3785</v>
      </c>
      <c r="E974" s="21" t="s">
        <v>6199</v>
      </c>
      <c r="F974" s="21" t="s">
        <v>6200</v>
      </c>
      <c r="G974" s="22" t="s">
        <v>7825</v>
      </c>
      <c r="H974" s="22" t="s">
        <v>5835</v>
      </c>
      <c r="I974" s="22">
        <v>1.7</v>
      </c>
      <c r="K974" s="22" t="s">
        <v>5835</v>
      </c>
      <c r="N974" s="25" t="s">
        <v>5835</v>
      </c>
      <c r="O974" s="25" t="s">
        <v>5835</v>
      </c>
      <c r="R974" s="22" t="s">
        <v>6202</v>
      </c>
    </row>
    <row r="975" spans="3:18" ht="16">
      <c r="C975" s="19" t="s">
        <v>1945</v>
      </c>
      <c r="D975" s="20" t="s">
        <v>3786</v>
      </c>
      <c r="E975" s="21" t="s">
        <v>6226</v>
      </c>
      <c r="F975" s="21" t="s">
        <v>5913</v>
      </c>
      <c r="G975" s="22" t="s">
        <v>7825</v>
      </c>
      <c r="H975" s="22" t="s">
        <v>5835</v>
      </c>
      <c r="I975" s="22">
        <v>4</v>
      </c>
      <c r="K975" s="22" t="s">
        <v>5835</v>
      </c>
      <c r="N975" s="25" t="s">
        <v>5835</v>
      </c>
      <c r="O975" s="25" t="s">
        <v>5835</v>
      </c>
      <c r="R975" s="22" t="s">
        <v>6202</v>
      </c>
    </row>
    <row r="976" spans="3:18" ht="16">
      <c r="C976" s="19" t="s">
        <v>1946</v>
      </c>
      <c r="D976" s="20" t="s">
        <v>3787</v>
      </c>
      <c r="E976" s="21" t="s">
        <v>6243</v>
      </c>
      <c r="F976" s="21" t="s">
        <v>17</v>
      </c>
      <c r="G976" s="22" t="s">
        <v>5873</v>
      </c>
      <c r="H976" s="22" t="s">
        <v>5835</v>
      </c>
      <c r="I976" s="22">
        <v>9.9</v>
      </c>
      <c r="K976" s="22" t="s">
        <v>5835</v>
      </c>
      <c r="N976" s="25" t="s">
        <v>6873</v>
      </c>
      <c r="O976" s="25" t="s">
        <v>5835</v>
      </c>
      <c r="R976" s="22" t="s">
        <v>5873</v>
      </c>
    </row>
    <row r="977" spans="3:18" ht="16">
      <c r="C977" s="19" t="s">
        <v>1947</v>
      </c>
      <c r="D977" s="20" t="s">
        <v>3788</v>
      </c>
      <c r="E977" s="21" t="s">
        <v>5968</v>
      </c>
      <c r="F977" s="21" t="s">
        <v>5969</v>
      </c>
      <c r="G977" s="22" t="s">
        <v>5846</v>
      </c>
      <c r="H977" s="22" t="s">
        <v>5835</v>
      </c>
      <c r="I977" s="22">
        <v>218.1</v>
      </c>
      <c r="K977" s="22" t="s">
        <v>5835</v>
      </c>
      <c r="N977" s="25" t="s">
        <v>6874</v>
      </c>
      <c r="O977" s="25" t="s">
        <v>5835</v>
      </c>
      <c r="R977" s="22" t="s">
        <v>5846</v>
      </c>
    </row>
    <row r="978" spans="3:18" ht="16">
      <c r="C978" s="19" t="s">
        <v>1948</v>
      </c>
      <c r="D978" s="20" t="s">
        <v>3789</v>
      </c>
      <c r="E978" s="21" t="s">
        <v>5968</v>
      </c>
      <c r="F978" s="21" t="s">
        <v>5969</v>
      </c>
      <c r="G978" s="22" t="s">
        <v>5964</v>
      </c>
      <c r="H978" s="22" t="s">
        <v>5835</v>
      </c>
      <c r="I978" s="22">
        <v>16.899999999999999</v>
      </c>
      <c r="K978" s="22" t="s">
        <v>5835</v>
      </c>
      <c r="N978" s="25" t="s">
        <v>6875</v>
      </c>
      <c r="O978" s="25" t="s">
        <v>5835</v>
      </c>
      <c r="R978" s="22" t="s">
        <v>5964</v>
      </c>
    </row>
    <row r="979" spans="3:18" ht="16">
      <c r="C979" s="19" t="s">
        <v>1949</v>
      </c>
      <c r="D979" s="20" t="s">
        <v>3790</v>
      </c>
      <c r="E979" s="21" t="s">
        <v>5968</v>
      </c>
      <c r="F979" s="21" t="s">
        <v>6680</v>
      </c>
      <c r="G979" s="22" t="s">
        <v>5846</v>
      </c>
      <c r="H979" s="22" t="s">
        <v>7828</v>
      </c>
      <c r="I979" s="22">
        <v>833.9</v>
      </c>
      <c r="K979" s="22" t="s">
        <v>5835</v>
      </c>
      <c r="N979" s="25" t="s">
        <v>6876</v>
      </c>
      <c r="O979" s="25" t="s">
        <v>5835</v>
      </c>
      <c r="R979" s="22" t="s">
        <v>5846</v>
      </c>
    </row>
    <row r="980" spans="3:18" ht="16">
      <c r="C980" s="19" t="s">
        <v>1950</v>
      </c>
      <c r="D980" s="20" t="s">
        <v>3791</v>
      </c>
      <c r="E980" s="21" t="s">
        <v>5968</v>
      </c>
      <c r="F980" s="21" t="s">
        <v>5969</v>
      </c>
      <c r="G980" s="22" t="s">
        <v>7827</v>
      </c>
      <c r="H980" s="22" t="s">
        <v>5835</v>
      </c>
      <c r="I980" s="22">
        <v>66.5</v>
      </c>
      <c r="K980" s="22" t="s">
        <v>5835</v>
      </c>
      <c r="N980" s="25" t="s">
        <v>6877</v>
      </c>
      <c r="O980" s="25" t="s">
        <v>5835</v>
      </c>
      <c r="R980" s="22" t="s">
        <v>5940</v>
      </c>
    </row>
    <row r="981" spans="3:18" ht="16">
      <c r="C981" s="19" t="s">
        <v>1951</v>
      </c>
      <c r="D981" s="20" t="s">
        <v>3792</v>
      </c>
      <c r="E981" s="21" t="s">
        <v>5923</v>
      </c>
      <c r="F981" s="21" t="s">
        <v>5831</v>
      </c>
      <c r="G981" s="22" t="s">
        <v>5840</v>
      </c>
      <c r="H981" s="22" t="s">
        <v>5835</v>
      </c>
      <c r="I981" s="22">
        <v>65</v>
      </c>
      <c r="K981" s="22" t="s">
        <v>5835</v>
      </c>
      <c r="N981" s="25" t="s">
        <v>6878</v>
      </c>
      <c r="O981" s="25" t="s">
        <v>5835</v>
      </c>
      <c r="R981" s="22" t="s">
        <v>5840</v>
      </c>
    </row>
    <row r="982" spans="3:18" ht="16">
      <c r="C982" s="19" t="s">
        <v>1952</v>
      </c>
      <c r="D982" s="20" t="s">
        <v>3793</v>
      </c>
      <c r="E982" s="21" t="s">
        <v>5968</v>
      </c>
      <c r="F982" s="21" t="s">
        <v>5969</v>
      </c>
      <c r="G982" s="22" t="s">
        <v>7827</v>
      </c>
      <c r="H982" s="22" t="s">
        <v>7828</v>
      </c>
      <c r="I982" s="22">
        <v>311.89999999999998</v>
      </c>
      <c r="K982" s="22" t="s">
        <v>5835</v>
      </c>
      <c r="N982" s="25" t="s">
        <v>6879</v>
      </c>
      <c r="O982" s="25" t="s">
        <v>5835</v>
      </c>
      <c r="R982" s="22" t="s">
        <v>5940</v>
      </c>
    </row>
    <row r="983" spans="3:18" ht="16">
      <c r="C983" s="19" t="s">
        <v>1953</v>
      </c>
      <c r="D983" s="20" t="s">
        <v>3794</v>
      </c>
      <c r="E983" s="21" t="s">
        <v>5968</v>
      </c>
      <c r="F983" s="21" t="s">
        <v>5969</v>
      </c>
      <c r="G983" s="22" t="s">
        <v>5972</v>
      </c>
      <c r="H983" s="22" t="s">
        <v>5835</v>
      </c>
      <c r="I983" s="22">
        <v>160.1</v>
      </c>
      <c r="K983" s="22" t="s">
        <v>5835</v>
      </c>
      <c r="N983" s="25" t="s">
        <v>6880</v>
      </c>
      <c r="O983" s="25" t="s">
        <v>5835</v>
      </c>
      <c r="R983" s="22" t="s">
        <v>5972</v>
      </c>
    </row>
    <row r="984" spans="3:18" ht="16">
      <c r="C984" s="19" t="s">
        <v>1954</v>
      </c>
      <c r="D984" s="20" t="s">
        <v>3795</v>
      </c>
      <c r="E984" s="21" t="s">
        <v>5968</v>
      </c>
      <c r="F984" s="21" t="s">
        <v>6680</v>
      </c>
      <c r="G984" s="22" t="s">
        <v>5846</v>
      </c>
      <c r="H984" s="22" t="s">
        <v>7828</v>
      </c>
      <c r="I984" s="22">
        <v>1165.3</v>
      </c>
      <c r="K984" s="22" t="s">
        <v>5835</v>
      </c>
      <c r="N984" s="25" t="s">
        <v>6881</v>
      </c>
      <c r="O984" s="25" t="s">
        <v>5835</v>
      </c>
      <c r="R984" s="22" t="s">
        <v>5846</v>
      </c>
    </row>
    <row r="985" spans="3:18" ht="16">
      <c r="C985" s="19" t="s">
        <v>1955</v>
      </c>
      <c r="D985" s="20" t="s">
        <v>3796</v>
      </c>
      <c r="E985" s="21" t="s">
        <v>5968</v>
      </c>
      <c r="F985" s="21" t="s">
        <v>5969</v>
      </c>
      <c r="G985" s="22" t="s">
        <v>5879</v>
      </c>
      <c r="H985" s="22" t="s">
        <v>5835</v>
      </c>
      <c r="I985" s="22">
        <v>189</v>
      </c>
      <c r="K985" s="22" t="s">
        <v>5835</v>
      </c>
      <c r="N985" s="25" t="s">
        <v>6882</v>
      </c>
      <c r="O985" s="25" t="s">
        <v>5835</v>
      </c>
      <c r="R985" s="22" t="s">
        <v>5879</v>
      </c>
    </row>
    <row r="986" spans="3:18" ht="16">
      <c r="C986" s="19" t="s">
        <v>1956</v>
      </c>
      <c r="D986" s="20" t="s">
        <v>3797</v>
      </c>
      <c r="E986" s="21" t="s">
        <v>6250</v>
      </c>
      <c r="F986" s="21" t="s">
        <v>6200</v>
      </c>
      <c r="G986" s="22" t="s">
        <v>7825</v>
      </c>
      <c r="H986" s="22" t="s">
        <v>5835</v>
      </c>
      <c r="I986" s="22">
        <v>6.5</v>
      </c>
      <c r="K986" s="22" t="s">
        <v>5835</v>
      </c>
      <c r="N986" s="25" t="s">
        <v>6883</v>
      </c>
      <c r="O986" s="25" t="s">
        <v>5835</v>
      </c>
      <c r="R986" s="22" t="s">
        <v>6202</v>
      </c>
    </row>
    <row r="987" spans="3:18" ht="16">
      <c r="C987" s="19" t="s">
        <v>1957</v>
      </c>
      <c r="D987" s="20" t="s">
        <v>3798</v>
      </c>
      <c r="E987" s="21" t="s">
        <v>6679</v>
      </c>
      <c r="F987" s="21" t="s">
        <v>6680</v>
      </c>
      <c r="G987" s="22" t="s">
        <v>5859</v>
      </c>
      <c r="H987" s="22" t="s">
        <v>7828</v>
      </c>
      <c r="I987" s="22">
        <v>303.5</v>
      </c>
      <c r="K987" s="22" t="s">
        <v>5835</v>
      </c>
      <c r="N987" s="25" t="s">
        <v>6884</v>
      </c>
      <c r="O987" s="25" t="s">
        <v>5835</v>
      </c>
      <c r="R987" s="22" t="s">
        <v>5859</v>
      </c>
    </row>
    <row r="988" spans="3:18" ht="16">
      <c r="C988" s="19" t="s">
        <v>1958</v>
      </c>
      <c r="D988" s="20" t="s">
        <v>3799</v>
      </c>
      <c r="E988" s="21" t="s">
        <v>5968</v>
      </c>
      <c r="F988" s="21" t="s">
        <v>5969</v>
      </c>
      <c r="G988" s="22" t="s">
        <v>5906</v>
      </c>
      <c r="H988" s="22" t="s">
        <v>7828</v>
      </c>
      <c r="I988" s="22">
        <v>503.1</v>
      </c>
      <c r="K988" s="22" t="s">
        <v>5835</v>
      </c>
      <c r="N988" s="25" t="s">
        <v>6885</v>
      </c>
      <c r="O988" s="25" t="s">
        <v>5835</v>
      </c>
      <c r="R988" s="22" t="s">
        <v>5906</v>
      </c>
    </row>
    <row r="989" spans="3:18" ht="16">
      <c r="C989" s="19" t="s">
        <v>1959</v>
      </c>
      <c r="D989" s="20" t="s">
        <v>3800</v>
      </c>
      <c r="E989" s="21" t="s">
        <v>5968</v>
      </c>
      <c r="F989" s="21" t="s">
        <v>5969</v>
      </c>
      <c r="G989" s="22" t="s">
        <v>5972</v>
      </c>
      <c r="H989" s="22" t="s">
        <v>5835</v>
      </c>
      <c r="I989" s="22">
        <v>72.8</v>
      </c>
      <c r="K989" s="22" t="s">
        <v>5835</v>
      </c>
      <c r="N989" s="25" t="s">
        <v>6886</v>
      </c>
      <c r="O989" s="25" t="s">
        <v>5835</v>
      </c>
      <c r="R989" s="22" t="s">
        <v>5972</v>
      </c>
    </row>
    <row r="990" spans="3:18" ht="16">
      <c r="C990" s="19" t="s">
        <v>1960</v>
      </c>
      <c r="D990" s="20" t="s">
        <v>3801</v>
      </c>
      <c r="E990" s="21" t="s">
        <v>5968</v>
      </c>
      <c r="F990" s="21" t="s">
        <v>5969</v>
      </c>
      <c r="G990" s="22" t="s">
        <v>7827</v>
      </c>
      <c r="H990" s="22" t="s">
        <v>5835</v>
      </c>
      <c r="I990" s="22">
        <v>34.6</v>
      </c>
      <c r="K990" s="22" t="s">
        <v>5835</v>
      </c>
      <c r="N990" s="25" t="s">
        <v>6887</v>
      </c>
      <c r="O990" s="25" t="s">
        <v>5835</v>
      </c>
      <c r="R990" s="22" t="s">
        <v>5940</v>
      </c>
    </row>
    <row r="991" spans="3:18" ht="16">
      <c r="C991" s="19" t="s">
        <v>1961</v>
      </c>
      <c r="D991" s="20" t="s">
        <v>3802</v>
      </c>
      <c r="E991" s="21" t="s">
        <v>6679</v>
      </c>
      <c r="F991" s="21" t="s">
        <v>6680</v>
      </c>
      <c r="G991" s="22" t="s">
        <v>5859</v>
      </c>
      <c r="H991" s="22" t="s">
        <v>7828</v>
      </c>
      <c r="I991" s="22">
        <v>425.4</v>
      </c>
      <c r="K991" s="22" t="s">
        <v>5835</v>
      </c>
      <c r="N991" s="25" t="s">
        <v>6884</v>
      </c>
      <c r="O991" s="25" t="s">
        <v>5835</v>
      </c>
      <c r="R991" s="22" t="s">
        <v>5859</v>
      </c>
    </row>
    <row r="992" spans="3:18" ht="16">
      <c r="C992" s="19" t="s">
        <v>1962</v>
      </c>
      <c r="D992" s="20" t="s">
        <v>3803</v>
      </c>
      <c r="E992" s="21" t="s">
        <v>5968</v>
      </c>
      <c r="F992" s="21" t="s">
        <v>5969</v>
      </c>
      <c r="G992" s="22" t="s">
        <v>5879</v>
      </c>
      <c r="H992" s="22" t="s">
        <v>5835</v>
      </c>
      <c r="I992" s="22">
        <v>86.9</v>
      </c>
      <c r="K992" s="22" t="s">
        <v>5835</v>
      </c>
      <c r="N992" s="25" t="s">
        <v>6888</v>
      </c>
      <c r="O992" s="25" t="s">
        <v>5835</v>
      </c>
      <c r="R992" s="22" t="s">
        <v>5879</v>
      </c>
    </row>
    <row r="993" spans="3:18" ht="16">
      <c r="C993" s="19" t="s">
        <v>1963</v>
      </c>
      <c r="D993" s="20" t="s">
        <v>3804</v>
      </c>
      <c r="E993" s="21" t="s">
        <v>5968</v>
      </c>
      <c r="F993" s="21" t="s">
        <v>5969</v>
      </c>
      <c r="G993" s="22" t="s">
        <v>7827</v>
      </c>
      <c r="H993" s="22" t="s">
        <v>5835</v>
      </c>
      <c r="I993" s="22">
        <v>161.4</v>
      </c>
      <c r="K993" s="22" t="s">
        <v>5835</v>
      </c>
      <c r="N993" s="25" t="s">
        <v>6889</v>
      </c>
      <c r="O993" s="25" t="s">
        <v>5835</v>
      </c>
      <c r="R993" s="22" t="s">
        <v>5940</v>
      </c>
    </row>
    <row r="994" spans="3:18" ht="16">
      <c r="C994" s="19" t="s">
        <v>1964</v>
      </c>
      <c r="D994" s="20" t="s">
        <v>3805</v>
      </c>
      <c r="E994" s="21" t="s">
        <v>5968</v>
      </c>
      <c r="F994" s="21" t="s">
        <v>5969</v>
      </c>
      <c r="G994" s="22" t="s">
        <v>5972</v>
      </c>
      <c r="H994" s="22" t="s">
        <v>5835</v>
      </c>
      <c r="I994" s="22">
        <v>93.2</v>
      </c>
      <c r="K994" s="22" t="s">
        <v>5835</v>
      </c>
      <c r="N994" s="25" t="s">
        <v>6890</v>
      </c>
      <c r="O994" s="25" t="s">
        <v>5835</v>
      </c>
      <c r="R994" s="22" t="s">
        <v>5972</v>
      </c>
    </row>
    <row r="995" spans="3:18" ht="16">
      <c r="C995" s="19" t="s">
        <v>1965</v>
      </c>
      <c r="D995" s="20" t="s">
        <v>3806</v>
      </c>
      <c r="E995" s="21" t="s">
        <v>6054</v>
      </c>
      <c r="F995" s="21" t="s">
        <v>6055</v>
      </c>
      <c r="G995" s="22" t="s">
        <v>5865</v>
      </c>
      <c r="H995" s="22" t="s">
        <v>5835</v>
      </c>
      <c r="I995" s="22">
        <v>115.1</v>
      </c>
      <c r="K995" s="22" t="s">
        <v>5835</v>
      </c>
      <c r="N995" s="25" t="s">
        <v>6891</v>
      </c>
      <c r="O995" s="25" t="s">
        <v>5835</v>
      </c>
      <c r="R995" s="22" t="s">
        <v>5865</v>
      </c>
    </row>
    <row r="996" spans="3:18" ht="16">
      <c r="C996" s="19" t="s">
        <v>1966</v>
      </c>
      <c r="D996" s="20" t="s">
        <v>3807</v>
      </c>
      <c r="E996" s="21" t="s">
        <v>5968</v>
      </c>
      <c r="F996" s="21" t="s">
        <v>5969</v>
      </c>
      <c r="G996" s="22" t="s">
        <v>5952</v>
      </c>
      <c r="H996" s="22" t="s">
        <v>5835</v>
      </c>
      <c r="I996" s="22">
        <v>11.5</v>
      </c>
      <c r="K996" s="22" t="s">
        <v>5835</v>
      </c>
      <c r="N996" s="25" t="s">
        <v>6892</v>
      </c>
      <c r="O996" s="25" t="s">
        <v>5835</v>
      </c>
      <c r="R996" s="22" t="s">
        <v>5952</v>
      </c>
    </row>
    <row r="997" spans="3:18" ht="16">
      <c r="C997" s="19" t="s">
        <v>1967</v>
      </c>
      <c r="D997" s="20" t="s">
        <v>3808</v>
      </c>
      <c r="E997" s="21" t="s">
        <v>5968</v>
      </c>
      <c r="F997" s="21" t="s">
        <v>5969</v>
      </c>
      <c r="G997" s="22" t="s">
        <v>7827</v>
      </c>
      <c r="H997" s="22" t="s">
        <v>5835</v>
      </c>
      <c r="I997" s="22">
        <v>14.8</v>
      </c>
      <c r="K997" s="22" t="s">
        <v>5835</v>
      </c>
      <c r="N997" s="25" t="s">
        <v>6893</v>
      </c>
      <c r="O997" s="25" t="s">
        <v>5835</v>
      </c>
      <c r="R997" s="22" t="s">
        <v>5940</v>
      </c>
    </row>
    <row r="998" spans="3:18" ht="16">
      <c r="C998" s="19" t="s">
        <v>1968</v>
      </c>
      <c r="D998" s="20" t="s">
        <v>3809</v>
      </c>
      <c r="E998" s="21" t="s">
        <v>5968</v>
      </c>
      <c r="F998" s="21" t="s">
        <v>5969</v>
      </c>
      <c r="G998" s="22" t="s">
        <v>5869</v>
      </c>
      <c r="H998" s="22" t="s">
        <v>5835</v>
      </c>
      <c r="I998" s="22">
        <v>188.1</v>
      </c>
      <c r="K998" s="22" t="s">
        <v>5835</v>
      </c>
      <c r="N998" s="25" t="s">
        <v>6894</v>
      </c>
      <c r="O998" s="25" t="s">
        <v>5835</v>
      </c>
      <c r="R998" s="22" t="s">
        <v>5869</v>
      </c>
    </row>
    <row r="999" spans="3:18" ht="16">
      <c r="C999" s="19" t="s">
        <v>1969</v>
      </c>
      <c r="D999" s="20" t="s">
        <v>3810</v>
      </c>
      <c r="E999" s="21" t="s">
        <v>5968</v>
      </c>
      <c r="F999" s="21" t="s">
        <v>5969</v>
      </c>
      <c r="G999" s="22" t="s">
        <v>5972</v>
      </c>
      <c r="H999" s="22" t="s">
        <v>5835</v>
      </c>
      <c r="I999" s="22">
        <v>41.8</v>
      </c>
      <c r="K999" s="22" t="s">
        <v>5835</v>
      </c>
      <c r="N999" s="25" t="s">
        <v>6895</v>
      </c>
      <c r="O999" s="25" t="s">
        <v>5835</v>
      </c>
      <c r="R999" s="22" t="s">
        <v>5972</v>
      </c>
    </row>
    <row r="1000" spans="3:18" ht="16">
      <c r="C1000" s="19" t="s">
        <v>1970</v>
      </c>
      <c r="D1000" s="20" t="s">
        <v>3811</v>
      </c>
      <c r="E1000" s="21" t="s">
        <v>5968</v>
      </c>
      <c r="F1000" s="21" t="s">
        <v>5969</v>
      </c>
      <c r="G1000" s="22" t="s">
        <v>5869</v>
      </c>
      <c r="H1000" s="22" t="s">
        <v>7828</v>
      </c>
      <c r="I1000" s="22">
        <v>217.8</v>
      </c>
      <c r="K1000" s="22" t="s">
        <v>5835</v>
      </c>
      <c r="N1000" s="25" t="s">
        <v>6896</v>
      </c>
      <c r="O1000" s="25" t="s">
        <v>5835</v>
      </c>
      <c r="R1000" s="22" t="s">
        <v>5869</v>
      </c>
    </row>
    <row r="1001" spans="3:18" ht="16">
      <c r="C1001" s="19" t="s">
        <v>1971</v>
      </c>
      <c r="D1001" s="20" t="s">
        <v>3812</v>
      </c>
      <c r="E1001" s="21" t="s">
        <v>5968</v>
      </c>
      <c r="F1001" s="21" t="s">
        <v>5969</v>
      </c>
      <c r="G1001" s="22" t="s">
        <v>5879</v>
      </c>
      <c r="H1001" s="22" t="s">
        <v>5835</v>
      </c>
      <c r="I1001" s="22">
        <v>40</v>
      </c>
      <c r="K1001" s="22" t="s">
        <v>5835</v>
      </c>
      <c r="N1001" s="25" t="s">
        <v>6897</v>
      </c>
      <c r="O1001" s="25" t="s">
        <v>5835</v>
      </c>
      <c r="R1001" s="22" t="s">
        <v>5879</v>
      </c>
    </row>
    <row r="1002" spans="3:18" ht="16">
      <c r="C1002" s="19" t="s">
        <v>1972</v>
      </c>
      <c r="D1002" s="20" t="s">
        <v>3813</v>
      </c>
      <c r="E1002" s="21" t="s">
        <v>5968</v>
      </c>
      <c r="F1002" s="21" t="s">
        <v>5969</v>
      </c>
      <c r="G1002" s="22" t="s">
        <v>5879</v>
      </c>
      <c r="H1002" s="22" t="s">
        <v>5835</v>
      </c>
      <c r="I1002" s="22">
        <v>36.4</v>
      </c>
      <c r="K1002" s="22" t="s">
        <v>5835</v>
      </c>
      <c r="N1002" s="25" t="s">
        <v>6898</v>
      </c>
      <c r="O1002" s="25" t="s">
        <v>5835</v>
      </c>
      <c r="R1002" s="22" t="s">
        <v>5879</v>
      </c>
    </row>
    <row r="1003" spans="3:18" ht="16">
      <c r="C1003" s="19" t="s">
        <v>1973</v>
      </c>
      <c r="D1003" s="20" t="s">
        <v>3814</v>
      </c>
      <c r="E1003" s="21" t="s">
        <v>5968</v>
      </c>
      <c r="F1003" s="21" t="s">
        <v>5969</v>
      </c>
      <c r="G1003" s="22" t="s">
        <v>5972</v>
      </c>
      <c r="H1003" s="22" t="s">
        <v>5835</v>
      </c>
      <c r="I1003" s="22">
        <v>204.2</v>
      </c>
      <c r="K1003" s="22" t="s">
        <v>5835</v>
      </c>
      <c r="N1003" s="25" t="s">
        <v>6899</v>
      </c>
      <c r="O1003" s="25" t="s">
        <v>5835</v>
      </c>
      <c r="R1003" s="22" t="s">
        <v>5972</v>
      </c>
    </row>
    <row r="1004" spans="3:18" ht="16">
      <c r="C1004" s="19" t="s">
        <v>1974</v>
      </c>
      <c r="D1004" s="20" t="s">
        <v>3815</v>
      </c>
      <c r="E1004" s="21" t="s">
        <v>5968</v>
      </c>
      <c r="F1004" s="21" t="s">
        <v>6680</v>
      </c>
      <c r="G1004" s="22" t="s">
        <v>5846</v>
      </c>
      <c r="H1004" s="22" t="s">
        <v>5835</v>
      </c>
      <c r="I1004" s="22">
        <v>163</v>
      </c>
      <c r="K1004" s="22" t="s">
        <v>5835</v>
      </c>
      <c r="N1004" s="25" t="s">
        <v>6900</v>
      </c>
      <c r="O1004" s="25" t="s">
        <v>5835</v>
      </c>
      <c r="R1004" s="22" t="s">
        <v>5846</v>
      </c>
    </row>
    <row r="1005" spans="3:18" ht="16">
      <c r="C1005" s="19" t="s">
        <v>1975</v>
      </c>
      <c r="D1005" s="20" t="s">
        <v>3816</v>
      </c>
      <c r="E1005" s="21" t="s">
        <v>5968</v>
      </c>
      <c r="F1005" s="21" t="s">
        <v>5969</v>
      </c>
      <c r="G1005" s="22" t="s">
        <v>7827</v>
      </c>
      <c r="H1005" s="22" t="s">
        <v>7828</v>
      </c>
      <c r="I1005" s="22">
        <v>446.7</v>
      </c>
      <c r="K1005" s="22" t="s">
        <v>5835</v>
      </c>
      <c r="N1005" s="25" t="s">
        <v>6901</v>
      </c>
      <c r="O1005" s="25" t="s">
        <v>5835</v>
      </c>
      <c r="R1005" s="22" t="s">
        <v>5940</v>
      </c>
    </row>
    <row r="1006" spans="3:18" ht="16">
      <c r="C1006" s="19" t="s">
        <v>1976</v>
      </c>
      <c r="D1006" s="20" t="s">
        <v>3817</v>
      </c>
      <c r="E1006" s="21" t="s">
        <v>5968</v>
      </c>
      <c r="F1006" s="21" t="s">
        <v>5969</v>
      </c>
      <c r="G1006" s="22" t="s">
        <v>5840</v>
      </c>
      <c r="H1006" s="22" t="s">
        <v>5835</v>
      </c>
      <c r="I1006" s="22">
        <v>188.6</v>
      </c>
      <c r="K1006" s="22" t="s">
        <v>5835</v>
      </c>
      <c r="N1006" s="25" t="s">
        <v>6902</v>
      </c>
      <c r="O1006" s="25" t="s">
        <v>5835</v>
      </c>
      <c r="R1006" s="22" t="s">
        <v>5840</v>
      </c>
    </row>
    <row r="1007" spans="3:18" ht="16">
      <c r="C1007" s="19" t="s">
        <v>1977</v>
      </c>
      <c r="D1007" s="20" t="s">
        <v>3818</v>
      </c>
      <c r="E1007" s="21" t="s">
        <v>5968</v>
      </c>
      <c r="F1007" s="21" t="s">
        <v>5969</v>
      </c>
      <c r="G1007" s="22" t="s">
        <v>5974</v>
      </c>
      <c r="H1007" s="22" t="s">
        <v>7828</v>
      </c>
      <c r="I1007" s="22">
        <v>647.6</v>
      </c>
      <c r="K1007" s="22" t="s">
        <v>5835</v>
      </c>
      <c r="N1007" s="25" t="s">
        <v>6787</v>
      </c>
      <c r="O1007" s="25" t="s">
        <v>5835</v>
      </c>
      <c r="R1007" s="22" t="s">
        <v>5974</v>
      </c>
    </row>
    <row r="1008" spans="3:18" ht="16">
      <c r="C1008" s="19" t="s">
        <v>1978</v>
      </c>
      <c r="D1008" s="20" t="s">
        <v>3819</v>
      </c>
      <c r="E1008" s="21" t="s">
        <v>5926</v>
      </c>
      <c r="F1008" s="21" t="s">
        <v>5927</v>
      </c>
      <c r="G1008" s="22" t="s">
        <v>5843</v>
      </c>
      <c r="H1008" s="22" t="s">
        <v>5835</v>
      </c>
      <c r="I1008" s="22">
        <v>96.1</v>
      </c>
      <c r="K1008" s="22" t="s">
        <v>5835</v>
      </c>
      <c r="N1008" s="25" t="s">
        <v>6903</v>
      </c>
      <c r="O1008" s="25" t="s">
        <v>5835</v>
      </c>
      <c r="R1008" s="22" t="s">
        <v>5843</v>
      </c>
    </row>
    <row r="1009" spans="3:18" ht="16">
      <c r="C1009" s="19" t="s">
        <v>1979</v>
      </c>
      <c r="D1009" s="20" t="s">
        <v>3820</v>
      </c>
      <c r="E1009" s="21" t="s">
        <v>6413</v>
      </c>
      <c r="F1009" s="21" t="s">
        <v>5852</v>
      </c>
      <c r="G1009" s="22" t="s">
        <v>5849</v>
      </c>
      <c r="H1009" s="22" t="s">
        <v>5835</v>
      </c>
      <c r="I1009" s="22">
        <v>90.9</v>
      </c>
      <c r="K1009" s="22" t="s">
        <v>5835</v>
      </c>
      <c r="N1009" s="25" t="s">
        <v>6904</v>
      </c>
      <c r="O1009" s="25" t="s">
        <v>5835</v>
      </c>
      <c r="R1009" s="22" t="s">
        <v>5849</v>
      </c>
    </row>
    <row r="1010" spans="3:18" ht="16">
      <c r="C1010" s="19" t="s">
        <v>1980</v>
      </c>
      <c r="D1010" s="20" t="s">
        <v>3821</v>
      </c>
      <c r="E1010" s="21" t="s">
        <v>5968</v>
      </c>
      <c r="F1010" s="21" t="s">
        <v>5969</v>
      </c>
      <c r="G1010" s="22" t="s">
        <v>7827</v>
      </c>
      <c r="H1010" s="22" t="s">
        <v>5835</v>
      </c>
      <c r="I1010" s="22">
        <v>18.100000000000001</v>
      </c>
      <c r="K1010" s="22" t="s">
        <v>5835</v>
      </c>
      <c r="N1010" s="25" t="s">
        <v>6905</v>
      </c>
      <c r="O1010" s="25" t="s">
        <v>5835</v>
      </c>
      <c r="R1010" s="22" t="s">
        <v>5940</v>
      </c>
    </row>
    <row r="1011" spans="3:18" ht="16">
      <c r="C1011" s="19" t="s">
        <v>1981</v>
      </c>
      <c r="D1011" s="20" t="s">
        <v>3822</v>
      </c>
      <c r="E1011" s="21" t="s">
        <v>5968</v>
      </c>
      <c r="F1011" s="21" t="s">
        <v>5969</v>
      </c>
      <c r="G1011" s="22" t="s">
        <v>5840</v>
      </c>
      <c r="H1011" s="22" t="s">
        <v>7828</v>
      </c>
      <c r="I1011" s="22">
        <v>840.5</v>
      </c>
      <c r="K1011" s="22" t="s">
        <v>5835</v>
      </c>
      <c r="N1011" s="25">
        <v>0</v>
      </c>
      <c r="O1011" s="25" t="s">
        <v>5835</v>
      </c>
      <c r="R1011" s="22" t="s">
        <v>5840</v>
      </c>
    </row>
    <row r="1012" spans="3:18" ht="16">
      <c r="C1012" s="19" t="s">
        <v>1982</v>
      </c>
      <c r="D1012" s="20" t="s">
        <v>3823</v>
      </c>
      <c r="E1012" s="21" t="s">
        <v>5923</v>
      </c>
      <c r="F1012" s="21" t="s">
        <v>5831</v>
      </c>
      <c r="G1012" s="22" t="s">
        <v>5840</v>
      </c>
      <c r="H1012" s="22" t="s">
        <v>5835</v>
      </c>
      <c r="I1012" s="22">
        <v>65.3</v>
      </c>
      <c r="K1012" s="22" t="s">
        <v>5835</v>
      </c>
      <c r="N1012" s="25" t="s">
        <v>6906</v>
      </c>
      <c r="O1012" s="25" t="s">
        <v>5835</v>
      </c>
      <c r="R1012" s="22" t="s">
        <v>5840</v>
      </c>
    </row>
    <row r="1013" spans="3:18" ht="16">
      <c r="C1013" s="19" t="s">
        <v>1986</v>
      </c>
      <c r="D1013" s="20" t="s">
        <v>3827</v>
      </c>
      <c r="E1013" s="21" t="s">
        <v>5968</v>
      </c>
      <c r="F1013" s="21" t="s">
        <v>5969</v>
      </c>
      <c r="G1013" s="22" t="s">
        <v>5869</v>
      </c>
      <c r="H1013" s="22" t="s">
        <v>5835</v>
      </c>
      <c r="I1013" s="22">
        <v>29.2</v>
      </c>
      <c r="K1013" s="22" t="s">
        <v>5835</v>
      </c>
      <c r="N1013" s="25" t="s">
        <v>6907</v>
      </c>
      <c r="O1013" s="25" t="s">
        <v>5835</v>
      </c>
      <c r="R1013" s="22" t="s">
        <v>5869</v>
      </c>
    </row>
    <row r="1014" spans="3:18" ht="16">
      <c r="C1014" s="19" t="s">
        <v>1987</v>
      </c>
      <c r="D1014" s="20" t="s">
        <v>3828</v>
      </c>
      <c r="E1014" s="21" t="s">
        <v>6054</v>
      </c>
      <c r="F1014" s="21" t="s">
        <v>6055</v>
      </c>
      <c r="G1014" s="22" t="s">
        <v>5875</v>
      </c>
      <c r="H1014" s="22" t="s">
        <v>7828</v>
      </c>
      <c r="I1014" s="22">
        <v>522.79999999999995</v>
      </c>
      <c r="K1014" s="22" t="s">
        <v>5835</v>
      </c>
      <c r="N1014" s="25" t="s">
        <v>6908</v>
      </c>
      <c r="O1014" s="25" t="s">
        <v>5835</v>
      </c>
      <c r="R1014" s="22" t="s">
        <v>5875</v>
      </c>
    </row>
    <row r="1015" spans="3:18" ht="16">
      <c r="C1015" s="19" t="s">
        <v>60</v>
      </c>
      <c r="D1015" s="20" t="s">
        <v>2016</v>
      </c>
      <c r="E1015" s="21" t="s">
        <v>5968</v>
      </c>
      <c r="F1015" s="21" t="s">
        <v>5969</v>
      </c>
      <c r="G1015" s="22" t="s">
        <v>5836</v>
      </c>
      <c r="H1015" s="22" t="s">
        <v>5835</v>
      </c>
      <c r="I1015" s="22">
        <v>26</v>
      </c>
      <c r="K1015" s="22" t="s">
        <v>5835</v>
      </c>
      <c r="N1015" s="25" t="s">
        <v>6909</v>
      </c>
      <c r="O1015" s="25" t="s">
        <v>5835</v>
      </c>
      <c r="R1015" s="22" t="s">
        <v>5836</v>
      </c>
    </row>
    <row r="1016" spans="3:18" ht="16">
      <c r="C1016" s="19" t="s">
        <v>62</v>
      </c>
      <c r="D1016" s="20" t="s">
        <v>2018</v>
      </c>
      <c r="E1016" s="21" t="s">
        <v>6413</v>
      </c>
      <c r="F1016" s="21" t="s">
        <v>5852</v>
      </c>
      <c r="G1016" s="22" t="s">
        <v>5849</v>
      </c>
      <c r="H1016" s="22" t="s">
        <v>5835</v>
      </c>
      <c r="I1016" s="22">
        <v>18.2</v>
      </c>
      <c r="K1016" s="22" t="s">
        <v>5835</v>
      </c>
      <c r="N1016" s="25" t="s">
        <v>6910</v>
      </c>
      <c r="O1016" s="25" t="s">
        <v>5835</v>
      </c>
      <c r="R1016" s="22" t="s">
        <v>5849</v>
      </c>
    </row>
    <row r="1017" spans="3:18" ht="16">
      <c r="C1017" s="19" t="s">
        <v>63</v>
      </c>
      <c r="D1017" s="20" t="s">
        <v>2019</v>
      </c>
      <c r="E1017" s="21" t="s">
        <v>5851</v>
      </c>
      <c r="F1017" s="21" t="s">
        <v>5852</v>
      </c>
      <c r="G1017" s="22" t="s">
        <v>5836</v>
      </c>
      <c r="H1017" s="22" t="s">
        <v>7828</v>
      </c>
      <c r="I1017" s="22">
        <v>118.5</v>
      </c>
      <c r="K1017" s="22" t="s">
        <v>5835</v>
      </c>
      <c r="N1017" s="25" t="s">
        <v>6911</v>
      </c>
      <c r="O1017" s="25" t="s">
        <v>5835</v>
      </c>
      <c r="R1017" s="22" t="s">
        <v>5836</v>
      </c>
    </row>
    <row r="1018" spans="3:18" ht="16">
      <c r="C1018" s="19" t="s">
        <v>64</v>
      </c>
      <c r="D1018" s="20" t="s">
        <v>2020</v>
      </c>
      <c r="E1018" s="21" t="s">
        <v>6413</v>
      </c>
      <c r="F1018" s="21" t="s">
        <v>5852</v>
      </c>
      <c r="G1018" s="22" t="s">
        <v>5849</v>
      </c>
      <c r="H1018" s="22" t="s">
        <v>5835</v>
      </c>
      <c r="I1018" s="22">
        <v>64.8</v>
      </c>
      <c r="K1018" s="22" t="s">
        <v>5835</v>
      </c>
      <c r="N1018" s="25" t="s">
        <v>6912</v>
      </c>
      <c r="O1018" s="25" t="s">
        <v>5835</v>
      </c>
      <c r="R1018" s="22" t="s">
        <v>5849</v>
      </c>
    </row>
    <row r="1019" spans="3:18" ht="16">
      <c r="C1019" s="19" t="s">
        <v>86</v>
      </c>
      <c r="D1019" s="20" t="s">
        <v>2040</v>
      </c>
      <c r="E1019" s="21" t="s">
        <v>6277</v>
      </c>
      <c r="F1019" s="21" t="s">
        <v>17</v>
      </c>
      <c r="G1019" s="22" t="s">
        <v>5873</v>
      </c>
      <c r="H1019" s="22" t="s">
        <v>5835</v>
      </c>
      <c r="I1019" s="22">
        <v>14.2</v>
      </c>
      <c r="K1019" s="22" t="s">
        <v>5835</v>
      </c>
      <c r="N1019" s="25" t="s">
        <v>6913</v>
      </c>
      <c r="O1019" s="25" t="s">
        <v>5835</v>
      </c>
      <c r="R1019" s="22" t="s">
        <v>5873</v>
      </c>
    </row>
    <row r="1020" spans="3:18" ht="16">
      <c r="C1020" s="19" t="s">
        <v>174</v>
      </c>
      <c r="D1020" s="20" t="s">
        <v>2127</v>
      </c>
      <c r="E1020" s="21" t="s">
        <v>6074</v>
      </c>
      <c r="F1020" s="21" t="s">
        <v>6075</v>
      </c>
      <c r="G1020" s="22" t="s">
        <v>5889</v>
      </c>
      <c r="H1020" s="22" t="s">
        <v>7828</v>
      </c>
      <c r="I1020" s="22">
        <v>79.099999999999994</v>
      </c>
      <c r="K1020" s="22" t="s">
        <v>5835</v>
      </c>
      <c r="N1020" s="25" t="s">
        <v>6914</v>
      </c>
      <c r="O1020" s="25" t="s">
        <v>5835</v>
      </c>
      <c r="R1020" s="22" t="s">
        <v>5889</v>
      </c>
    </row>
    <row r="1021" spans="3:18" ht="16">
      <c r="C1021" s="19" t="s">
        <v>176</v>
      </c>
      <c r="D1021" s="20" t="s">
        <v>2129</v>
      </c>
      <c r="E1021" s="21" t="s">
        <v>6471</v>
      </c>
      <c r="F1021" s="21" t="s">
        <v>6231</v>
      </c>
      <c r="G1021" s="22" t="s">
        <v>5873</v>
      </c>
      <c r="H1021" s="22" t="s">
        <v>7828</v>
      </c>
      <c r="I1021" s="22">
        <v>60.1</v>
      </c>
      <c r="K1021" s="22" t="s">
        <v>5835</v>
      </c>
      <c r="N1021" s="25" t="s">
        <v>6915</v>
      </c>
      <c r="O1021" s="25" t="s">
        <v>5835</v>
      </c>
      <c r="R1021" s="22" t="s">
        <v>5873</v>
      </c>
    </row>
    <row r="1022" spans="3:18" ht="16">
      <c r="C1022" s="19" t="s">
        <v>177</v>
      </c>
      <c r="D1022" s="20" t="s">
        <v>2130</v>
      </c>
      <c r="E1022" s="21" t="s">
        <v>6033</v>
      </c>
      <c r="F1022" s="21" t="s">
        <v>5969</v>
      </c>
      <c r="G1022" s="22" t="s">
        <v>5857</v>
      </c>
      <c r="H1022" s="22" t="s">
        <v>5835</v>
      </c>
      <c r="I1022" s="22">
        <v>12.2</v>
      </c>
      <c r="K1022" s="22" t="s">
        <v>5835</v>
      </c>
      <c r="N1022" s="25" t="s">
        <v>6916</v>
      </c>
      <c r="O1022" s="25" t="s">
        <v>5835</v>
      </c>
      <c r="R1022" s="22" t="s">
        <v>5857</v>
      </c>
    </row>
    <row r="1023" spans="3:18" ht="16">
      <c r="C1023" s="19" t="s">
        <v>178</v>
      </c>
      <c r="D1023" s="20" t="s">
        <v>2131</v>
      </c>
      <c r="E1023" s="21" t="s">
        <v>5968</v>
      </c>
      <c r="F1023" s="21" t="s">
        <v>5969</v>
      </c>
      <c r="G1023" s="22" t="s">
        <v>5857</v>
      </c>
      <c r="H1023" s="22" t="s">
        <v>5835</v>
      </c>
      <c r="I1023" s="22">
        <v>70.3</v>
      </c>
      <c r="K1023" s="22" t="s">
        <v>5835</v>
      </c>
      <c r="N1023" s="25" t="s">
        <v>6917</v>
      </c>
      <c r="O1023" s="25" t="s">
        <v>5835</v>
      </c>
      <c r="R1023" s="22" t="s">
        <v>5857</v>
      </c>
    </row>
    <row r="1024" spans="3:18" ht="16">
      <c r="C1024" s="19" t="s">
        <v>181</v>
      </c>
      <c r="D1024" s="20" t="s">
        <v>2134</v>
      </c>
      <c r="E1024" s="21" t="s">
        <v>5968</v>
      </c>
      <c r="F1024" s="21" t="s">
        <v>5969</v>
      </c>
      <c r="G1024" s="22" t="s">
        <v>5865</v>
      </c>
      <c r="H1024" s="22" t="s">
        <v>5835</v>
      </c>
      <c r="I1024" s="22">
        <v>53.8</v>
      </c>
      <c r="K1024" s="22" t="s">
        <v>5835</v>
      </c>
      <c r="N1024" s="25" t="s">
        <v>6918</v>
      </c>
      <c r="O1024" s="25" t="s">
        <v>5835</v>
      </c>
      <c r="R1024" s="22" t="s">
        <v>5865</v>
      </c>
    </row>
    <row r="1025" spans="3:18" ht="16">
      <c r="C1025" s="19" t="s">
        <v>182</v>
      </c>
      <c r="D1025" s="20" t="s">
        <v>2135</v>
      </c>
      <c r="E1025" s="21" t="s">
        <v>6166</v>
      </c>
      <c r="F1025" s="21" t="s">
        <v>6080</v>
      </c>
      <c r="G1025" s="22" t="s">
        <v>5843</v>
      </c>
      <c r="H1025" s="22" t="s">
        <v>5835</v>
      </c>
      <c r="I1025" s="22">
        <v>27.8</v>
      </c>
      <c r="K1025" s="22" t="s">
        <v>5835</v>
      </c>
      <c r="N1025" s="25" t="s">
        <v>6919</v>
      </c>
      <c r="O1025" s="25" t="s">
        <v>5835</v>
      </c>
      <c r="R1025" s="22" t="s">
        <v>5843</v>
      </c>
    </row>
    <row r="1026" spans="3:18" ht="16">
      <c r="C1026" s="19" t="s">
        <v>186</v>
      </c>
      <c r="D1026" s="20" t="s">
        <v>2139</v>
      </c>
      <c r="E1026" s="21" t="s">
        <v>6033</v>
      </c>
      <c r="F1026" s="21" t="s">
        <v>5969</v>
      </c>
      <c r="G1026" s="22" t="s">
        <v>5865</v>
      </c>
      <c r="H1026" s="22" t="s">
        <v>5835</v>
      </c>
      <c r="I1026" s="22">
        <v>19.2</v>
      </c>
      <c r="K1026" s="22" t="s">
        <v>5835</v>
      </c>
      <c r="N1026" s="25" t="s">
        <v>6920</v>
      </c>
      <c r="O1026" s="25" t="s">
        <v>5835</v>
      </c>
      <c r="R1026" s="22" t="s">
        <v>5865</v>
      </c>
    </row>
    <row r="1027" spans="3:18" ht="16">
      <c r="C1027" s="19" t="s">
        <v>187</v>
      </c>
      <c r="D1027" s="20" t="s">
        <v>2140</v>
      </c>
      <c r="E1027" s="21" t="s">
        <v>6074</v>
      </c>
      <c r="F1027" s="21" t="s">
        <v>6075</v>
      </c>
      <c r="G1027" s="22" t="s">
        <v>5859</v>
      </c>
      <c r="H1027" s="22" t="s">
        <v>5835</v>
      </c>
      <c r="I1027" s="22">
        <v>11.2</v>
      </c>
      <c r="K1027" s="22" t="s">
        <v>5835</v>
      </c>
      <c r="N1027" s="25" t="s">
        <v>6921</v>
      </c>
      <c r="O1027" s="25" t="s">
        <v>5835</v>
      </c>
      <c r="R1027" s="22" t="s">
        <v>5859</v>
      </c>
    </row>
    <row r="1028" spans="3:18" ht="16">
      <c r="C1028" s="19" t="s">
        <v>188</v>
      </c>
      <c r="D1028" s="20" t="s">
        <v>2141</v>
      </c>
      <c r="E1028" s="21" t="s">
        <v>6274</v>
      </c>
      <c r="F1028" s="21" t="s">
        <v>17</v>
      </c>
      <c r="G1028" s="22" t="s">
        <v>5935</v>
      </c>
      <c r="H1028" s="22" t="s">
        <v>5835</v>
      </c>
      <c r="I1028" s="22">
        <v>18</v>
      </c>
      <c r="K1028" s="22" t="s">
        <v>5835</v>
      </c>
      <c r="N1028" s="25" t="s">
        <v>6922</v>
      </c>
      <c r="O1028" s="25" t="s">
        <v>5835</v>
      </c>
      <c r="R1028" s="22" t="s">
        <v>5935</v>
      </c>
    </row>
    <row r="1029" spans="3:18" ht="16">
      <c r="C1029" s="19" t="s">
        <v>191</v>
      </c>
      <c r="D1029" s="20" t="s">
        <v>2144</v>
      </c>
      <c r="E1029" s="21" t="s">
        <v>6033</v>
      </c>
      <c r="F1029" s="21" t="s">
        <v>5969</v>
      </c>
      <c r="G1029" s="22" t="s">
        <v>5899</v>
      </c>
      <c r="H1029" s="22" t="s">
        <v>5835</v>
      </c>
      <c r="I1029" s="22">
        <v>22.4</v>
      </c>
      <c r="K1029" s="22" t="s">
        <v>5835</v>
      </c>
      <c r="N1029" s="25" t="s">
        <v>6923</v>
      </c>
      <c r="O1029" s="25" t="s">
        <v>5835</v>
      </c>
      <c r="R1029" s="22" t="s">
        <v>5899</v>
      </c>
    </row>
    <row r="1030" spans="3:18" ht="16">
      <c r="C1030" s="19" t="s">
        <v>232</v>
      </c>
      <c r="D1030" s="20" t="s">
        <v>2185</v>
      </c>
      <c r="E1030" s="21" t="s">
        <v>6096</v>
      </c>
      <c r="F1030" s="21" t="s">
        <v>5896</v>
      </c>
      <c r="G1030" s="22" t="s">
        <v>5887</v>
      </c>
      <c r="H1030" s="22" t="s">
        <v>5835</v>
      </c>
      <c r="I1030" s="22">
        <v>15</v>
      </c>
      <c r="K1030" s="22" t="s">
        <v>5835</v>
      </c>
      <c r="N1030" s="25" t="s">
        <v>6924</v>
      </c>
      <c r="O1030" s="25" t="s">
        <v>5835</v>
      </c>
      <c r="R1030" s="22" t="s">
        <v>5887</v>
      </c>
    </row>
    <row r="1031" spans="3:18" ht="16">
      <c r="C1031" s="19" t="s">
        <v>238</v>
      </c>
      <c r="D1031" s="20" t="s">
        <v>2191</v>
      </c>
      <c r="E1031" s="21" t="s">
        <v>6074</v>
      </c>
      <c r="F1031" s="21" t="s">
        <v>6075</v>
      </c>
      <c r="G1031" s="22" t="s">
        <v>5882</v>
      </c>
      <c r="H1031" s="22" t="s">
        <v>5835</v>
      </c>
      <c r="I1031" s="22">
        <v>37.1</v>
      </c>
      <c r="K1031" s="22" t="s">
        <v>5835</v>
      </c>
      <c r="N1031" s="25" t="s">
        <v>6925</v>
      </c>
      <c r="O1031" s="25" t="s">
        <v>5835</v>
      </c>
      <c r="R1031" s="22" t="s">
        <v>5882</v>
      </c>
    </row>
    <row r="1032" spans="3:18" ht="16">
      <c r="C1032" s="19" t="s">
        <v>239</v>
      </c>
      <c r="D1032" s="20" t="s">
        <v>2192</v>
      </c>
      <c r="E1032" s="21" t="s">
        <v>6074</v>
      </c>
      <c r="F1032" s="21" t="s">
        <v>6075</v>
      </c>
      <c r="G1032" s="22" t="s">
        <v>5889</v>
      </c>
      <c r="H1032" s="22" t="s">
        <v>5835</v>
      </c>
      <c r="I1032" s="22">
        <v>7</v>
      </c>
      <c r="K1032" s="22" t="s">
        <v>5835</v>
      </c>
      <c r="N1032" s="25" t="s">
        <v>6926</v>
      </c>
      <c r="O1032" s="25" t="s">
        <v>5835</v>
      </c>
      <c r="R1032" s="22" t="s">
        <v>5889</v>
      </c>
    </row>
    <row r="1033" spans="3:18" ht="16">
      <c r="C1033" s="19" t="s">
        <v>241</v>
      </c>
      <c r="D1033" s="20" t="s">
        <v>2194</v>
      </c>
      <c r="E1033" s="21" t="s">
        <v>6074</v>
      </c>
      <c r="F1033" s="21" t="s">
        <v>6075</v>
      </c>
      <c r="G1033" s="22" t="s">
        <v>5884</v>
      </c>
      <c r="H1033" s="22" t="s">
        <v>5835</v>
      </c>
      <c r="I1033" s="22">
        <v>35.299999999999997</v>
      </c>
      <c r="K1033" s="22" t="s">
        <v>5835</v>
      </c>
      <c r="N1033" s="25" t="s">
        <v>6927</v>
      </c>
      <c r="O1033" s="25" t="s">
        <v>5835</v>
      </c>
      <c r="R1033" s="22" t="s">
        <v>5884</v>
      </c>
    </row>
    <row r="1034" spans="3:18" ht="16">
      <c r="C1034" s="19" t="s">
        <v>242</v>
      </c>
      <c r="D1034" s="20" t="s">
        <v>2195</v>
      </c>
      <c r="E1034" s="21" t="s">
        <v>6214</v>
      </c>
      <c r="F1034" s="21" t="s">
        <v>6080</v>
      </c>
      <c r="G1034" s="22" t="s">
        <v>5960</v>
      </c>
      <c r="H1034" s="22" t="s">
        <v>7828</v>
      </c>
      <c r="I1034" s="22">
        <v>314.7</v>
      </c>
      <c r="K1034" s="22" t="s">
        <v>5835</v>
      </c>
      <c r="N1034" s="25" t="s">
        <v>6928</v>
      </c>
      <c r="O1034" s="25" t="s">
        <v>5835</v>
      </c>
      <c r="R1034" s="22" t="s">
        <v>5960</v>
      </c>
    </row>
    <row r="1035" spans="3:18" ht="16">
      <c r="C1035" s="19" t="s">
        <v>244</v>
      </c>
      <c r="D1035" s="20" t="s">
        <v>2197</v>
      </c>
      <c r="E1035" s="21" t="s">
        <v>6074</v>
      </c>
      <c r="F1035" s="21" t="s">
        <v>6075</v>
      </c>
      <c r="G1035" s="22" t="s">
        <v>5889</v>
      </c>
      <c r="H1035" s="22" t="s">
        <v>5835</v>
      </c>
      <c r="I1035" s="22">
        <v>61.9</v>
      </c>
      <c r="K1035" s="22" t="s">
        <v>5835</v>
      </c>
      <c r="N1035" s="25" t="s">
        <v>6929</v>
      </c>
      <c r="O1035" s="25" t="s">
        <v>5835</v>
      </c>
      <c r="R1035" s="22" t="s">
        <v>5889</v>
      </c>
    </row>
    <row r="1036" spans="3:18" ht="16">
      <c r="C1036" s="19" t="s">
        <v>247</v>
      </c>
      <c r="D1036" s="20" t="s">
        <v>2200</v>
      </c>
      <c r="E1036" s="21" t="s">
        <v>6074</v>
      </c>
      <c r="F1036" s="21" t="s">
        <v>6075</v>
      </c>
      <c r="G1036" s="22" t="s">
        <v>5884</v>
      </c>
      <c r="H1036" s="22" t="s">
        <v>5835</v>
      </c>
      <c r="I1036" s="22">
        <v>18.600000000000001</v>
      </c>
      <c r="K1036" s="22" t="s">
        <v>5835</v>
      </c>
      <c r="N1036" s="25" t="s">
        <v>6930</v>
      </c>
      <c r="O1036" s="25" t="s">
        <v>5835</v>
      </c>
      <c r="R1036" s="22" t="s">
        <v>5884</v>
      </c>
    </row>
    <row r="1037" spans="3:18" ht="16">
      <c r="C1037" s="19" t="s">
        <v>248</v>
      </c>
      <c r="D1037" s="20" t="s">
        <v>2201</v>
      </c>
      <c r="E1037" s="21" t="s">
        <v>6074</v>
      </c>
      <c r="F1037" s="21" t="s">
        <v>6075</v>
      </c>
      <c r="G1037" s="22" t="s">
        <v>5889</v>
      </c>
      <c r="H1037" s="22" t="s">
        <v>5835</v>
      </c>
      <c r="I1037" s="22">
        <v>62.5</v>
      </c>
      <c r="K1037" s="22" t="s">
        <v>5835</v>
      </c>
      <c r="N1037" s="25" t="s">
        <v>6931</v>
      </c>
      <c r="O1037" s="25" t="s">
        <v>5835</v>
      </c>
      <c r="R1037" s="22" t="s">
        <v>5889</v>
      </c>
    </row>
    <row r="1038" spans="3:18" ht="16">
      <c r="C1038" s="19" t="s">
        <v>255</v>
      </c>
      <c r="D1038" s="20" t="s">
        <v>2208</v>
      </c>
      <c r="E1038" s="21" t="s">
        <v>6074</v>
      </c>
      <c r="F1038" s="21" t="s">
        <v>6075</v>
      </c>
      <c r="G1038" s="22" t="s">
        <v>5889</v>
      </c>
      <c r="H1038" s="22" t="s">
        <v>5835</v>
      </c>
      <c r="I1038" s="22">
        <v>6.8</v>
      </c>
      <c r="K1038" s="22" t="s">
        <v>5835</v>
      </c>
      <c r="N1038" s="25" t="s">
        <v>6932</v>
      </c>
      <c r="O1038" s="25" t="s">
        <v>5835</v>
      </c>
      <c r="R1038" s="22" t="s">
        <v>5889</v>
      </c>
    </row>
    <row r="1039" spans="3:18" ht="16">
      <c r="C1039" s="19" t="s">
        <v>256</v>
      </c>
      <c r="D1039" s="20" t="s">
        <v>2209</v>
      </c>
      <c r="E1039" s="21" t="s">
        <v>6274</v>
      </c>
      <c r="F1039" s="21" t="s">
        <v>17</v>
      </c>
      <c r="G1039" s="22" t="s">
        <v>5943</v>
      </c>
      <c r="H1039" s="22" t="s">
        <v>7828</v>
      </c>
      <c r="I1039" s="22">
        <v>195.9</v>
      </c>
      <c r="K1039" s="22" t="s">
        <v>5835</v>
      </c>
      <c r="N1039" s="25" t="s">
        <v>6933</v>
      </c>
      <c r="O1039" s="25" t="s">
        <v>5835</v>
      </c>
      <c r="R1039" s="22" t="s">
        <v>5943</v>
      </c>
    </row>
    <row r="1040" spans="3:18" ht="16">
      <c r="C1040" s="19" t="s">
        <v>288</v>
      </c>
      <c r="D1040" s="20" t="s">
        <v>2241</v>
      </c>
      <c r="E1040" s="21" t="s">
        <v>6054</v>
      </c>
      <c r="F1040" s="21" t="s">
        <v>6055</v>
      </c>
      <c r="G1040" s="22" t="s">
        <v>5865</v>
      </c>
      <c r="H1040" s="22" t="s">
        <v>5835</v>
      </c>
      <c r="I1040" s="22">
        <v>107.8</v>
      </c>
      <c r="K1040" s="22" t="s">
        <v>5835</v>
      </c>
      <c r="N1040" s="25" t="s">
        <v>6934</v>
      </c>
      <c r="O1040" s="25" t="s">
        <v>5835</v>
      </c>
      <c r="R1040" s="22" t="s">
        <v>5865</v>
      </c>
    </row>
    <row r="1041" spans="3:18" ht="16">
      <c r="C1041" s="19" t="s">
        <v>292</v>
      </c>
      <c r="D1041" s="20" t="s">
        <v>2245</v>
      </c>
      <c r="E1041" s="21" t="s">
        <v>6077</v>
      </c>
      <c r="F1041" s="21" t="s">
        <v>5969</v>
      </c>
      <c r="G1041" s="22" t="s">
        <v>5877</v>
      </c>
      <c r="H1041" s="22" t="s">
        <v>5835</v>
      </c>
      <c r="I1041" s="22">
        <v>10.3</v>
      </c>
      <c r="K1041" s="22" t="s">
        <v>5835</v>
      </c>
      <c r="N1041" s="25" t="s">
        <v>6935</v>
      </c>
      <c r="O1041" s="25" t="s">
        <v>5835</v>
      </c>
      <c r="R1041" s="22" t="s">
        <v>5877</v>
      </c>
    </row>
    <row r="1042" spans="3:18" ht="16">
      <c r="C1042" s="19" t="s">
        <v>294</v>
      </c>
      <c r="D1042" s="20" t="s">
        <v>2247</v>
      </c>
      <c r="E1042" s="21" t="s">
        <v>6054</v>
      </c>
      <c r="F1042" s="21" t="s">
        <v>6055</v>
      </c>
      <c r="G1042" s="22" t="s">
        <v>5865</v>
      </c>
      <c r="H1042" s="22" t="s">
        <v>5835</v>
      </c>
      <c r="I1042" s="22">
        <v>13.9</v>
      </c>
      <c r="K1042" s="22" t="s">
        <v>5835</v>
      </c>
      <c r="N1042" s="25" t="s">
        <v>6936</v>
      </c>
      <c r="O1042" s="25" t="s">
        <v>5835</v>
      </c>
      <c r="R1042" s="22" t="s">
        <v>5865</v>
      </c>
    </row>
    <row r="1043" spans="3:18" ht="16">
      <c r="C1043" s="19" t="s">
        <v>295</v>
      </c>
      <c r="D1043" s="20" t="s">
        <v>2248</v>
      </c>
      <c r="E1043" s="21" t="s">
        <v>6054</v>
      </c>
      <c r="F1043" s="21" t="s">
        <v>6055</v>
      </c>
      <c r="G1043" s="22" t="s">
        <v>5865</v>
      </c>
      <c r="H1043" s="22" t="s">
        <v>5835</v>
      </c>
      <c r="I1043" s="22">
        <v>9.8000000000000007</v>
      </c>
      <c r="K1043" s="22" t="s">
        <v>5835</v>
      </c>
      <c r="N1043" s="25" t="s">
        <v>6937</v>
      </c>
      <c r="O1043" s="25" t="s">
        <v>5835</v>
      </c>
      <c r="R1043" s="22" t="s">
        <v>5865</v>
      </c>
    </row>
    <row r="1044" spans="3:18" ht="16">
      <c r="C1044" s="19" t="s">
        <v>296</v>
      </c>
      <c r="D1044" s="20" t="s">
        <v>2249</v>
      </c>
      <c r="E1044" s="21" t="s">
        <v>6054</v>
      </c>
      <c r="F1044" s="21" t="s">
        <v>6055</v>
      </c>
      <c r="G1044" s="22" t="s">
        <v>5865</v>
      </c>
      <c r="H1044" s="22" t="s">
        <v>5835</v>
      </c>
      <c r="I1044" s="22">
        <v>23.5</v>
      </c>
      <c r="K1044" s="22" t="s">
        <v>5835</v>
      </c>
      <c r="N1044" s="25" t="s">
        <v>6938</v>
      </c>
      <c r="O1044" s="25" t="s">
        <v>5835</v>
      </c>
      <c r="R1044" s="22" t="s">
        <v>5865</v>
      </c>
    </row>
    <row r="1045" spans="3:18" ht="16">
      <c r="C1045" s="19" t="s">
        <v>297</v>
      </c>
      <c r="D1045" s="20" t="s">
        <v>2250</v>
      </c>
      <c r="E1045" s="21" t="s">
        <v>5926</v>
      </c>
      <c r="F1045" s="21" t="s">
        <v>5927</v>
      </c>
      <c r="G1045" s="22" t="s">
        <v>5865</v>
      </c>
      <c r="H1045" s="22" t="s">
        <v>5835</v>
      </c>
      <c r="I1045" s="22">
        <v>32.6</v>
      </c>
      <c r="K1045" s="22" t="s">
        <v>5835</v>
      </c>
      <c r="N1045" s="25" t="s">
        <v>6939</v>
      </c>
      <c r="O1045" s="25" t="s">
        <v>5835</v>
      </c>
      <c r="R1045" s="22" t="s">
        <v>5865</v>
      </c>
    </row>
    <row r="1046" spans="3:18" ht="16">
      <c r="C1046" s="19" t="s">
        <v>298</v>
      </c>
      <c r="D1046" s="20" t="s">
        <v>2251</v>
      </c>
      <c r="E1046" s="21" t="s">
        <v>6033</v>
      </c>
      <c r="F1046" s="21" t="s">
        <v>5969</v>
      </c>
      <c r="G1046" s="22" t="s">
        <v>5865</v>
      </c>
      <c r="H1046" s="22" t="s">
        <v>5835</v>
      </c>
      <c r="I1046" s="22">
        <v>2.8</v>
      </c>
      <c r="K1046" s="22" t="s">
        <v>5835</v>
      </c>
      <c r="N1046" s="25" t="s">
        <v>6940</v>
      </c>
      <c r="O1046" s="25" t="s">
        <v>5835</v>
      </c>
      <c r="R1046" s="22" t="s">
        <v>5865</v>
      </c>
    </row>
    <row r="1047" spans="3:18" ht="16">
      <c r="C1047" s="19" t="s">
        <v>300</v>
      </c>
      <c r="D1047" s="20" t="s">
        <v>2253</v>
      </c>
      <c r="E1047" s="21" t="s">
        <v>6033</v>
      </c>
      <c r="F1047" s="21" t="s">
        <v>5969</v>
      </c>
      <c r="G1047" s="22" t="s">
        <v>5935</v>
      </c>
      <c r="H1047" s="22" t="s">
        <v>5835</v>
      </c>
      <c r="I1047" s="22">
        <v>14.1</v>
      </c>
      <c r="K1047" s="22" t="s">
        <v>5835</v>
      </c>
      <c r="N1047" s="25" t="s">
        <v>6941</v>
      </c>
      <c r="O1047" s="25" t="s">
        <v>5835</v>
      </c>
      <c r="R1047" s="22" t="s">
        <v>5935</v>
      </c>
    </row>
    <row r="1048" spans="3:18" ht="16">
      <c r="C1048" s="19" t="s">
        <v>301</v>
      </c>
      <c r="D1048" s="20" t="s">
        <v>2254</v>
      </c>
      <c r="E1048" s="21" t="s">
        <v>6077</v>
      </c>
      <c r="F1048" s="21" t="s">
        <v>6055</v>
      </c>
      <c r="G1048" s="22" t="s">
        <v>7827</v>
      </c>
      <c r="H1048" s="22" t="s">
        <v>5835</v>
      </c>
      <c r="I1048" s="22">
        <v>7.7</v>
      </c>
      <c r="K1048" s="22" t="s">
        <v>5835</v>
      </c>
      <c r="N1048" s="25" t="s">
        <v>5835</v>
      </c>
      <c r="O1048" s="25" t="s">
        <v>5835</v>
      </c>
      <c r="R1048" s="22" t="s">
        <v>5940</v>
      </c>
    </row>
    <row r="1049" spans="3:18" ht="16">
      <c r="C1049" s="19" t="s">
        <v>319</v>
      </c>
      <c r="D1049" s="20" t="s">
        <v>2272</v>
      </c>
      <c r="E1049" s="21" t="s">
        <v>6054</v>
      </c>
      <c r="F1049" s="21" t="s">
        <v>6055</v>
      </c>
      <c r="G1049" s="22" t="s">
        <v>5865</v>
      </c>
      <c r="H1049" s="22" t="s">
        <v>5835</v>
      </c>
      <c r="I1049" s="22">
        <v>12.5</v>
      </c>
      <c r="K1049" s="22" t="s">
        <v>5835</v>
      </c>
      <c r="N1049" s="25" t="s">
        <v>6942</v>
      </c>
      <c r="O1049" s="25" t="s">
        <v>5835</v>
      </c>
      <c r="R1049" s="22" t="s">
        <v>5865</v>
      </c>
    </row>
    <row r="1050" spans="3:18" ht="16">
      <c r="C1050" s="19" t="s">
        <v>322</v>
      </c>
      <c r="D1050" s="20" t="s">
        <v>2275</v>
      </c>
      <c r="E1050" s="21" t="s">
        <v>5926</v>
      </c>
      <c r="F1050" s="21" t="s">
        <v>5927</v>
      </c>
      <c r="G1050" s="22" t="s">
        <v>5843</v>
      </c>
      <c r="H1050" s="22" t="s">
        <v>5835</v>
      </c>
      <c r="I1050" s="22">
        <v>68.7</v>
      </c>
      <c r="K1050" s="22" t="s">
        <v>5835</v>
      </c>
      <c r="N1050" s="25" t="s">
        <v>6943</v>
      </c>
      <c r="O1050" s="25" t="s">
        <v>5835</v>
      </c>
      <c r="R1050" s="22" t="s">
        <v>5843</v>
      </c>
    </row>
    <row r="1051" spans="3:18" ht="16">
      <c r="C1051" s="19" t="s">
        <v>325</v>
      </c>
      <c r="D1051" s="20" t="s">
        <v>2278</v>
      </c>
      <c r="E1051" s="21" t="s">
        <v>5926</v>
      </c>
      <c r="F1051" s="21" t="s">
        <v>5927</v>
      </c>
      <c r="G1051" s="22" t="s">
        <v>5843</v>
      </c>
      <c r="H1051" s="22" t="s">
        <v>5835</v>
      </c>
      <c r="I1051" s="22">
        <v>16.899999999999999</v>
      </c>
      <c r="K1051" s="22" t="s">
        <v>5835</v>
      </c>
      <c r="N1051" s="25" t="s">
        <v>6944</v>
      </c>
      <c r="O1051" s="25" t="s">
        <v>5835</v>
      </c>
      <c r="R1051" s="22" t="s">
        <v>5843</v>
      </c>
    </row>
    <row r="1052" spans="3:18" ht="16">
      <c r="C1052" s="19" t="s">
        <v>498</v>
      </c>
      <c r="D1052" s="20" t="s">
        <v>2441</v>
      </c>
      <c r="E1052" s="21" t="s">
        <v>5923</v>
      </c>
      <c r="F1052" s="21" t="s">
        <v>5831</v>
      </c>
      <c r="G1052" s="22" t="s">
        <v>5840</v>
      </c>
      <c r="H1052" s="22" t="s">
        <v>5835</v>
      </c>
      <c r="I1052" s="22">
        <v>35.9</v>
      </c>
      <c r="K1052" s="22" t="s">
        <v>5835</v>
      </c>
      <c r="N1052" s="25" t="s">
        <v>6945</v>
      </c>
      <c r="O1052" s="25" t="s">
        <v>5835</v>
      </c>
      <c r="R1052" s="22" t="s">
        <v>5840</v>
      </c>
    </row>
    <row r="1053" spans="3:18" ht="16">
      <c r="C1053" s="19" t="s">
        <v>521</v>
      </c>
      <c r="D1053" s="20" t="s">
        <v>2463</v>
      </c>
      <c r="E1053" s="21" t="s">
        <v>5968</v>
      </c>
      <c r="F1053" s="21" t="s">
        <v>5969</v>
      </c>
      <c r="G1053" s="22" t="s">
        <v>7827</v>
      </c>
      <c r="H1053" s="22" t="s">
        <v>5835</v>
      </c>
      <c r="I1053" s="22">
        <v>79.8</v>
      </c>
      <c r="K1053" s="22" t="s">
        <v>5835</v>
      </c>
      <c r="N1053" s="25" t="s">
        <v>6946</v>
      </c>
      <c r="O1053" s="25" t="s">
        <v>5835</v>
      </c>
      <c r="R1053" s="22" t="s">
        <v>5940</v>
      </c>
    </row>
    <row r="1054" spans="3:18" ht="16">
      <c r="C1054" s="19" t="s">
        <v>522</v>
      </c>
      <c r="D1054" s="20" t="s">
        <v>2464</v>
      </c>
      <c r="E1054" s="21" t="s">
        <v>6001</v>
      </c>
      <c r="F1054" s="21" t="s">
        <v>5966</v>
      </c>
      <c r="G1054" s="22" t="s">
        <v>5966</v>
      </c>
      <c r="H1054" s="22" t="s">
        <v>5835</v>
      </c>
      <c r="I1054" s="22">
        <v>57.1</v>
      </c>
      <c r="K1054" s="22" t="s">
        <v>5835</v>
      </c>
      <c r="N1054" s="25" t="s">
        <v>6947</v>
      </c>
      <c r="O1054" s="25" t="s">
        <v>5835</v>
      </c>
      <c r="R1054" s="22" t="s">
        <v>5966</v>
      </c>
    </row>
    <row r="1055" spans="3:18" ht="16">
      <c r="C1055" s="19" t="s">
        <v>524</v>
      </c>
      <c r="D1055" s="20" t="s">
        <v>2466</v>
      </c>
      <c r="E1055" s="21" t="s">
        <v>6001</v>
      </c>
      <c r="F1055" s="21" t="s">
        <v>5966</v>
      </c>
      <c r="G1055" s="22" t="s">
        <v>5853</v>
      </c>
      <c r="H1055" s="22" t="s">
        <v>5835</v>
      </c>
      <c r="I1055" s="22">
        <v>25.2</v>
      </c>
      <c r="K1055" s="22" t="s">
        <v>5835</v>
      </c>
      <c r="N1055" s="25" t="s">
        <v>6948</v>
      </c>
      <c r="O1055" s="25" t="s">
        <v>5835</v>
      </c>
      <c r="R1055" s="22" t="s">
        <v>5853</v>
      </c>
    </row>
    <row r="1056" spans="3:18" ht="16">
      <c r="C1056" s="19" t="s">
        <v>534</v>
      </c>
      <c r="D1056" s="20" t="s">
        <v>6949</v>
      </c>
      <c r="E1056" s="21" t="s">
        <v>6413</v>
      </c>
      <c r="F1056" s="21" t="s">
        <v>5852</v>
      </c>
      <c r="G1056" s="22" t="s">
        <v>5849</v>
      </c>
      <c r="H1056" s="22" t="s">
        <v>7828</v>
      </c>
      <c r="I1056" s="22">
        <v>43.3</v>
      </c>
      <c r="K1056" s="22" t="s">
        <v>5835</v>
      </c>
      <c r="N1056" s="25" t="s">
        <v>6950</v>
      </c>
      <c r="O1056" s="25" t="s">
        <v>5835</v>
      </c>
      <c r="R1056" s="22" t="s">
        <v>5849</v>
      </c>
    </row>
    <row r="1057" spans="3:18" ht="16">
      <c r="C1057" s="19" t="s">
        <v>535</v>
      </c>
      <c r="D1057" s="20" t="s">
        <v>2476</v>
      </c>
      <c r="E1057" s="21" t="s">
        <v>6413</v>
      </c>
      <c r="F1057" s="21" t="s">
        <v>5852</v>
      </c>
      <c r="G1057" s="22" t="s">
        <v>5849</v>
      </c>
      <c r="H1057" s="22" t="s">
        <v>5835</v>
      </c>
      <c r="I1057" s="22">
        <v>27.9</v>
      </c>
      <c r="K1057" s="22" t="s">
        <v>5835</v>
      </c>
      <c r="N1057" s="25" t="s">
        <v>6424</v>
      </c>
      <c r="O1057" s="25" t="s">
        <v>5835</v>
      </c>
      <c r="R1057" s="22" t="s">
        <v>5849</v>
      </c>
    </row>
    <row r="1058" spans="3:18" ht="16">
      <c r="C1058" s="19" t="s">
        <v>538</v>
      </c>
      <c r="D1058" s="20" t="s">
        <v>2479</v>
      </c>
      <c r="E1058" s="21" t="s">
        <v>6413</v>
      </c>
      <c r="F1058" s="21" t="s">
        <v>5852</v>
      </c>
      <c r="G1058" s="22" t="s">
        <v>5849</v>
      </c>
      <c r="H1058" s="22" t="s">
        <v>5835</v>
      </c>
      <c r="I1058" s="22">
        <v>15.1</v>
      </c>
      <c r="K1058" s="22" t="s">
        <v>5835</v>
      </c>
      <c r="N1058" s="25" t="s">
        <v>6951</v>
      </c>
      <c r="O1058" s="25" t="s">
        <v>5835</v>
      </c>
      <c r="R1058" s="22" t="s">
        <v>5849</v>
      </c>
    </row>
    <row r="1059" spans="3:18" ht="16">
      <c r="C1059" s="19" t="s">
        <v>539</v>
      </c>
      <c r="D1059" s="20" t="s">
        <v>2480</v>
      </c>
      <c r="E1059" s="21" t="s">
        <v>6413</v>
      </c>
      <c r="F1059" s="21" t="s">
        <v>5852</v>
      </c>
      <c r="G1059" s="22" t="s">
        <v>5836</v>
      </c>
      <c r="H1059" s="22" t="s">
        <v>5835</v>
      </c>
      <c r="I1059" s="22">
        <v>5.0999999999999996</v>
      </c>
      <c r="K1059" s="22" t="s">
        <v>5835</v>
      </c>
      <c r="N1059" s="25" t="s">
        <v>6427</v>
      </c>
      <c r="O1059" s="25" t="s">
        <v>5835</v>
      </c>
      <c r="R1059" s="22" t="s">
        <v>5836</v>
      </c>
    </row>
    <row r="1060" spans="3:18" ht="16">
      <c r="C1060" s="19" t="s">
        <v>541</v>
      </c>
      <c r="D1060" s="20" t="s">
        <v>2482</v>
      </c>
      <c r="E1060" s="21" t="s">
        <v>6413</v>
      </c>
      <c r="F1060" s="21" t="s">
        <v>5852</v>
      </c>
      <c r="G1060" s="22" t="s">
        <v>5849</v>
      </c>
      <c r="H1060" s="22" t="s">
        <v>7828</v>
      </c>
      <c r="I1060" s="22">
        <v>82.2</v>
      </c>
      <c r="K1060" s="22" t="s">
        <v>5835</v>
      </c>
      <c r="N1060" s="25" t="s">
        <v>6952</v>
      </c>
      <c r="O1060" s="25" t="s">
        <v>5835</v>
      </c>
      <c r="R1060" s="22" t="s">
        <v>5849</v>
      </c>
    </row>
    <row r="1061" spans="3:18" ht="16">
      <c r="C1061" s="19" t="s">
        <v>543</v>
      </c>
      <c r="D1061" s="20" t="s">
        <v>2484</v>
      </c>
      <c r="E1061" s="21" t="s">
        <v>6413</v>
      </c>
      <c r="F1061" s="21" t="s">
        <v>5852</v>
      </c>
      <c r="G1061" s="22" t="s">
        <v>5849</v>
      </c>
      <c r="H1061" s="22" t="s">
        <v>5835</v>
      </c>
      <c r="I1061" s="22">
        <v>35.9</v>
      </c>
      <c r="K1061" s="22" t="s">
        <v>5835</v>
      </c>
      <c r="N1061" s="25" t="s">
        <v>6953</v>
      </c>
      <c r="O1061" s="25" t="s">
        <v>5835</v>
      </c>
      <c r="R1061" s="22" t="s">
        <v>5849</v>
      </c>
    </row>
    <row r="1062" spans="3:18" ht="16">
      <c r="C1062" s="19" t="s">
        <v>544</v>
      </c>
      <c r="D1062" s="20" t="s">
        <v>2485</v>
      </c>
      <c r="E1062" s="21" t="s">
        <v>6413</v>
      </c>
      <c r="F1062" s="21" t="s">
        <v>5852</v>
      </c>
      <c r="G1062" s="22" t="s">
        <v>5849</v>
      </c>
      <c r="H1062" s="22" t="s">
        <v>5835</v>
      </c>
      <c r="I1062" s="22">
        <v>12.1</v>
      </c>
      <c r="K1062" s="22" t="s">
        <v>5835</v>
      </c>
      <c r="N1062" s="25" t="s">
        <v>6424</v>
      </c>
      <c r="O1062" s="25" t="s">
        <v>5835</v>
      </c>
      <c r="R1062" s="22" t="s">
        <v>5849</v>
      </c>
    </row>
    <row r="1063" spans="3:18" ht="16">
      <c r="C1063" s="19" t="s">
        <v>545</v>
      </c>
      <c r="D1063" s="20" t="s">
        <v>2486</v>
      </c>
      <c r="E1063" s="21" t="s">
        <v>6413</v>
      </c>
      <c r="F1063" s="21" t="s">
        <v>5852</v>
      </c>
      <c r="G1063" s="22" t="s">
        <v>5849</v>
      </c>
      <c r="H1063" s="22" t="s">
        <v>5835</v>
      </c>
      <c r="I1063" s="22">
        <v>13</v>
      </c>
      <c r="K1063" s="22" t="s">
        <v>5835</v>
      </c>
      <c r="N1063" s="25" t="s">
        <v>6954</v>
      </c>
      <c r="O1063" s="25" t="s">
        <v>5835</v>
      </c>
      <c r="R1063" s="22" t="s">
        <v>5849</v>
      </c>
    </row>
    <row r="1064" spans="3:18" ht="16">
      <c r="C1064" s="19" t="s">
        <v>547</v>
      </c>
      <c r="D1064" s="20" t="s">
        <v>2488</v>
      </c>
      <c r="E1064" s="21" t="s">
        <v>6413</v>
      </c>
      <c r="F1064" s="21" t="s">
        <v>5852</v>
      </c>
      <c r="G1064" s="22" t="s">
        <v>5849</v>
      </c>
      <c r="H1064" s="22" t="s">
        <v>5835</v>
      </c>
      <c r="I1064" s="22">
        <v>4.7</v>
      </c>
      <c r="K1064" s="22" t="s">
        <v>5835</v>
      </c>
      <c r="N1064" s="25" t="s">
        <v>6952</v>
      </c>
      <c r="O1064" s="25" t="s">
        <v>5835</v>
      </c>
      <c r="R1064" s="22" t="s">
        <v>5849</v>
      </c>
    </row>
    <row r="1065" spans="3:18" ht="16">
      <c r="C1065" s="19" t="s">
        <v>548</v>
      </c>
      <c r="D1065" s="20" t="s">
        <v>2489</v>
      </c>
      <c r="E1065" s="21" t="s">
        <v>6413</v>
      </c>
      <c r="F1065" s="21" t="s">
        <v>5852</v>
      </c>
      <c r="G1065" s="22" t="s">
        <v>5849</v>
      </c>
      <c r="H1065" s="22" t="s">
        <v>5835</v>
      </c>
      <c r="I1065" s="22">
        <v>43.7</v>
      </c>
      <c r="K1065" s="22" t="s">
        <v>5835</v>
      </c>
      <c r="N1065" s="25" t="s">
        <v>6424</v>
      </c>
      <c r="O1065" s="25" t="s">
        <v>5835</v>
      </c>
      <c r="R1065" s="22" t="s">
        <v>5849</v>
      </c>
    </row>
    <row r="1066" spans="3:18" ht="16">
      <c r="C1066" s="19" t="s">
        <v>549</v>
      </c>
      <c r="D1066" s="20" t="s">
        <v>2490</v>
      </c>
      <c r="E1066" s="21" t="s">
        <v>6413</v>
      </c>
      <c r="F1066" s="21" t="s">
        <v>5852</v>
      </c>
      <c r="G1066" s="22" t="s">
        <v>5849</v>
      </c>
      <c r="H1066" s="22" t="s">
        <v>5835</v>
      </c>
      <c r="I1066" s="22">
        <v>45.8</v>
      </c>
      <c r="K1066" s="22" t="s">
        <v>5835</v>
      </c>
      <c r="N1066" s="25" t="s">
        <v>6955</v>
      </c>
      <c r="O1066" s="25" t="s">
        <v>5835</v>
      </c>
      <c r="R1066" s="22" t="s">
        <v>5849</v>
      </c>
    </row>
    <row r="1067" spans="3:18" ht="16">
      <c r="C1067" s="19" t="s">
        <v>552</v>
      </c>
      <c r="D1067" s="20" t="s">
        <v>2492</v>
      </c>
      <c r="E1067" s="21" t="s">
        <v>6413</v>
      </c>
      <c r="F1067" s="21" t="s">
        <v>5852</v>
      </c>
      <c r="G1067" s="22" t="s">
        <v>5849</v>
      </c>
      <c r="H1067" s="22" t="s">
        <v>7828</v>
      </c>
      <c r="I1067" s="22">
        <v>55.9</v>
      </c>
      <c r="K1067" s="22" t="s">
        <v>5835</v>
      </c>
      <c r="N1067" s="25" t="s">
        <v>6956</v>
      </c>
      <c r="O1067" s="25" t="s">
        <v>5835</v>
      </c>
      <c r="R1067" s="22" t="s">
        <v>5849</v>
      </c>
    </row>
    <row r="1068" spans="3:18" ht="16">
      <c r="C1068" s="19" t="s">
        <v>554</v>
      </c>
      <c r="D1068" s="20" t="s">
        <v>2494</v>
      </c>
      <c r="E1068" s="21" t="s">
        <v>6413</v>
      </c>
      <c r="F1068" s="21" t="s">
        <v>5852</v>
      </c>
      <c r="G1068" s="22" t="s">
        <v>5849</v>
      </c>
      <c r="H1068" s="22" t="s">
        <v>5835</v>
      </c>
      <c r="I1068" s="22">
        <v>39.1</v>
      </c>
      <c r="K1068" s="22" t="s">
        <v>5835</v>
      </c>
      <c r="N1068" s="25" t="s">
        <v>6957</v>
      </c>
      <c r="O1068" s="25" t="s">
        <v>5835</v>
      </c>
      <c r="R1068" s="22" t="s">
        <v>5849</v>
      </c>
    </row>
    <row r="1069" spans="3:18" ht="16">
      <c r="C1069" s="19" t="s">
        <v>555</v>
      </c>
      <c r="D1069" s="20" t="s">
        <v>2495</v>
      </c>
      <c r="E1069" s="21" t="s">
        <v>6413</v>
      </c>
      <c r="F1069" s="21" t="s">
        <v>5852</v>
      </c>
      <c r="G1069" s="22" t="s">
        <v>5849</v>
      </c>
      <c r="H1069" s="22" t="s">
        <v>5835</v>
      </c>
      <c r="I1069" s="22">
        <v>42.6</v>
      </c>
      <c r="K1069" s="22" t="s">
        <v>5835</v>
      </c>
      <c r="N1069" s="25" t="s">
        <v>6958</v>
      </c>
      <c r="O1069" s="25" t="s">
        <v>5835</v>
      </c>
      <c r="R1069" s="22" t="s">
        <v>5849</v>
      </c>
    </row>
    <row r="1070" spans="3:18" ht="16">
      <c r="C1070" s="19" t="s">
        <v>556</v>
      </c>
      <c r="D1070" s="20" t="s">
        <v>2496</v>
      </c>
      <c r="E1070" s="21" t="s">
        <v>5851</v>
      </c>
      <c r="F1070" s="21" t="s">
        <v>5852</v>
      </c>
      <c r="G1070" s="22" t="s">
        <v>7827</v>
      </c>
      <c r="H1070" s="22" t="s">
        <v>5835</v>
      </c>
      <c r="I1070" s="22">
        <v>28.4</v>
      </c>
      <c r="K1070" s="22" t="s">
        <v>5835</v>
      </c>
      <c r="N1070" s="25" t="s">
        <v>5835</v>
      </c>
      <c r="O1070" s="25" t="s">
        <v>5835</v>
      </c>
      <c r="R1070" s="22" t="s">
        <v>5940</v>
      </c>
    </row>
    <row r="1071" spans="3:18" ht="16">
      <c r="C1071" s="19" t="s">
        <v>597</v>
      </c>
      <c r="D1071" s="20" t="s">
        <v>2535</v>
      </c>
      <c r="E1071" s="21" t="s">
        <v>5980</v>
      </c>
      <c r="F1071" s="21" t="s">
        <v>5852</v>
      </c>
      <c r="G1071" s="22" t="s">
        <v>5964</v>
      </c>
      <c r="H1071" s="22" t="s">
        <v>5835</v>
      </c>
      <c r="I1071" s="22">
        <v>29.7</v>
      </c>
      <c r="K1071" s="22" t="s">
        <v>5835</v>
      </c>
      <c r="N1071" s="25" t="s">
        <v>6959</v>
      </c>
      <c r="O1071" s="25" t="s">
        <v>5835</v>
      </c>
      <c r="R1071" s="22" t="s">
        <v>5964</v>
      </c>
    </row>
    <row r="1072" spans="3:18" ht="16">
      <c r="C1072" s="19" t="s">
        <v>599</v>
      </c>
      <c r="D1072" s="20" t="s">
        <v>2537</v>
      </c>
      <c r="E1072" s="21" t="s">
        <v>5980</v>
      </c>
      <c r="F1072" s="21" t="s">
        <v>5852</v>
      </c>
      <c r="G1072" s="22" t="s">
        <v>5846</v>
      </c>
      <c r="H1072" s="22" t="s">
        <v>5835</v>
      </c>
      <c r="I1072" s="22">
        <v>15.1</v>
      </c>
      <c r="K1072" s="22" t="s">
        <v>5835</v>
      </c>
      <c r="N1072" s="25" t="s">
        <v>6960</v>
      </c>
      <c r="O1072" s="25" t="s">
        <v>5835</v>
      </c>
      <c r="R1072" s="22" t="s">
        <v>5846</v>
      </c>
    </row>
    <row r="1073" spans="3:18" ht="16">
      <c r="C1073" s="19" t="s">
        <v>600</v>
      </c>
      <c r="D1073" s="20" t="s">
        <v>2538</v>
      </c>
      <c r="E1073" s="21" t="s">
        <v>5980</v>
      </c>
      <c r="F1073" s="21" t="s">
        <v>5852</v>
      </c>
      <c r="G1073" s="22" t="s">
        <v>5964</v>
      </c>
      <c r="H1073" s="22" t="s">
        <v>5835</v>
      </c>
      <c r="I1073" s="22">
        <v>21.8</v>
      </c>
      <c r="K1073" s="22" t="s">
        <v>5835</v>
      </c>
      <c r="N1073" s="25" t="s">
        <v>6961</v>
      </c>
      <c r="O1073" s="25" t="s">
        <v>5835</v>
      </c>
      <c r="R1073" s="22" t="s">
        <v>5964</v>
      </c>
    </row>
    <row r="1074" spans="3:18" ht="16">
      <c r="C1074" s="19" t="s">
        <v>602</v>
      </c>
      <c r="D1074" s="20" t="s">
        <v>2540</v>
      </c>
      <c r="E1074" s="21" t="s">
        <v>5980</v>
      </c>
      <c r="F1074" s="21" t="s">
        <v>5852</v>
      </c>
      <c r="G1074" s="22" t="s">
        <v>5964</v>
      </c>
      <c r="H1074" s="22" t="s">
        <v>5835</v>
      </c>
      <c r="I1074" s="22">
        <v>17</v>
      </c>
      <c r="K1074" s="22" t="s">
        <v>5835</v>
      </c>
      <c r="N1074" s="25" t="s">
        <v>6962</v>
      </c>
      <c r="O1074" s="25" t="s">
        <v>5835</v>
      </c>
      <c r="R1074" s="22" t="s">
        <v>5964</v>
      </c>
    </row>
    <row r="1075" spans="3:18" ht="16">
      <c r="C1075" s="19" t="s">
        <v>604</v>
      </c>
      <c r="D1075" s="20" t="s">
        <v>2541</v>
      </c>
      <c r="E1075" s="21" t="s">
        <v>5968</v>
      </c>
      <c r="F1075" s="21" t="s">
        <v>5835</v>
      </c>
      <c r="G1075" s="22" t="s">
        <v>7827</v>
      </c>
      <c r="H1075" s="22" t="s">
        <v>5835</v>
      </c>
      <c r="I1075" s="22">
        <v>8.1</v>
      </c>
      <c r="K1075" s="22" t="s">
        <v>5835</v>
      </c>
      <c r="N1075" s="25" t="s">
        <v>5835</v>
      </c>
      <c r="O1075" s="25" t="s">
        <v>5835</v>
      </c>
      <c r="R1075" s="22" t="s">
        <v>5940</v>
      </c>
    </row>
    <row r="1076" spans="3:18" ht="16">
      <c r="C1076" s="19" t="s">
        <v>606</v>
      </c>
      <c r="D1076" s="20" t="s">
        <v>2543</v>
      </c>
      <c r="E1076" s="21" t="s">
        <v>5980</v>
      </c>
      <c r="F1076" s="21" t="s">
        <v>5852</v>
      </c>
      <c r="G1076" s="22" t="s">
        <v>7827</v>
      </c>
      <c r="H1076" s="22" t="s">
        <v>5835</v>
      </c>
      <c r="I1076" s="22">
        <v>19.7</v>
      </c>
      <c r="K1076" s="22" t="s">
        <v>5835</v>
      </c>
      <c r="N1076" s="25" t="s">
        <v>5835</v>
      </c>
      <c r="O1076" s="25" t="s">
        <v>5835</v>
      </c>
      <c r="R1076" s="22" t="s">
        <v>5940</v>
      </c>
    </row>
    <row r="1077" spans="3:18" ht="16">
      <c r="C1077" s="19" t="s">
        <v>607</v>
      </c>
      <c r="D1077" s="20" t="s">
        <v>2544</v>
      </c>
      <c r="E1077" s="21" t="s">
        <v>5968</v>
      </c>
      <c r="F1077" s="21" t="s">
        <v>5835</v>
      </c>
      <c r="G1077" s="22" t="s">
        <v>7827</v>
      </c>
      <c r="H1077" s="22" t="s">
        <v>5835</v>
      </c>
      <c r="I1077" s="22">
        <v>12</v>
      </c>
      <c r="K1077" s="22" t="s">
        <v>5835</v>
      </c>
      <c r="N1077" s="25" t="s">
        <v>5835</v>
      </c>
      <c r="O1077" s="25" t="s">
        <v>5835</v>
      </c>
      <c r="R1077" s="22" t="s">
        <v>5940</v>
      </c>
    </row>
    <row r="1078" spans="3:18" ht="16">
      <c r="C1078" s="19" t="s">
        <v>608</v>
      </c>
      <c r="D1078" s="20" t="s">
        <v>2545</v>
      </c>
      <c r="E1078" s="21" t="s">
        <v>6521</v>
      </c>
      <c r="F1078" s="21" t="s">
        <v>5835</v>
      </c>
      <c r="G1078" s="22" t="s">
        <v>7825</v>
      </c>
      <c r="H1078" s="22" t="s">
        <v>5835</v>
      </c>
      <c r="I1078" s="22">
        <v>21.5</v>
      </c>
      <c r="K1078" s="22" t="s">
        <v>5835</v>
      </c>
      <c r="N1078" s="25" t="s">
        <v>5835</v>
      </c>
      <c r="O1078" s="25" t="s">
        <v>5835</v>
      </c>
      <c r="R1078" s="22" t="s">
        <v>6202</v>
      </c>
    </row>
    <row r="1079" spans="3:18" ht="16">
      <c r="C1079" s="19" t="s">
        <v>663</v>
      </c>
      <c r="D1079" s="20" t="s">
        <v>2600</v>
      </c>
      <c r="E1079" s="21" t="s">
        <v>6664</v>
      </c>
      <c r="F1079" s="21" t="s">
        <v>6314</v>
      </c>
      <c r="G1079" s="22" t="s">
        <v>5997</v>
      </c>
      <c r="H1079" s="22" t="s">
        <v>5835</v>
      </c>
      <c r="I1079" s="22">
        <v>8.1999999999999993</v>
      </c>
      <c r="K1079" s="22" t="s">
        <v>5835</v>
      </c>
      <c r="N1079" s="25" t="s">
        <v>6963</v>
      </c>
      <c r="O1079" s="25" t="s">
        <v>5835</v>
      </c>
      <c r="R1079" s="22" t="s">
        <v>5997</v>
      </c>
    </row>
    <row r="1080" spans="3:18" ht="16">
      <c r="C1080" s="19" t="s">
        <v>664</v>
      </c>
      <c r="D1080" s="20" t="s">
        <v>2601</v>
      </c>
      <c r="E1080" s="21" t="s">
        <v>6199</v>
      </c>
      <c r="F1080" s="21" t="s">
        <v>6200</v>
      </c>
      <c r="G1080" s="22" t="s">
        <v>5881</v>
      </c>
      <c r="H1080" s="22" t="s">
        <v>5835</v>
      </c>
      <c r="I1080" s="22">
        <v>11.9</v>
      </c>
      <c r="K1080" s="22" t="s">
        <v>5835</v>
      </c>
      <c r="N1080" s="25" t="s">
        <v>6964</v>
      </c>
      <c r="O1080" s="25" t="s">
        <v>5835</v>
      </c>
      <c r="R1080" s="22" t="s">
        <v>5881</v>
      </c>
    </row>
    <row r="1081" spans="3:18" ht="16">
      <c r="C1081" s="19" t="s">
        <v>665</v>
      </c>
      <c r="D1081" s="20" t="s">
        <v>2602</v>
      </c>
      <c r="E1081" s="21" t="s">
        <v>6079</v>
      </c>
      <c r="F1081" s="21" t="s">
        <v>6080</v>
      </c>
      <c r="G1081" s="22" t="s">
        <v>5954</v>
      </c>
      <c r="H1081" s="22" t="s">
        <v>5835</v>
      </c>
      <c r="I1081" s="22">
        <v>4.4000000000000004</v>
      </c>
      <c r="K1081" s="22" t="s">
        <v>5835</v>
      </c>
      <c r="N1081" s="25" t="s">
        <v>6965</v>
      </c>
      <c r="O1081" s="25" t="s">
        <v>5835</v>
      </c>
      <c r="R1081" s="22" t="s">
        <v>5954</v>
      </c>
    </row>
    <row r="1082" spans="3:18" ht="16">
      <c r="C1082" s="19" t="s">
        <v>666</v>
      </c>
      <c r="D1082" s="20" t="s">
        <v>2603</v>
      </c>
      <c r="E1082" s="21" t="s">
        <v>6025</v>
      </c>
      <c r="F1082" s="21" t="s">
        <v>17</v>
      </c>
      <c r="G1082" s="22" t="s">
        <v>5902</v>
      </c>
      <c r="H1082" s="22" t="s">
        <v>5835</v>
      </c>
      <c r="I1082" s="22">
        <v>19.7</v>
      </c>
      <c r="K1082" s="22" t="s">
        <v>5835</v>
      </c>
      <c r="N1082" s="25" t="s">
        <v>6966</v>
      </c>
      <c r="O1082" s="25" t="s">
        <v>5835</v>
      </c>
      <c r="R1082" s="22" t="s">
        <v>5902</v>
      </c>
    </row>
    <row r="1083" spans="3:18" ht="16">
      <c r="C1083" s="19" t="s">
        <v>667</v>
      </c>
      <c r="D1083" s="20" t="s">
        <v>2604</v>
      </c>
      <c r="E1083" s="21" t="s">
        <v>6257</v>
      </c>
      <c r="F1083" s="21" t="s">
        <v>10</v>
      </c>
      <c r="G1083" s="22" t="s">
        <v>5875</v>
      </c>
      <c r="H1083" s="22" t="s">
        <v>5835</v>
      </c>
      <c r="I1083" s="22">
        <v>18.3</v>
      </c>
      <c r="K1083" s="22" t="s">
        <v>5835</v>
      </c>
      <c r="N1083" s="25" t="s">
        <v>6967</v>
      </c>
      <c r="O1083" s="25" t="s">
        <v>5835</v>
      </c>
      <c r="R1083" s="22" t="s">
        <v>5875</v>
      </c>
    </row>
    <row r="1084" spans="3:18" ht="16">
      <c r="C1084" s="19" t="s">
        <v>668</v>
      </c>
      <c r="D1084" s="20" t="s">
        <v>2605</v>
      </c>
      <c r="E1084" s="21" t="s">
        <v>6025</v>
      </c>
      <c r="F1084" s="21" t="s">
        <v>17</v>
      </c>
      <c r="G1084" s="22" t="s">
        <v>5855</v>
      </c>
      <c r="H1084" s="22" t="s">
        <v>7828</v>
      </c>
      <c r="I1084" s="22">
        <v>191.9</v>
      </c>
      <c r="K1084" s="22" t="s">
        <v>5835</v>
      </c>
      <c r="N1084" s="25" t="s">
        <v>6968</v>
      </c>
      <c r="O1084" s="25" t="s">
        <v>5835</v>
      </c>
      <c r="R1084" s="22" t="s">
        <v>5855</v>
      </c>
    </row>
    <row r="1085" spans="3:18" ht="16">
      <c r="C1085" s="19" t="s">
        <v>669</v>
      </c>
      <c r="D1085" s="20" t="s">
        <v>2606</v>
      </c>
      <c r="E1085" s="21" t="s">
        <v>6209</v>
      </c>
      <c r="F1085" s="21" t="s">
        <v>5913</v>
      </c>
      <c r="G1085" s="22" t="s">
        <v>5962</v>
      </c>
      <c r="H1085" s="22" t="s">
        <v>7828</v>
      </c>
      <c r="I1085" s="22">
        <v>334.9</v>
      </c>
      <c r="K1085" s="22" t="s">
        <v>5835</v>
      </c>
      <c r="N1085" s="25" t="s">
        <v>6969</v>
      </c>
      <c r="O1085" s="25" t="s">
        <v>5835</v>
      </c>
      <c r="R1085" s="22" t="s">
        <v>5962</v>
      </c>
    </row>
    <row r="1086" spans="3:18" ht="16">
      <c r="C1086" s="19" t="s">
        <v>670</v>
      </c>
      <c r="D1086" s="20" t="s">
        <v>2607</v>
      </c>
      <c r="E1086" s="21" t="s">
        <v>6664</v>
      </c>
      <c r="F1086" s="21" t="s">
        <v>6314</v>
      </c>
      <c r="G1086" s="22" t="s">
        <v>5997</v>
      </c>
      <c r="H1086" s="22" t="s">
        <v>5835</v>
      </c>
      <c r="I1086" s="22">
        <v>29.9</v>
      </c>
      <c r="K1086" s="22" t="s">
        <v>5835</v>
      </c>
      <c r="N1086" s="25" t="s">
        <v>6970</v>
      </c>
      <c r="O1086" s="25" t="s">
        <v>5835</v>
      </c>
      <c r="R1086" s="22" t="s">
        <v>5997</v>
      </c>
    </row>
    <row r="1087" spans="3:18" ht="16">
      <c r="C1087" s="19" t="s">
        <v>671</v>
      </c>
      <c r="D1087" s="20" t="s">
        <v>2608</v>
      </c>
      <c r="E1087" s="21" t="s">
        <v>6521</v>
      </c>
      <c r="F1087" s="21" t="s">
        <v>6314</v>
      </c>
      <c r="G1087" s="22" t="s">
        <v>5964</v>
      </c>
      <c r="H1087" s="22" t="s">
        <v>5835</v>
      </c>
      <c r="I1087" s="22">
        <v>12.1</v>
      </c>
      <c r="K1087" s="22" t="s">
        <v>5835</v>
      </c>
      <c r="N1087" s="25" t="s">
        <v>6971</v>
      </c>
      <c r="O1087" s="25" t="s">
        <v>5835</v>
      </c>
      <c r="R1087" s="22" t="s">
        <v>5964</v>
      </c>
    </row>
    <row r="1088" spans="3:18" ht="16">
      <c r="C1088" s="19" t="s">
        <v>672</v>
      </c>
      <c r="D1088" s="20" t="s">
        <v>2609</v>
      </c>
      <c r="E1088" s="21" t="s">
        <v>6664</v>
      </c>
      <c r="F1088" s="21" t="s">
        <v>6314</v>
      </c>
      <c r="G1088" s="22" t="s">
        <v>5997</v>
      </c>
      <c r="H1088" s="22" t="s">
        <v>5835</v>
      </c>
      <c r="I1088" s="22">
        <v>40.4</v>
      </c>
      <c r="K1088" s="22" t="s">
        <v>5835</v>
      </c>
      <c r="N1088" s="25" t="s">
        <v>6972</v>
      </c>
      <c r="O1088" s="25" t="s">
        <v>5835</v>
      </c>
      <c r="R1088" s="22" t="s">
        <v>5997</v>
      </c>
    </row>
    <row r="1089" spans="3:18" ht="16">
      <c r="C1089" s="19" t="s">
        <v>673</v>
      </c>
      <c r="D1089" s="20" t="s">
        <v>2610</v>
      </c>
      <c r="E1089" s="21" t="s">
        <v>6285</v>
      </c>
      <c r="F1089" s="21" t="s">
        <v>6281</v>
      </c>
      <c r="G1089" s="22" t="s">
        <v>5945</v>
      </c>
      <c r="H1089" s="22" t="s">
        <v>5835</v>
      </c>
      <c r="I1089" s="22">
        <v>94.7</v>
      </c>
      <c r="K1089" s="22" t="s">
        <v>5835</v>
      </c>
      <c r="N1089" s="25" t="s">
        <v>6973</v>
      </c>
      <c r="O1089" s="25" t="s">
        <v>5835</v>
      </c>
      <c r="R1089" s="22" t="s">
        <v>5945</v>
      </c>
    </row>
    <row r="1090" spans="3:18" ht="16">
      <c r="C1090" s="19" t="s">
        <v>676</v>
      </c>
      <c r="D1090" s="20" t="s">
        <v>2613</v>
      </c>
      <c r="E1090" s="21" t="s">
        <v>6254</v>
      </c>
      <c r="F1090" s="21" t="s">
        <v>8</v>
      </c>
      <c r="G1090" s="22" t="s">
        <v>5935</v>
      </c>
      <c r="H1090" s="22" t="s">
        <v>5835</v>
      </c>
      <c r="I1090" s="22">
        <v>39.4</v>
      </c>
      <c r="K1090" s="22" t="s">
        <v>5835</v>
      </c>
      <c r="N1090" s="25" t="s">
        <v>6974</v>
      </c>
      <c r="O1090" s="25" t="s">
        <v>5835</v>
      </c>
      <c r="R1090" s="22" t="s">
        <v>5935</v>
      </c>
    </row>
    <row r="1091" spans="3:18" ht="16">
      <c r="C1091" s="19" t="s">
        <v>678</v>
      </c>
      <c r="D1091" s="20" t="s">
        <v>2615</v>
      </c>
      <c r="E1091" s="21" t="s">
        <v>6277</v>
      </c>
      <c r="F1091" s="21" t="s">
        <v>17</v>
      </c>
      <c r="G1091" s="22" t="s">
        <v>5873</v>
      </c>
      <c r="H1091" s="22" t="s">
        <v>5835</v>
      </c>
      <c r="I1091" s="22">
        <v>4.4000000000000004</v>
      </c>
      <c r="K1091" s="22" t="s">
        <v>5835</v>
      </c>
      <c r="N1091" s="25" t="s">
        <v>6975</v>
      </c>
      <c r="O1091" s="25" t="s">
        <v>5835</v>
      </c>
      <c r="R1091" s="22" t="s">
        <v>5873</v>
      </c>
    </row>
    <row r="1092" spans="3:18" ht="16">
      <c r="C1092" s="19" t="s">
        <v>679</v>
      </c>
      <c r="D1092" s="20" t="s">
        <v>2616</v>
      </c>
      <c r="E1092" s="21" t="s">
        <v>6203</v>
      </c>
      <c r="F1092" s="21" t="s">
        <v>8</v>
      </c>
      <c r="G1092" s="22" t="s">
        <v>5962</v>
      </c>
      <c r="H1092" s="22" t="s">
        <v>7828</v>
      </c>
      <c r="I1092" s="22">
        <v>354.8</v>
      </c>
      <c r="K1092" s="22" t="s">
        <v>5835</v>
      </c>
      <c r="N1092" s="25" t="s">
        <v>6976</v>
      </c>
      <c r="O1092" s="25" t="s">
        <v>5835</v>
      </c>
      <c r="R1092" s="22" t="s">
        <v>5962</v>
      </c>
    </row>
    <row r="1093" spans="3:18" ht="16">
      <c r="C1093" s="19" t="s">
        <v>680</v>
      </c>
      <c r="D1093" s="20" t="s">
        <v>2617</v>
      </c>
      <c r="E1093" s="21" t="s">
        <v>6237</v>
      </c>
      <c r="F1093" s="21" t="s">
        <v>6231</v>
      </c>
      <c r="G1093" s="22" t="s">
        <v>5933</v>
      </c>
      <c r="H1093" s="22" t="s">
        <v>5835</v>
      </c>
      <c r="I1093" s="22">
        <v>15.7</v>
      </c>
      <c r="K1093" s="22" t="s">
        <v>5835</v>
      </c>
      <c r="N1093" s="25" t="s">
        <v>6977</v>
      </c>
      <c r="O1093" s="25" t="s">
        <v>5835</v>
      </c>
      <c r="R1093" s="22" t="s">
        <v>5933</v>
      </c>
    </row>
    <row r="1094" spans="3:18" ht="16">
      <c r="C1094" s="19" t="s">
        <v>681</v>
      </c>
      <c r="D1094" s="20" t="s">
        <v>2618</v>
      </c>
      <c r="E1094" s="21" t="s">
        <v>6208</v>
      </c>
      <c r="F1094" s="21" t="s">
        <v>17</v>
      </c>
      <c r="G1094" s="22" t="s">
        <v>5935</v>
      </c>
      <c r="H1094" s="22" t="s">
        <v>5835</v>
      </c>
      <c r="I1094" s="22">
        <v>7</v>
      </c>
      <c r="K1094" s="22" t="s">
        <v>5835</v>
      </c>
      <c r="N1094" s="25" t="s">
        <v>6978</v>
      </c>
      <c r="O1094" s="25" t="s">
        <v>5835</v>
      </c>
      <c r="R1094" s="22" t="s">
        <v>5935</v>
      </c>
    </row>
    <row r="1095" spans="3:18" ht="16">
      <c r="C1095" s="19" t="s">
        <v>682</v>
      </c>
      <c r="D1095" s="20" t="s">
        <v>2619</v>
      </c>
      <c r="E1095" s="21" t="s">
        <v>6074</v>
      </c>
      <c r="F1095" s="21" t="s">
        <v>6075</v>
      </c>
      <c r="G1095" s="22" t="s">
        <v>5889</v>
      </c>
      <c r="H1095" s="22" t="s">
        <v>5835</v>
      </c>
      <c r="I1095" s="22">
        <v>10.6</v>
      </c>
      <c r="K1095" s="22" t="s">
        <v>5835</v>
      </c>
      <c r="N1095" s="25" t="s">
        <v>6979</v>
      </c>
      <c r="O1095" s="25" t="s">
        <v>5835</v>
      </c>
      <c r="R1095" s="22" t="s">
        <v>5889</v>
      </c>
    </row>
    <row r="1096" spans="3:18" ht="16">
      <c r="C1096" s="19" t="s">
        <v>683</v>
      </c>
      <c r="D1096" s="20" t="s">
        <v>2620</v>
      </c>
      <c r="E1096" s="21" t="s">
        <v>6257</v>
      </c>
      <c r="F1096" s="21" t="s">
        <v>10</v>
      </c>
      <c r="G1096" s="22" t="s">
        <v>5947</v>
      </c>
      <c r="H1096" s="22" t="s">
        <v>5835</v>
      </c>
      <c r="I1096" s="22">
        <v>11.9</v>
      </c>
      <c r="K1096" s="22" t="s">
        <v>5835</v>
      </c>
      <c r="N1096" s="25" t="s">
        <v>6980</v>
      </c>
      <c r="O1096" s="25" t="s">
        <v>5835</v>
      </c>
      <c r="R1096" s="22" t="s">
        <v>5947</v>
      </c>
    </row>
    <row r="1097" spans="3:18" ht="16">
      <c r="C1097" s="19" t="s">
        <v>684</v>
      </c>
      <c r="D1097" s="20" t="s">
        <v>2621</v>
      </c>
      <c r="E1097" s="21" t="s">
        <v>6280</v>
      </c>
      <c r="F1097" s="21" t="s">
        <v>6281</v>
      </c>
      <c r="G1097" s="22" t="s">
        <v>5906</v>
      </c>
      <c r="H1097" s="22" t="s">
        <v>5835</v>
      </c>
      <c r="I1097" s="22">
        <v>19.899999999999999</v>
      </c>
      <c r="K1097" s="22" t="s">
        <v>5835</v>
      </c>
      <c r="N1097" s="25" t="s">
        <v>6981</v>
      </c>
      <c r="O1097" s="25" t="s">
        <v>5835</v>
      </c>
      <c r="R1097" s="22" t="s">
        <v>5906</v>
      </c>
    </row>
    <row r="1098" spans="3:18" ht="16">
      <c r="C1098" s="19" t="s">
        <v>686</v>
      </c>
      <c r="D1098" s="20" t="s">
        <v>2623</v>
      </c>
      <c r="E1098" s="21" t="s">
        <v>6254</v>
      </c>
      <c r="F1098" s="21" t="s">
        <v>8</v>
      </c>
      <c r="G1098" s="22" t="s">
        <v>12</v>
      </c>
      <c r="H1098" s="22" t="s">
        <v>7828</v>
      </c>
      <c r="I1098" s="22">
        <v>462.8</v>
      </c>
      <c r="K1098" s="22" t="s">
        <v>5835</v>
      </c>
      <c r="N1098" s="25" t="s">
        <v>6982</v>
      </c>
      <c r="O1098" s="25" t="s">
        <v>5835</v>
      </c>
      <c r="R1098" s="22" t="s">
        <v>12</v>
      </c>
    </row>
    <row r="1099" spans="3:18" ht="16">
      <c r="C1099" s="19" t="s">
        <v>689</v>
      </c>
      <c r="D1099" s="20" t="s">
        <v>2626</v>
      </c>
      <c r="E1099" s="21" t="s">
        <v>6257</v>
      </c>
      <c r="F1099" s="21" t="s">
        <v>10</v>
      </c>
      <c r="G1099" s="22" t="s">
        <v>5937</v>
      </c>
      <c r="H1099" s="22" t="s">
        <v>5835</v>
      </c>
      <c r="I1099" s="22">
        <v>43.2</v>
      </c>
      <c r="K1099" s="22" t="s">
        <v>5835</v>
      </c>
      <c r="N1099" s="25" t="s">
        <v>6983</v>
      </c>
      <c r="O1099" s="25" t="s">
        <v>5835</v>
      </c>
      <c r="R1099" s="22" t="s">
        <v>5937</v>
      </c>
    </row>
    <row r="1100" spans="3:18" ht="16">
      <c r="C1100" s="19" t="s">
        <v>690</v>
      </c>
      <c r="D1100" s="20" t="s">
        <v>2627</v>
      </c>
      <c r="E1100" s="21" t="s">
        <v>6313</v>
      </c>
      <c r="F1100" s="21" t="s">
        <v>6314</v>
      </c>
      <c r="G1100" s="22" t="s">
        <v>5958</v>
      </c>
      <c r="H1100" s="22" t="s">
        <v>7828</v>
      </c>
      <c r="I1100" s="22">
        <v>76.099999999999994</v>
      </c>
      <c r="K1100" s="22" t="s">
        <v>5835</v>
      </c>
      <c r="N1100" s="25" t="s">
        <v>6984</v>
      </c>
      <c r="O1100" s="25" t="s">
        <v>5835</v>
      </c>
      <c r="R1100" s="22" t="s">
        <v>5958</v>
      </c>
    </row>
    <row r="1101" spans="3:18" ht="16">
      <c r="C1101" s="19" t="s">
        <v>693</v>
      </c>
      <c r="D1101" s="20" t="s">
        <v>2629</v>
      </c>
      <c r="E1101" s="21" t="s">
        <v>6219</v>
      </c>
      <c r="F1101" s="21" t="s">
        <v>17</v>
      </c>
      <c r="G1101" s="22" t="s">
        <v>5918</v>
      </c>
      <c r="H1101" s="22" t="s">
        <v>5835</v>
      </c>
      <c r="I1101" s="22">
        <v>78.7</v>
      </c>
      <c r="K1101" s="22" t="s">
        <v>5835</v>
      </c>
      <c r="N1101" s="25" t="s">
        <v>6985</v>
      </c>
      <c r="O1101" s="25" t="s">
        <v>5835</v>
      </c>
      <c r="R1101" s="22" t="s">
        <v>5918</v>
      </c>
    </row>
    <row r="1102" spans="3:18" ht="16">
      <c r="C1102" s="19" t="s">
        <v>695</v>
      </c>
      <c r="D1102" s="20" t="s">
        <v>2631</v>
      </c>
      <c r="E1102" s="21" t="s">
        <v>6679</v>
      </c>
      <c r="F1102" s="21" t="s">
        <v>6680</v>
      </c>
      <c r="G1102" s="22" t="s">
        <v>5859</v>
      </c>
      <c r="H1102" s="22" t="s">
        <v>5835</v>
      </c>
      <c r="I1102" s="22">
        <v>55.7</v>
      </c>
      <c r="K1102" s="22" t="s">
        <v>5835</v>
      </c>
      <c r="N1102" s="25" t="s">
        <v>6986</v>
      </c>
      <c r="O1102" s="25" t="s">
        <v>5835</v>
      </c>
      <c r="R1102" s="22" t="s">
        <v>5859</v>
      </c>
    </row>
    <row r="1103" spans="3:18" ht="16">
      <c r="C1103" s="19" t="s">
        <v>696</v>
      </c>
      <c r="D1103" s="20" t="s">
        <v>2632</v>
      </c>
      <c r="E1103" s="21" t="s">
        <v>6209</v>
      </c>
      <c r="F1103" s="21" t="s">
        <v>5913</v>
      </c>
      <c r="G1103" s="22" t="s">
        <v>5962</v>
      </c>
      <c r="H1103" s="22" t="s">
        <v>7828</v>
      </c>
      <c r="I1103" s="22">
        <v>148.9</v>
      </c>
      <c r="K1103" s="22" t="s">
        <v>5835</v>
      </c>
      <c r="N1103" s="25" t="s">
        <v>6987</v>
      </c>
      <c r="O1103" s="25" t="s">
        <v>5835</v>
      </c>
      <c r="R1103" s="22" t="s">
        <v>5962</v>
      </c>
    </row>
    <row r="1104" spans="3:18" ht="16">
      <c r="C1104" s="19" t="s">
        <v>700</v>
      </c>
      <c r="D1104" s="20" t="s">
        <v>2636</v>
      </c>
      <c r="E1104" s="21" t="s">
        <v>6226</v>
      </c>
      <c r="F1104" s="21" t="s">
        <v>5913</v>
      </c>
      <c r="G1104" s="22" t="s">
        <v>5941</v>
      </c>
      <c r="H1104" s="22" t="s">
        <v>5835</v>
      </c>
      <c r="I1104" s="22">
        <v>52.1</v>
      </c>
      <c r="K1104" s="22" t="s">
        <v>5835</v>
      </c>
      <c r="N1104" s="25" t="s">
        <v>6988</v>
      </c>
      <c r="O1104" s="25" t="s">
        <v>5835</v>
      </c>
      <c r="R1104" s="22" t="s">
        <v>5941</v>
      </c>
    </row>
    <row r="1105" spans="3:18" ht="16">
      <c r="C1105" s="19" t="s">
        <v>701</v>
      </c>
      <c r="D1105" s="20" t="s">
        <v>6989</v>
      </c>
      <c r="E1105" s="21" t="s">
        <v>5968</v>
      </c>
      <c r="F1105" s="21" t="s">
        <v>5969</v>
      </c>
      <c r="G1105" s="22" t="s">
        <v>7827</v>
      </c>
      <c r="H1105" s="22" t="s">
        <v>5835</v>
      </c>
      <c r="I1105" s="22">
        <v>14.1</v>
      </c>
      <c r="K1105" s="22" t="s">
        <v>5835</v>
      </c>
      <c r="N1105" s="25" t="s">
        <v>6990</v>
      </c>
      <c r="O1105" s="25" t="s">
        <v>5835</v>
      </c>
      <c r="R1105" s="22" t="s">
        <v>5940</v>
      </c>
    </row>
    <row r="1106" spans="3:18" ht="16">
      <c r="C1106" s="19" t="s">
        <v>702</v>
      </c>
      <c r="D1106" s="20" t="s">
        <v>2637</v>
      </c>
      <c r="E1106" s="21" t="s">
        <v>6074</v>
      </c>
      <c r="F1106" s="21" t="s">
        <v>6075</v>
      </c>
      <c r="G1106" s="22" t="s">
        <v>5891</v>
      </c>
      <c r="H1106" s="22" t="s">
        <v>5835</v>
      </c>
      <c r="I1106" s="22">
        <v>41.7</v>
      </c>
      <c r="K1106" s="22" t="s">
        <v>5835</v>
      </c>
      <c r="N1106" s="25" t="s">
        <v>6991</v>
      </c>
      <c r="O1106" s="25" t="s">
        <v>5835</v>
      </c>
      <c r="R1106" s="22" t="s">
        <v>5891</v>
      </c>
    </row>
    <row r="1107" spans="3:18" ht="16">
      <c r="C1107" s="19" t="s">
        <v>703</v>
      </c>
      <c r="D1107" s="20" t="s">
        <v>2638</v>
      </c>
      <c r="E1107" s="21" t="s">
        <v>6033</v>
      </c>
      <c r="F1107" s="21" t="s">
        <v>5969</v>
      </c>
      <c r="G1107" s="22" t="s">
        <v>5935</v>
      </c>
      <c r="H1107" s="22" t="s">
        <v>5835</v>
      </c>
      <c r="I1107" s="22">
        <v>19.899999999999999</v>
      </c>
      <c r="K1107" s="22" t="s">
        <v>5835</v>
      </c>
      <c r="N1107" s="25" t="s">
        <v>6992</v>
      </c>
      <c r="O1107" s="25" t="s">
        <v>5835</v>
      </c>
      <c r="R1107" s="22" t="s">
        <v>5935</v>
      </c>
    </row>
    <row r="1108" spans="3:18" ht="16">
      <c r="C1108" s="19" t="s">
        <v>704</v>
      </c>
      <c r="D1108" s="20" t="s">
        <v>2639</v>
      </c>
      <c r="E1108" s="21" t="s">
        <v>5923</v>
      </c>
      <c r="F1108" s="21" t="s">
        <v>5831</v>
      </c>
      <c r="G1108" s="22" t="s">
        <v>5840</v>
      </c>
      <c r="H1108" s="22" t="s">
        <v>5835</v>
      </c>
      <c r="I1108" s="22">
        <v>52.4</v>
      </c>
      <c r="K1108" s="22" t="s">
        <v>5835</v>
      </c>
      <c r="N1108" s="25" t="s">
        <v>6993</v>
      </c>
      <c r="O1108" s="25" t="s">
        <v>5835</v>
      </c>
      <c r="R1108" s="22" t="s">
        <v>5840</v>
      </c>
    </row>
    <row r="1109" spans="3:18" ht="16">
      <c r="C1109" s="19" t="s">
        <v>706</v>
      </c>
      <c r="D1109" s="20" t="s">
        <v>2641</v>
      </c>
      <c r="E1109" s="21" t="s">
        <v>6319</v>
      </c>
      <c r="F1109" s="21" t="s">
        <v>17</v>
      </c>
      <c r="G1109" s="22" t="s">
        <v>5855</v>
      </c>
      <c r="H1109" s="22" t="s">
        <v>5835</v>
      </c>
      <c r="I1109" s="22">
        <v>6.3</v>
      </c>
      <c r="K1109" s="22" t="s">
        <v>5835</v>
      </c>
      <c r="N1109" s="25" t="s">
        <v>6994</v>
      </c>
      <c r="O1109" s="25" t="s">
        <v>5835</v>
      </c>
      <c r="R1109" s="22" t="s">
        <v>5855</v>
      </c>
    </row>
    <row r="1110" spans="3:18" ht="16">
      <c r="C1110" s="19" t="s">
        <v>6995</v>
      </c>
      <c r="D1110" s="20" t="s">
        <v>6996</v>
      </c>
      <c r="E1110" s="21" t="s">
        <v>6067</v>
      </c>
      <c r="F1110" s="21" t="s">
        <v>17</v>
      </c>
      <c r="G1110" s="22" t="s">
        <v>5920</v>
      </c>
      <c r="H1110" s="22" t="s">
        <v>5835</v>
      </c>
      <c r="I1110" s="22">
        <v>0</v>
      </c>
      <c r="K1110" s="22" t="s">
        <v>5835</v>
      </c>
      <c r="N1110" s="25" t="s">
        <v>6997</v>
      </c>
      <c r="O1110" s="25" t="s">
        <v>5835</v>
      </c>
      <c r="R1110" s="22" t="s">
        <v>5920</v>
      </c>
    </row>
    <row r="1111" spans="3:18" ht="16">
      <c r="C1111" s="19" t="s">
        <v>707</v>
      </c>
      <c r="D1111" s="20" t="s">
        <v>2642</v>
      </c>
      <c r="E1111" s="21" t="s">
        <v>6074</v>
      </c>
      <c r="F1111" s="21" t="s">
        <v>6075</v>
      </c>
      <c r="G1111" s="22" t="s">
        <v>5884</v>
      </c>
      <c r="H1111" s="22" t="s">
        <v>5835</v>
      </c>
      <c r="I1111" s="22">
        <v>32.9</v>
      </c>
      <c r="K1111" s="22" t="s">
        <v>5835</v>
      </c>
      <c r="N1111" s="25" t="s">
        <v>6998</v>
      </c>
      <c r="O1111" s="25" t="s">
        <v>5835</v>
      </c>
      <c r="R1111" s="22" t="s">
        <v>5884</v>
      </c>
    </row>
    <row r="1112" spans="3:18" ht="16">
      <c r="C1112" s="19" t="s">
        <v>708</v>
      </c>
      <c r="D1112" s="20" t="s">
        <v>2643</v>
      </c>
      <c r="E1112" s="21" t="s">
        <v>6277</v>
      </c>
      <c r="F1112" s="21" t="s">
        <v>17</v>
      </c>
      <c r="G1112" s="22" t="s">
        <v>5954</v>
      </c>
      <c r="H1112" s="22" t="s">
        <v>5835</v>
      </c>
      <c r="I1112" s="22">
        <v>22</v>
      </c>
      <c r="K1112" s="22" t="s">
        <v>5835</v>
      </c>
      <c r="N1112" s="25" t="s">
        <v>6999</v>
      </c>
      <c r="O1112" s="25" t="s">
        <v>5835</v>
      </c>
      <c r="R1112" s="22" t="s">
        <v>5954</v>
      </c>
    </row>
    <row r="1113" spans="3:18" ht="16">
      <c r="C1113" s="19" t="s">
        <v>709</v>
      </c>
      <c r="D1113" s="20" t="s">
        <v>2644</v>
      </c>
      <c r="E1113" s="21" t="s">
        <v>6319</v>
      </c>
      <c r="F1113" s="21" t="s">
        <v>17</v>
      </c>
      <c r="G1113" s="22" t="s">
        <v>5855</v>
      </c>
      <c r="H1113" s="22" t="s">
        <v>5835</v>
      </c>
      <c r="I1113" s="22">
        <v>43.5</v>
      </c>
      <c r="K1113" s="22" t="s">
        <v>5835</v>
      </c>
      <c r="N1113" s="25" t="s">
        <v>7000</v>
      </c>
      <c r="O1113" s="25" t="s">
        <v>5835</v>
      </c>
      <c r="R1113" s="22" t="s">
        <v>5855</v>
      </c>
    </row>
    <row r="1114" spans="3:18" ht="16">
      <c r="C1114" s="19" t="s">
        <v>711</v>
      </c>
      <c r="D1114" s="20" t="s">
        <v>2646</v>
      </c>
      <c r="E1114" s="21" t="s">
        <v>6277</v>
      </c>
      <c r="F1114" s="21" t="s">
        <v>17</v>
      </c>
      <c r="G1114" s="22" t="s">
        <v>5995</v>
      </c>
      <c r="H1114" s="22" t="s">
        <v>7828</v>
      </c>
      <c r="I1114" s="22">
        <v>381.5</v>
      </c>
      <c r="K1114" s="22" t="s">
        <v>5835</v>
      </c>
      <c r="N1114" s="25" t="s">
        <v>7001</v>
      </c>
      <c r="O1114" s="25" t="s">
        <v>5835</v>
      </c>
      <c r="R1114" s="22" t="s">
        <v>5995</v>
      </c>
    </row>
    <row r="1115" spans="3:18" ht="16">
      <c r="C1115" s="19" t="s">
        <v>712</v>
      </c>
      <c r="D1115" s="20" t="s">
        <v>2647</v>
      </c>
      <c r="E1115" s="21" t="s">
        <v>6237</v>
      </c>
      <c r="F1115" s="21" t="s">
        <v>6231</v>
      </c>
      <c r="G1115" s="22" t="s">
        <v>5924</v>
      </c>
      <c r="H1115" s="22" t="s">
        <v>7828</v>
      </c>
      <c r="I1115" s="22">
        <v>64.900000000000006</v>
      </c>
      <c r="K1115" s="22" t="s">
        <v>5835</v>
      </c>
      <c r="N1115" s="25" t="s">
        <v>7002</v>
      </c>
      <c r="O1115" s="25" t="s">
        <v>5835</v>
      </c>
      <c r="R1115" s="22" t="s">
        <v>5924</v>
      </c>
    </row>
    <row r="1116" spans="3:18" ht="16">
      <c r="C1116" s="19" t="s">
        <v>713</v>
      </c>
      <c r="D1116" s="20" t="s">
        <v>2648</v>
      </c>
      <c r="E1116" s="21" t="s">
        <v>6067</v>
      </c>
      <c r="F1116" s="21" t="s">
        <v>17</v>
      </c>
      <c r="G1116" s="22" t="s">
        <v>5920</v>
      </c>
      <c r="H1116" s="22" t="s">
        <v>5835</v>
      </c>
      <c r="I1116" s="22">
        <v>132.9</v>
      </c>
      <c r="K1116" s="22" t="s">
        <v>5835</v>
      </c>
      <c r="N1116" s="25" t="s">
        <v>7003</v>
      </c>
      <c r="O1116" s="25" t="s">
        <v>5835</v>
      </c>
      <c r="R1116" s="22" t="s">
        <v>5920</v>
      </c>
    </row>
    <row r="1117" spans="3:18" ht="16">
      <c r="C1117" s="19" t="s">
        <v>714</v>
      </c>
      <c r="D1117" s="20" t="s">
        <v>2649</v>
      </c>
      <c r="E1117" s="21" t="s">
        <v>6074</v>
      </c>
      <c r="F1117" s="21" t="s">
        <v>6075</v>
      </c>
      <c r="G1117" s="22" t="s">
        <v>5889</v>
      </c>
      <c r="H1117" s="22" t="s">
        <v>7828</v>
      </c>
      <c r="I1117" s="22">
        <v>165.2</v>
      </c>
      <c r="K1117" s="22" t="s">
        <v>5835</v>
      </c>
      <c r="N1117" s="25" t="s">
        <v>7004</v>
      </c>
      <c r="O1117" s="25" t="s">
        <v>5835</v>
      </c>
      <c r="R1117" s="22" t="s">
        <v>5889</v>
      </c>
    </row>
    <row r="1118" spans="3:18" ht="16">
      <c r="C1118" s="19" t="s">
        <v>715</v>
      </c>
      <c r="D1118" s="20" t="s">
        <v>2650</v>
      </c>
      <c r="E1118" s="21" t="s">
        <v>6252</v>
      </c>
      <c r="F1118" s="21" t="s">
        <v>6080</v>
      </c>
      <c r="G1118" s="22" t="s">
        <v>5964</v>
      </c>
      <c r="H1118" s="22" t="s">
        <v>5835</v>
      </c>
      <c r="I1118" s="22">
        <v>34.9</v>
      </c>
      <c r="K1118" s="22" t="s">
        <v>5835</v>
      </c>
      <c r="N1118" s="25" t="s">
        <v>7005</v>
      </c>
      <c r="O1118" s="25" t="s">
        <v>5835</v>
      </c>
      <c r="R1118" s="22" t="s">
        <v>5964</v>
      </c>
    </row>
    <row r="1119" spans="3:18" ht="16">
      <c r="C1119" s="19" t="s">
        <v>716</v>
      </c>
      <c r="D1119" s="20" t="s">
        <v>2651</v>
      </c>
      <c r="E1119" s="21" t="s">
        <v>6219</v>
      </c>
      <c r="F1119" s="21" t="s">
        <v>17</v>
      </c>
      <c r="G1119" s="22" t="s">
        <v>5918</v>
      </c>
      <c r="H1119" s="22" t="s">
        <v>5835</v>
      </c>
      <c r="I1119" s="22">
        <v>19.399999999999999</v>
      </c>
      <c r="K1119" s="22" t="s">
        <v>5835</v>
      </c>
      <c r="N1119" s="25" t="s">
        <v>7006</v>
      </c>
      <c r="O1119" s="25" t="s">
        <v>5835</v>
      </c>
      <c r="R1119" s="22" t="s">
        <v>5918</v>
      </c>
    </row>
    <row r="1120" spans="3:18" ht="16">
      <c r="C1120" s="19" t="s">
        <v>717</v>
      </c>
      <c r="D1120" s="20" t="s">
        <v>2652</v>
      </c>
      <c r="E1120" s="21" t="s">
        <v>6313</v>
      </c>
      <c r="F1120" s="21" t="s">
        <v>6314</v>
      </c>
      <c r="G1120" s="22" t="s">
        <v>5920</v>
      </c>
      <c r="H1120" s="22" t="s">
        <v>5835</v>
      </c>
      <c r="I1120" s="22">
        <v>25.4</v>
      </c>
      <c r="K1120" s="22" t="s">
        <v>5835</v>
      </c>
      <c r="N1120" s="25" t="s">
        <v>7007</v>
      </c>
      <c r="O1120" s="25" t="s">
        <v>5835</v>
      </c>
      <c r="R1120" s="22" t="s">
        <v>5920</v>
      </c>
    </row>
    <row r="1121" spans="3:18" ht="16">
      <c r="C1121" s="19" t="s">
        <v>718</v>
      </c>
      <c r="D1121" s="20" t="s">
        <v>7008</v>
      </c>
      <c r="E1121" s="21" t="s">
        <v>5926</v>
      </c>
      <c r="F1121" s="21" t="s">
        <v>5927</v>
      </c>
      <c r="G1121" s="22" t="s">
        <v>5867</v>
      </c>
      <c r="H1121" s="22" t="s">
        <v>5835</v>
      </c>
      <c r="I1121" s="22">
        <v>29</v>
      </c>
      <c r="K1121" s="22" t="s">
        <v>5835</v>
      </c>
      <c r="N1121" s="25" t="s">
        <v>7009</v>
      </c>
      <c r="O1121" s="25" t="s">
        <v>5835</v>
      </c>
      <c r="R1121" s="22" t="s">
        <v>5867</v>
      </c>
    </row>
    <row r="1122" spans="3:18" ht="16">
      <c r="C1122" s="19" t="s">
        <v>719</v>
      </c>
      <c r="D1122" s="20" t="s">
        <v>2653</v>
      </c>
      <c r="E1122" s="21" t="s">
        <v>6257</v>
      </c>
      <c r="F1122" s="21" t="s">
        <v>10</v>
      </c>
      <c r="G1122" s="22" t="s">
        <v>5991</v>
      </c>
      <c r="H1122" s="22" t="s">
        <v>7828</v>
      </c>
      <c r="I1122" s="22">
        <v>313.3</v>
      </c>
      <c r="K1122" s="22" t="s">
        <v>5835</v>
      </c>
      <c r="N1122" s="25" t="s">
        <v>7010</v>
      </c>
      <c r="O1122" s="25" t="s">
        <v>5835</v>
      </c>
      <c r="R1122" s="22" t="s">
        <v>5991</v>
      </c>
    </row>
    <row r="1123" spans="3:18" ht="16">
      <c r="C1123" s="19" t="s">
        <v>720</v>
      </c>
      <c r="D1123" s="20" t="s">
        <v>2654</v>
      </c>
      <c r="E1123" s="21" t="s">
        <v>6257</v>
      </c>
      <c r="F1123" s="21" t="s">
        <v>10</v>
      </c>
      <c r="G1123" s="22" t="s">
        <v>5981</v>
      </c>
      <c r="H1123" s="22" t="s">
        <v>7828</v>
      </c>
      <c r="I1123" s="22">
        <v>120.9</v>
      </c>
      <c r="K1123" s="22" t="s">
        <v>5835</v>
      </c>
      <c r="N1123" s="25" t="s">
        <v>7011</v>
      </c>
      <c r="O1123" s="25" t="s">
        <v>5835</v>
      </c>
      <c r="R1123" s="22" t="s">
        <v>5981</v>
      </c>
    </row>
    <row r="1124" spans="3:18" ht="16">
      <c r="C1124" s="19" t="s">
        <v>722</v>
      </c>
      <c r="D1124" s="20" t="s">
        <v>2656</v>
      </c>
      <c r="E1124" s="21" t="s">
        <v>6243</v>
      </c>
      <c r="F1124" s="21" t="s">
        <v>17</v>
      </c>
      <c r="G1124" s="22" t="s">
        <v>5911</v>
      </c>
      <c r="H1124" s="22" t="s">
        <v>5835</v>
      </c>
      <c r="I1124" s="22">
        <v>26.8</v>
      </c>
      <c r="K1124" s="22" t="s">
        <v>5835</v>
      </c>
      <c r="N1124" s="25" t="s">
        <v>7012</v>
      </c>
      <c r="O1124" s="25" t="s">
        <v>5835</v>
      </c>
      <c r="R1124" s="22" t="s">
        <v>5911</v>
      </c>
    </row>
    <row r="1125" spans="3:18" ht="16">
      <c r="C1125" s="19" t="s">
        <v>724</v>
      </c>
      <c r="D1125" s="20" t="s">
        <v>2658</v>
      </c>
      <c r="E1125" s="21" t="s">
        <v>6471</v>
      </c>
      <c r="F1125" s="21" t="s">
        <v>6231</v>
      </c>
      <c r="G1125" s="22" t="s">
        <v>5933</v>
      </c>
      <c r="H1125" s="22" t="s">
        <v>5835</v>
      </c>
      <c r="I1125" s="22">
        <v>11.9</v>
      </c>
      <c r="K1125" s="22" t="s">
        <v>5835</v>
      </c>
      <c r="N1125" s="25" t="s">
        <v>7013</v>
      </c>
      <c r="O1125" s="25" t="s">
        <v>5835</v>
      </c>
      <c r="R1125" s="22" t="s">
        <v>5933</v>
      </c>
    </row>
    <row r="1126" spans="3:18" ht="16">
      <c r="C1126" s="19" t="s">
        <v>725</v>
      </c>
      <c r="D1126" s="20" t="s">
        <v>2659</v>
      </c>
      <c r="E1126" s="21" t="s">
        <v>6226</v>
      </c>
      <c r="F1126" s="21" t="s">
        <v>5913</v>
      </c>
      <c r="G1126" s="22" t="s">
        <v>5962</v>
      </c>
      <c r="H1126" s="22" t="s">
        <v>5835</v>
      </c>
      <c r="I1126" s="22">
        <v>40.4</v>
      </c>
      <c r="K1126" s="22" t="s">
        <v>5835</v>
      </c>
      <c r="N1126" s="25" t="s">
        <v>7014</v>
      </c>
      <c r="O1126" s="25" t="s">
        <v>5835</v>
      </c>
      <c r="R1126" s="22" t="s">
        <v>5962</v>
      </c>
    </row>
    <row r="1127" spans="3:18" ht="16">
      <c r="C1127" s="19" t="s">
        <v>726</v>
      </c>
      <c r="D1127" s="20" t="s">
        <v>2660</v>
      </c>
      <c r="E1127" s="21" t="s">
        <v>6219</v>
      </c>
      <c r="F1127" s="21" t="s">
        <v>17</v>
      </c>
      <c r="G1127" s="22" t="s">
        <v>5918</v>
      </c>
      <c r="H1127" s="22" t="s">
        <v>5835</v>
      </c>
      <c r="I1127" s="22">
        <v>16.899999999999999</v>
      </c>
      <c r="K1127" s="22" t="s">
        <v>5835</v>
      </c>
      <c r="N1127" s="25" t="s">
        <v>7015</v>
      </c>
      <c r="O1127" s="25" t="s">
        <v>5835</v>
      </c>
      <c r="R1127" s="22" t="s">
        <v>5918</v>
      </c>
    </row>
    <row r="1128" spans="3:18" ht="16">
      <c r="C1128" s="19" t="s">
        <v>727</v>
      </c>
      <c r="D1128" s="20" t="s">
        <v>2661</v>
      </c>
      <c r="E1128" s="21" t="s">
        <v>6413</v>
      </c>
      <c r="F1128" s="21" t="s">
        <v>5852</v>
      </c>
      <c r="G1128" s="22" t="s">
        <v>5840</v>
      </c>
      <c r="H1128" s="22" t="s">
        <v>5835</v>
      </c>
      <c r="I1128" s="22">
        <v>9.9</v>
      </c>
      <c r="K1128" s="22" t="s">
        <v>5835</v>
      </c>
      <c r="N1128" s="25" t="s">
        <v>7016</v>
      </c>
      <c r="O1128" s="25" t="s">
        <v>5835</v>
      </c>
      <c r="R1128" s="22" t="s">
        <v>5840</v>
      </c>
    </row>
    <row r="1129" spans="3:18" ht="16">
      <c r="C1129" s="19" t="s">
        <v>729</v>
      </c>
      <c r="D1129" s="20" t="s">
        <v>2663</v>
      </c>
      <c r="E1129" s="21" t="s">
        <v>6257</v>
      </c>
      <c r="F1129" s="21" t="s">
        <v>10</v>
      </c>
      <c r="G1129" s="22" t="s">
        <v>5928</v>
      </c>
      <c r="H1129" s="22" t="s">
        <v>5835</v>
      </c>
      <c r="I1129" s="22">
        <v>15.7</v>
      </c>
      <c r="K1129" s="22" t="s">
        <v>5835</v>
      </c>
      <c r="N1129" s="25" t="s">
        <v>6587</v>
      </c>
      <c r="O1129" s="25" t="s">
        <v>5835</v>
      </c>
      <c r="R1129" s="22" t="s">
        <v>5928</v>
      </c>
    </row>
    <row r="1130" spans="3:18" ht="16">
      <c r="C1130" s="19" t="s">
        <v>730</v>
      </c>
      <c r="D1130" s="20" t="s">
        <v>2664</v>
      </c>
      <c r="E1130" s="21" t="s">
        <v>6233</v>
      </c>
      <c r="F1130" s="21" t="s">
        <v>5928</v>
      </c>
      <c r="G1130" s="22" t="s">
        <v>5928</v>
      </c>
      <c r="H1130" s="22" t="s">
        <v>7828</v>
      </c>
      <c r="I1130" s="22">
        <v>308.5</v>
      </c>
      <c r="K1130" s="22" t="s">
        <v>5835</v>
      </c>
      <c r="N1130" s="25" t="s">
        <v>7017</v>
      </c>
      <c r="O1130" s="25" t="s">
        <v>5835</v>
      </c>
      <c r="R1130" s="22" t="s">
        <v>5928</v>
      </c>
    </row>
    <row r="1131" spans="3:18" ht="16">
      <c r="C1131" s="19" t="s">
        <v>731</v>
      </c>
      <c r="D1131" s="20" t="s">
        <v>2665</v>
      </c>
      <c r="E1131" s="21" t="s">
        <v>6222</v>
      </c>
      <c r="F1131" s="21" t="s">
        <v>8</v>
      </c>
      <c r="G1131" s="22" t="s">
        <v>14</v>
      </c>
      <c r="H1131" s="22" t="s">
        <v>7828</v>
      </c>
      <c r="I1131" s="22">
        <v>371.1</v>
      </c>
      <c r="K1131" s="22" t="s">
        <v>5835</v>
      </c>
      <c r="N1131" s="25" t="s">
        <v>7018</v>
      </c>
      <c r="O1131" s="25" t="s">
        <v>5835</v>
      </c>
      <c r="R1131" s="22" t="s">
        <v>14</v>
      </c>
    </row>
    <row r="1132" spans="3:18" ht="16">
      <c r="C1132" s="19" t="s">
        <v>732</v>
      </c>
      <c r="D1132" s="20" t="s">
        <v>2666</v>
      </c>
      <c r="E1132" s="21" t="s">
        <v>6222</v>
      </c>
      <c r="F1132" s="21" t="s">
        <v>8</v>
      </c>
      <c r="G1132" s="22" t="s">
        <v>14</v>
      </c>
      <c r="H1132" s="22" t="s">
        <v>5835</v>
      </c>
      <c r="I1132" s="22">
        <v>136.30000000000001</v>
      </c>
      <c r="K1132" s="22" t="s">
        <v>5835</v>
      </c>
      <c r="N1132" s="25" t="s">
        <v>14</v>
      </c>
      <c r="O1132" s="25" t="s">
        <v>5835</v>
      </c>
      <c r="R1132" s="22" t="s">
        <v>14</v>
      </c>
    </row>
    <row r="1133" spans="3:18" ht="16">
      <c r="C1133" s="19" t="s">
        <v>734</v>
      </c>
      <c r="D1133" s="20" t="s">
        <v>2668</v>
      </c>
      <c r="E1133" s="21" t="s">
        <v>6257</v>
      </c>
      <c r="F1133" s="21" t="s">
        <v>10</v>
      </c>
      <c r="G1133" s="22" t="s">
        <v>5954</v>
      </c>
      <c r="H1133" s="22" t="s">
        <v>5835</v>
      </c>
      <c r="I1133" s="22">
        <v>6</v>
      </c>
      <c r="K1133" s="22" t="s">
        <v>5835</v>
      </c>
      <c r="N1133" s="25" t="s">
        <v>7019</v>
      </c>
      <c r="O1133" s="25" t="s">
        <v>5835</v>
      </c>
      <c r="R1133" s="22" t="s">
        <v>5954</v>
      </c>
    </row>
    <row r="1134" spans="3:18" ht="16">
      <c r="C1134" s="19" t="s">
        <v>735</v>
      </c>
      <c r="D1134" s="20" t="s">
        <v>2669</v>
      </c>
      <c r="E1134" s="21" t="s">
        <v>6067</v>
      </c>
      <c r="F1134" s="21" t="s">
        <v>17</v>
      </c>
      <c r="G1134" s="22" t="s">
        <v>5920</v>
      </c>
      <c r="H1134" s="22" t="s">
        <v>5835</v>
      </c>
      <c r="I1134" s="22">
        <v>14.3</v>
      </c>
      <c r="K1134" s="22" t="s">
        <v>5835</v>
      </c>
      <c r="N1134" s="25" t="s">
        <v>7020</v>
      </c>
      <c r="O1134" s="25" t="s">
        <v>5835</v>
      </c>
      <c r="R1134" s="22" t="s">
        <v>5920</v>
      </c>
    </row>
    <row r="1135" spans="3:18" ht="16">
      <c r="C1135" s="19" t="s">
        <v>736</v>
      </c>
      <c r="D1135" s="20" t="s">
        <v>2670</v>
      </c>
      <c r="E1135" s="21" t="s">
        <v>6208</v>
      </c>
      <c r="F1135" s="21" t="s">
        <v>17</v>
      </c>
      <c r="G1135" s="22" t="s">
        <v>5911</v>
      </c>
      <c r="H1135" s="22" t="s">
        <v>5835</v>
      </c>
      <c r="I1135" s="22">
        <v>9.1</v>
      </c>
      <c r="K1135" s="22" t="s">
        <v>5835</v>
      </c>
      <c r="N1135" s="25" t="s">
        <v>7021</v>
      </c>
      <c r="O1135" s="25" t="s">
        <v>5835</v>
      </c>
      <c r="R1135" s="22" t="s">
        <v>5911</v>
      </c>
    </row>
    <row r="1136" spans="3:18" ht="16">
      <c r="C1136" s="19" t="s">
        <v>737</v>
      </c>
      <c r="D1136" s="20" t="s">
        <v>2671</v>
      </c>
      <c r="E1136" s="21" t="s">
        <v>5968</v>
      </c>
      <c r="F1136" s="21" t="s">
        <v>5969</v>
      </c>
      <c r="G1136" s="22" t="s">
        <v>7827</v>
      </c>
      <c r="H1136" s="22" t="s">
        <v>5835</v>
      </c>
      <c r="I1136" s="22">
        <v>23.3</v>
      </c>
      <c r="K1136" s="22" t="s">
        <v>5835</v>
      </c>
      <c r="N1136" s="25" t="s">
        <v>7022</v>
      </c>
      <c r="O1136" s="25" t="s">
        <v>5835</v>
      </c>
      <c r="R1136" s="22" t="s">
        <v>5940</v>
      </c>
    </row>
    <row r="1137" spans="3:18" ht="16">
      <c r="C1137" s="19" t="s">
        <v>738</v>
      </c>
      <c r="D1137" s="20" t="s">
        <v>2672</v>
      </c>
      <c r="E1137" s="21" t="s">
        <v>6079</v>
      </c>
      <c r="F1137" s="21" t="s">
        <v>6080</v>
      </c>
      <c r="G1137" s="22" t="s">
        <v>5985</v>
      </c>
      <c r="H1137" s="22" t="s">
        <v>5835</v>
      </c>
      <c r="I1137" s="22">
        <v>10.6</v>
      </c>
      <c r="K1137" s="22" t="s">
        <v>5835</v>
      </c>
      <c r="N1137" s="25" t="s">
        <v>7023</v>
      </c>
      <c r="O1137" s="25" t="s">
        <v>5835</v>
      </c>
      <c r="R1137" s="22" t="s">
        <v>5985</v>
      </c>
    </row>
    <row r="1138" spans="3:18" ht="16">
      <c r="C1138" s="19" t="s">
        <v>739</v>
      </c>
      <c r="D1138" s="20" t="s">
        <v>2673</v>
      </c>
      <c r="E1138" s="21" t="s">
        <v>6079</v>
      </c>
      <c r="F1138" s="21" t="s">
        <v>6080</v>
      </c>
      <c r="G1138" s="22" t="s">
        <v>5906</v>
      </c>
      <c r="H1138" s="22" t="s">
        <v>5835</v>
      </c>
      <c r="I1138" s="22">
        <v>16</v>
      </c>
      <c r="K1138" s="22" t="s">
        <v>5835</v>
      </c>
      <c r="N1138" s="25" t="s">
        <v>7024</v>
      </c>
      <c r="O1138" s="25" t="s">
        <v>5835</v>
      </c>
      <c r="R1138" s="22" t="s">
        <v>5906</v>
      </c>
    </row>
    <row r="1139" spans="3:18" ht="16">
      <c r="C1139" s="19" t="s">
        <v>740</v>
      </c>
      <c r="D1139" s="20" t="s">
        <v>2674</v>
      </c>
      <c r="E1139" s="21" t="s">
        <v>6257</v>
      </c>
      <c r="F1139" s="21" t="s">
        <v>10</v>
      </c>
      <c r="G1139" s="22" t="s">
        <v>5988</v>
      </c>
      <c r="H1139" s="22" t="s">
        <v>5835</v>
      </c>
      <c r="I1139" s="22">
        <v>2.9</v>
      </c>
      <c r="K1139" s="22" t="s">
        <v>5835</v>
      </c>
      <c r="N1139" s="25" t="s">
        <v>7025</v>
      </c>
      <c r="O1139" s="25" t="s">
        <v>5835</v>
      </c>
      <c r="R1139" s="22" t="s">
        <v>5988</v>
      </c>
    </row>
    <row r="1140" spans="3:18" ht="16">
      <c r="C1140" s="19" t="s">
        <v>741</v>
      </c>
      <c r="D1140" s="20" t="s">
        <v>2675</v>
      </c>
      <c r="E1140" s="21" t="s">
        <v>6230</v>
      </c>
      <c r="F1140" s="21" t="s">
        <v>6231</v>
      </c>
      <c r="G1140" s="22" t="s">
        <v>14</v>
      </c>
      <c r="H1140" s="22" t="s">
        <v>5835</v>
      </c>
      <c r="I1140" s="22">
        <v>83</v>
      </c>
      <c r="K1140" s="22" t="s">
        <v>5835</v>
      </c>
      <c r="N1140" s="25" t="s">
        <v>7026</v>
      </c>
      <c r="O1140" s="25" t="s">
        <v>5835</v>
      </c>
      <c r="R1140" s="22" t="s">
        <v>14</v>
      </c>
    </row>
    <row r="1141" spans="3:18" ht="16">
      <c r="C1141" s="19" t="s">
        <v>742</v>
      </c>
      <c r="D1141" s="20" t="s">
        <v>2676</v>
      </c>
      <c r="E1141" s="21" t="s">
        <v>6166</v>
      </c>
      <c r="F1141" s="21" t="s">
        <v>6080</v>
      </c>
      <c r="G1141" s="22" t="s">
        <v>5873</v>
      </c>
      <c r="H1141" s="22" t="s">
        <v>5835</v>
      </c>
      <c r="I1141" s="22">
        <v>37.1</v>
      </c>
      <c r="K1141" s="22" t="s">
        <v>5835</v>
      </c>
      <c r="N1141" s="25" t="s">
        <v>7027</v>
      </c>
      <c r="O1141" s="25" t="s">
        <v>5835</v>
      </c>
      <c r="R1141" s="22" t="s">
        <v>5873</v>
      </c>
    </row>
    <row r="1142" spans="3:18" ht="16">
      <c r="C1142" s="19" t="s">
        <v>743</v>
      </c>
      <c r="D1142" s="20" t="s">
        <v>2677</v>
      </c>
      <c r="E1142" s="21" t="s">
        <v>6664</v>
      </c>
      <c r="F1142" s="21" t="s">
        <v>6314</v>
      </c>
      <c r="G1142" s="22" t="s">
        <v>5997</v>
      </c>
      <c r="H1142" s="22" t="s">
        <v>7828</v>
      </c>
      <c r="I1142" s="22">
        <v>2344.6</v>
      </c>
      <c r="K1142" s="22" t="s">
        <v>5835</v>
      </c>
      <c r="N1142" s="25" t="s">
        <v>7028</v>
      </c>
      <c r="O1142" s="25" t="s">
        <v>5835</v>
      </c>
      <c r="R1142" s="22" t="s">
        <v>5997</v>
      </c>
    </row>
    <row r="1143" spans="3:18" ht="16">
      <c r="C1143" s="19" t="s">
        <v>744</v>
      </c>
      <c r="D1143" s="20" t="s">
        <v>2678</v>
      </c>
      <c r="E1143" s="21" t="s">
        <v>6243</v>
      </c>
      <c r="F1143" s="21" t="s">
        <v>17</v>
      </c>
      <c r="G1143" s="22" t="s">
        <v>5873</v>
      </c>
      <c r="H1143" s="22" t="s">
        <v>5835</v>
      </c>
      <c r="I1143" s="22">
        <v>51.5</v>
      </c>
      <c r="K1143" s="22" t="s">
        <v>5835</v>
      </c>
      <c r="N1143" s="25" t="s">
        <v>7029</v>
      </c>
      <c r="O1143" s="25" t="s">
        <v>5835</v>
      </c>
      <c r="R1143" s="22" t="s">
        <v>5873</v>
      </c>
    </row>
    <row r="1144" spans="3:18" ht="16">
      <c r="C1144" s="19" t="s">
        <v>746</v>
      </c>
      <c r="D1144" s="20" t="s">
        <v>2680</v>
      </c>
      <c r="E1144" s="21" t="s">
        <v>6280</v>
      </c>
      <c r="F1144" s="21" t="s">
        <v>6281</v>
      </c>
      <c r="G1144" s="22" t="s">
        <v>5906</v>
      </c>
      <c r="H1144" s="22" t="s">
        <v>7828</v>
      </c>
      <c r="I1144" s="22">
        <v>25.5</v>
      </c>
      <c r="K1144" s="22" t="s">
        <v>5835</v>
      </c>
      <c r="N1144" s="25" t="s">
        <v>7030</v>
      </c>
      <c r="O1144" s="25" t="s">
        <v>5835</v>
      </c>
      <c r="R1144" s="22" t="s">
        <v>5906</v>
      </c>
    </row>
    <row r="1145" spans="3:18" ht="16">
      <c r="C1145" s="19" t="s">
        <v>747</v>
      </c>
      <c r="D1145" s="20" t="s">
        <v>2681</v>
      </c>
      <c r="E1145" s="21" t="s">
        <v>6166</v>
      </c>
      <c r="F1145" s="21" t="s">
        <v>6080</v>
      </c>
      <c r="G1145" s="22" t="s">
        <v>7825</v>
      </c>
      <c r="H1145" s="22" t="s">
        <v>5835</v>
      </c>
      <c r="I1145" s="22">
        <v>42</v>
      </c>
      <c r="K1145" s="22" t="s">
        <v>5835</v>
      </c>
      <c r="N1145" s="25" t="s">
        <v>7031</v>
      </c>
      <c r="O1145" s="25" t="s">
        <v>5835</v>
      </c>
      <c r="R1145" s="22" t="s">
        <v>6202</v>
      </c>
    </row>
    <row r="1146" spans="3:18" ht="16">
      <c r="C1146" s="19" t="s">
        <v>749</v>
      </c>
      <c r="D1146" s="20" t="s">
        <v>2683</v>
      </c>
      <c r="E1146" s="21" t="s">
        <v>6252</v>
      </c>
      <c r="F1146" s="21" t="s">
        <v>6080</v>
      </c>
      <c r="G1146" s="22" t="s">
        <v>5913</v>
      </c>
      <c r="H1146" s="22" t="s">
        <v>5835</v>
      </c>
      <c r="I1146" s="22">
        <v>19.7</v>
      </c>
      <c r="K1146" s="22" t="s">
        <v>5835</v>
      </c>
      <c r="N1146" s="25" t="s">
        <v>7032</v>
      </c>
      <c r="O1146" s="25" t="s">
        <v>5835</v>
      </c>
      <c r="R1146" s="22" t="s">
        <v>5913</v>
      </c>
    </row>
    <row r="1147" spans="3:18" ht="16">
      <c r="C1147" s="19" t="s">
        <v>751</v>
      </c>
      <c r="D1147" s="20" t="s">
        <v>2685</v>
      </c>
      <c r="E1147" s="21" t="s">
        <v>6067</v>
      </c>
      <c r="F1147" s="21" t="s">
        <v>17</v>
      </c>
      <c r="G1147" s="22" t="s">
        <v>5862</v>
      </c>
      <c r="H1147" s="22" t="s">
        <v>5835</v>
      </c>
      <c r="I1147" s="22">
        <v>56.3</v>
      </c>
      <c r="K1147" s="22" t="s">
        <v>5835</v>
      </c>
      <c r="N1147" s="25" t="s">
        <v>7033</v>
      </c>
      <c r="O1147" s="25" t="s">
        <v>5835</v>
      </c>
      <c r="R1147" s="22" t="s">
        <v>5862</v>
      </c>
    </row>
    <row r="1148" spans="3:18" ht="16">
      <c r="C1148" s="19" t="s">
        <v>754</v>
      </c>
      <c r="D1148" s="20" t="s">
        <v>2688</v>
      </c>
      <c r="E1148" s="21" t="s">
        <v>5923</v>
      </c>
      <c r="F1148" s="21" t="s">
        <v>5852</v>
      </c>
      <c r="G1148" s="22" t="s">
        <v>5918</v>
      </c>
      <c r="H1148" s="22" t="s">
        <v>5835</v>
      </c>
      <c r="I1148" s="22">
        <v>30.1</v>
      </c>
      <c r="K1148" s="22" t="s">
        <v>5835</v>
      </c>
      <c r="N1148" s="25" t="s">
        <v>7034</v>
      </c>
      <c r="O1148" s="25" t="s">
        <v>5835</v>
      </c>
      <c r="R1148" s="22" t="s">
        <v>5918</v>
      </c>
    </row>
    <row r="1149" spans="3:18" ht="16">
      <c r="C1149" s="19" t="s">
        <v>755</v>
      </c>
      <c r="D1149" s="20" t="s">
        <v>2689</v>
      </c>
      <c r="E1149" s="21" t="s">
        <v>6257</v>
      </c>
      <c r="F1149" s="21" t="s">
        <v>10</v>
      </c>
      <c r="G1149" s="22" t="s">
        <v>5930</v>
      </c>
      <c r="H1149" s="22" t="s">
        <v>5835</v>
      </c>
      <c r="I1149" s="22">
        <v>34</v>
      </c>
      <c r="K1149" s="22" t="s">
        <v>5835</v>
      </c>
      <c r="N1149" s="25" t="s">
        <v>7035</v>
      </c>
      <c r="O1149" s="25" t="s">
        <v>5835</v>
      </c>
      <c r="R1149" s="22" t="s">
        <v>5930</v>
      </c>
    </row>
    <row r="1150" spans="3:18" ht="16">
      <c r="C1150" s="19" t="s">
        <v>757</v>
      </c>
      <c r="D1150" s="20" t="s">
        <v>2691</v>
      </c>
      <c r="E1150" s="21" t="s">
        <v>6067</v>
      </c>
      <c r="F1150" s="21" t="s">
        <v>17</v>
      </c>
      <c r="G1150" s="22" t="s">
        <v>5918</v>
      </c>
      <c r="H1150" s="22" t="s">
        <v>5835</v>
      </c>
      <c r="I1150" s="22">
        <v>14.9</v>
      </c>
      <c r="K1150" s="22" t="s">
        <v>5835</v>
      </c>
      <c r="N1150" s="25" t="s">
        <v>7036</v>
      </c>
      <c r="O1150" s="25" t="s">
        <v>5835</v>
      </c>
      <c r="R1150" s="22" t="s">
        <v>5918</v>
      </c>
    </row>
    <row r="1151" spans="3:18" ht="16">
      <c r="C1151" s="19" t="s">
        <v>758</v>
      </c>
      <c r="D1151" s="20" t="s">
        <v>2692</v>
      </c>
      <c r="E1151" s="21" t="s">
        <v>6277</v>
      </c>
      <c r="F1151" s="21" t="s">
        <v>17</v>
      </c>
      <c r="G1151" s="22" t="s">
        <v>5995</v>
      </c>
      <c r="H1151" s="22" t="s">
        <v>7828</v>
      </c>
      <c r="I1151" s="22">
        <v>32.700000000000003</v>
      </c>
      <c r="K1151" s="22" t="s">
        <v>5835</v>
      </c>
      <c r="N1151" s="25" t="s">
        <v>7037</v>
      </c>
      <c r="O1151" s="25" t="s">
        <v>5835</v>
      </c>
      <c r="R1151" s="22" t="s">
        <v>5995</v>
      </c>
    </row>
    <row r="1152" spans="3:18" ht="16">
      <c r="C1152" s="19" t="s">
        <v>759</v>
      </c>
      <c r="D1152" s="20" t="s">
        <v>2693</v>
      </c>
      <c r="E1152" s="21" t="s">
        <v>6277</v>
      </c>
      <c r="F1152" s="21" t="s">
        <v>17</v>
      </c>
      <c r="G1152" s="22" t="s">
        <v>5902</v>
      </c>
      <c r="H1152" s="22" t="s">
        <v>7828</v>
      </c>
      <c r="I1152" s="22">
        <v>592.1</v>
      </c>
      <c r="K1152" s="22" t="s">
        <v>5835</v>
      </c>
      <c r="N1152" s="25" t="s">
        <v>7038</v>
      </c>
      <c r="O1152" s="25" t="s">
        <v>5835</v>
      </c>
      <c r="R1152" s="22" t="s">
        <v>5902</v>
      </c>
    </row>
    <row r="1153" spans="3:18" ht="16">
      <c r="C1153" s="19" t="s">
        <v>760</v>
      </c>
      <c r="D1153" s="20" t="s">
        <v>2694</v>
      </c>
      <c r="E1153" s="21" t="s">
        <v>6243</v>
      </c>
      <c r="F1153" s="21" t="s">
        <v>17</v>
      </c>
      <c r="G1153" s="22" t="s">
        <v>5873</v>
      </c>
      <c r="H1153" s="22" t="s">
        <v>5835</v>
      </c>
      <c r="I1153" s="22">
        <v>14.9</v>
      </c>
      <c r="K1153" s="22" t="s">
        <v>5835</v>
      </c>
      <c r="N1153" s="25" t="s">
        <v>7039</v>
      </c>
      <c r="O1153" s="25" t="s">
        <v>5835</v>
      </c>
      <c r="R1153" s="22" t="s">
        <v>5873</v>
      </c>
    </row>
    <row r="1154" spans="3:18" ht="16">
      <c r="C1154" s="19" t="s">
        <v>761</v>
      </c>
      <c r="D1154" s="20" t="s">
        <v>2695</v>
      </c>
      <c r="E1154" s="21" t="s">
        <v>6025</v>
      </c>
      <c r="F1154" s="21" t="s">
        <v>17</v>
      </c>
      <c r="G1154" s="22" t="s">
        <v>5855</v>
      </c>
      <c r="H1154" s="22" t="s">
        <v>5835</v>
      </c>
      <c r="I1154" s="22">
        <v>21.2</v>
      </c>
      <c r="K1154" s="22" t="s">
        <v>5835</v>
      </c>
      <c r="N1154" s="25" t="s">
        <v>7040</v>
      </c>
      <c r="O1154" s="25" t="s">
        <v>5835</v>
      </c>
      <c r="R1154" s="22" t="s">
        <v>5855</v>
      </c>
    </row>
    <row r="1155" spans="3:18" ht="16">
      <c r="C1155" s="19" t="s">
        <v>763</v>
      </c>
      <c r="D1155" s="20" t="s">
        <v>2697</v>
      </c>
      <c r="E1155" s="21" t="s">
        <v>6199</v>
      </c>
      <c r="F1155" s="21" t="s">
        <v>6200</v>
      </c>
      <c r="G1155" s="22" t="s">
        <v>5881</v>
      </c>
      <c r="H1155" s="22" t="s">
        <v>5835</v>
      </c>
      <c r="I1155" s="22">
        <v>23.8</v>
      </c>
      <c r="K1155" s="22" t="s">
        <v>5835</v>
      </c>
      <c r="N1155" s="25" t="s">
        <v>7041</v>
      </c>
      <c r="O1155" s="25" t="s">
        <v>5835</v>
      </c>
      <c r="R1155" s="22" t="s">
        <v>5881</v>
      </c>
    </row>
    <row r="1156" spans="3:18" ht="16">
      <c r="C1156" s="19" t="s">
        <v>765</v>
      </c>
      <c r="D1156" s="20" t="s">
        <v>2699</v>
      </c>
      <c r="E1156" s="21" t="s">
        <v>6079</v>
      </c>
      <c r="F1156" s="21" t="s">
        <v>6080</v>
      </c>
      <c r="G1156" s="22" t="s">
        <v>7825</v>
      </c>
      <c r="H1156" s="22" t="s">
        <v>5835</v>
      </c>
      <c r="I1156" s="22">
        <v>8.4</v>
      </c>
      <c r="K1156" s="22" t="s">
        <v>5835</v>
      </c>
      <c r="N1156" s="25" t="s">
        <v>5835</v>
      </c>
      <c r="O1156" s="25" t="s">
        <v>5835</v>
      </c>
      <c r="R1156" s="22" t="s">
        <v>6202</v>
      </c>
    </row>
    <row r="1157" spans="3:18" ht="16">
      <c r="C1157" s="19" t="s">
        <v>766</v>
      </c>
      <c r="D1157" s="20" t="s">
        <v>2700</v>
      </c>
      <c r="E1157" s="21" t="s">
        <v>6208</v>
      </c>
      <c r="F1157" s="21" t="s">
        <v>17</v>
      </c>
      <c r="G1157" s="22" t="s">
        <v>5943</v>
      </c>
      <c r="H1157" s="22" t="s">
        <v>5835</v>
      </c>
      <c r="I1157" s="22">
        <v>11.5</v>
      </c>
      <c r="K1157" s="22" t="s">
        <v>5835</v>
      </c>
      <c r="N1157" s="25" t="s">
        <v>7042</v>
      </c>
      <c r="O1157" s="25" t="s">
        <v>5835</v>
      </c>
      <c r="R1157" s="22" t="s">
        <v>5943</v>
      </c>
    </row>
    <row r="1158" spans="3:18" ht="16">
      <c r="C1158" s="19" t="s">
        <v>768</v>
      </c>
      <c r="D1158" s="20" t="s">
        <v>2702</v>
      </c>
      <c r="E1158" s="21" t="s">
        <v>6067</v>
      </c>
      <c r="F1158" s="21" t="s">
        <v>17</v>
      </c>
      <c r="G1158" s="22" t="s">
        <v>5918</v>
      </c>
      <c r="H1158" s="22" t="s">
        <v>5835</v>
      </c>
      <c r="I1158" s="22">
        <v>95.1</v>
      </c>
      <c r="K1158" s="22" t="s">
        <v>5835</v>
      </c>
      <c r="N1158" s="25" t="s">
        <v>7043</v>
      </c>
      <c r="O1158" s="25" t="s">
        <v>5835</v>
      </c>
      <c r="R1158" s="22" t="s">
        <v>5918</v>
      </c>
    </row>
    <row r="1159" spans="3:18" ht="16">
      <c r="C1159" s="19" t="s">
        <v>769</v>
      </c>
      <c r="D1159" s="20" t="s">
        <v>2703</v>
      </c>
      <c r="E1159" s="21" t="s">
        <v>6471</v>
      </c>
      <c r="F1159" s="21" t="s">
        <v>6231</v>
      </c>
      <c r="G1159" s="22" t="s">
        <v>5933</v>
      </c>
      <c r="H1159" s="22" t="s">
        <v>5835</v>
      </c>
      <c r="I1159" s="22">
        <v>9</v>
      </c>
      <c r="K1159" s="22" t="s">
        <v>5835</v>
      </c>
      <c r="N1159" s="25" t="s">
        <v>7044</v>
      </c>
      <c r="O1159" s="25" t="s">
        <v>5835</v>
      </c>
      <c r="R1159" s="22" t="s">
        <v>5933</v>
      </c>
    </row>
    <row r="1160" spans="3:18" ht="16">
      <c r="C1160" s="19" t="s">
        <v>770</v>
      </c>
      <c r="D1160" s="20" t="s">
        <v>2704</v>
      </c>
      <c r="E1160" s="21" t="s">
        <v>6469</v>
      </c>
      <c r="F1160" s="21" t="s">
        <v>17</v>
      </c>
      <c r="G1160" s="22" t="s">
        <v>5976</v>
      </c>
      <c r="H1160" s="22" t="s">
        <v>5835</v>
      </c>
      <c r="I1160" s="22">
        <v>167.3</v>
      </c>
      <c r="K1160" s="22" t="s">
        <v>5835</v>
      </c>
      <c r="N1160" s="25" t="s">
        <v>7045</v>
      </c>
      <c r="O1160" s="25" t="s">
        <v>5835</v>
      </c>
      <c r="R1160" s="22" t="s">
        <v>5976</v>
      </c>
    </row>
    <row r="1161" spans="3:18" ht="16">
      <c r="C1161" s="19" t="s">
        <v>771</v>
      </c>
      <c r="D1161" s="20" t="s">
        <v>2705</v>
      </c>
      <c r="E1161" s="21" t="s">
        <v>6219</v>
      </c>
      <c r="F1161" s="21" t="s">
        <v>17</v>
      </c>
      <c r="G1161" s="22" t="s">
        <v>5962</v>
      </c>
      <c r="H1161" s="22" t="s">
        <v>7828</v>
      </c>
      <c r="I1161" s="22">
        <v>304.60000000000002</v>
      </c>
      <c r="K1161" s="22" t="s">
        <v>5835</v>
      </c>
      <c r="N1161" s="25" t="s">
        <v>7046</v>
      </c>
      <c r="O1161" s="25" t="s">
        <v>5835</v>
      </c>
      <c r="R1161" s="22" t="s">
        <v>5962</v>
      </c>
    </row>
    <row r="1162" spans="3:18" ht="16">
      <c r="C1162" s="19" t="s">
        <v>772</v>
      </c>
      <c r="D1162" s="20" t="s">
        <v>2706</v>
      </c>
      <c r="E1162" s="21" t="s">
        <v>6222</v>
      </c>
      <c r="F1162" s="21" t="s">
        <v>8</v>
      </c>
      <c r="G1162" s="22" t="s">
        <v>14</v>
      </c>
      <c r="H1162" s="22" t="s">
        <v>5835</v>
      </c>
      <c r="I1162" s="22">
        <v>23.1</v>
      </c>
      <c r="K1162" s="22" t="s">
        <v>5835</v>
      </c>
      <c r="N1162" s="25" t="s">
        <v>7047</v>
      </c>
      <c r="O1162" s="25" t="s">
        <v>5835</v>
      </c>
      <c r="R1162" s="22" t="s">
        <v>14</v>
      </c>
    </row>
    <row r="1163" spans="3:18" ht="16">
      <c r="C1163" s="19" t="s">
        <v>773</v>
      </c>
      <c r="D1163" s="20" t="s">
        <v>2707</v>
      </c>
      <c r="E1163" s="21" t="s">
        <v>6230</v>
      </c>
      <c r="F1163" s="21" t="s">
        <v>6231</v>
      </c>
      <c r="G1163" s="22" t="s">
        <v>7825</v>
      </c>
      <c r="H1163" s="22" t="s">
        <v>5835</v>
      </c>
      <c r="I1163" s="22">
        <v>8.4</v>
      </c>
      <c r="K1163" s="22" t="s">
        <v>5835</v>
      </c>
      <c r="N1163" s="25" t="s">
        <v>7048</v>
      </c>
      <c r="O1163" s="25" t="s">
        <v>5835</v>
      </c>
      <c r="R1163" s="22" t="s">
        <v>6202</v>
      </c>
    </row>
    <row r="1164" spans="3:18" ht="16">
      <c r="C1164" s="19" t="s">
        <v>774</v>
      </c>
      <c r="D1164" s="20" t="s">
        <v>2708</v>
      </c>
      <c r="E1164" s="21" t="s">
        <v>6222</v>
      </c>
      <c r="F1164" s="21" t="s">
        <v>8</v>
      </c>
      <c r="G1164" s="22" t="s">
        <v>5991</v>
      </c>
      <c r="H1164" s="22" t="s">
        <v>7828</v>
      </c>
      <c r="I1164" s="22">
        <v>393.5</v>
      </c>
      <c r="K1164" s="22" t="s">
        <v>5835</v>
      </c>
      <c r="N1164" s="25" t="s">
        <v>7049</v>
      </c>
      <c r="O1164" s="25" t="s">
        <v>5835</v>
      </c>
      <c r="R1164" s="22" t="s">
        <v>5991</v>
      </c>
    </row>
    <row r="1165" spans="3:18" ht="16">
      <c r="C1165" s="19" t="s">
        <v>776</v>
      </c>
      <c r="D1165" s="20" t="s">
        <v>2710</v>
      </c>
      <c r="E1165" s="21" t="s">
        <v>6033</v>
      </c>
      <c r="F1165" s="21" t="s">
        <v>5969</v>
      </c>
      <c r="G1165" s="22" t="s">
        <v>5857</v>
      </c>
      <c r="H1165" s="22" t="s">
        <v>7828</v>
      </c>
      <c r="I1165" s="22">
        <v>25.1</v>
      </c>
      <c r="K1165" s="22" t="s">
        <v>5835</v>
      </c>
      <c r="N1165" s="25" t="s">
        <v>7050</v>
      </c>
      <c r="O1165" s="25" t="s">
        <v>5835</v>
      </c>
      <c r="R1165" s="22" t="s">
        <v>5857</v>
      </c>
    </row>
    <row r="1166" spans="3:18" ht="16">
      <c r="C1166" s="19" t="s">
        <v>778</v>
      </c>
      <c r="D1166" s="20" t="s">
        <v>2712</v>
      </c>
      <c r="E1166" s="21" t="s">
        <v>6208</v>
      </c>
      <c r="F1166" s="21" t="s">
        <v>17</v>
      </c>
      <c r="G1166" s="22" t="s">
        <v>5933</v>
      </c>
      <c r="H1166" s="22" t="s">
        <v>5835</v>
      </c>
      <c r="I1166" s="22">
        <v>45.6</v>
      </c>
      <c r="K1166" s="22" t="s">
        <v>5835</v>
      </c>
      <c r="N1166" s="25" t="s">
        <v>7051</v>
      </c>
      <c r="O1166" s="25" t="s">
        <v>5835</v>
      </c>
      <c r="R1166" s="22" t="s">
        <v>5933</v>
      </c>
    </row>
    <row r="1167" spans="3:18" ht="16">
      <c r="C1167" s="19" t="s">
        <v>779</v>
      </c>
      <c r="D1167" s="20" t="s">
        <v>2713</v>
      </c>
      <c r="E1167" s="21" t="s">
        <v>6208</v>
      </c>
      <c r="F1167" s="21" t="s">
        <v>17</v>
      </c>
      <c r="G1167" s="22" t="s">
        <v>5911</v>
      </c>
      <c r="H1167" s="22" t="s">
        <v>5835</v>
      </c>
      <c r="I1167" s="22">
        <v>15.8</v>
      </c>
      <c r="K1167" s="22" t="s">
        <v>5835</v>
      </c>
      <c r="N1167" s="25" t="s">
        <v>7052</v>
      </c>
      <c r="O1167" s="25" t="s">
        <v>5835</v>
      </c>
      <c r="R1167" s="22" t="s">
        <v>5911</v>
      </c>
    </row>
    <row r="1168" spans="3:18" ht="16">
      <c r="C1168" s="19" t="s">
        <v>780</v>
      </c>
      <c r="D1168" s="20" t="s">
        <v>2714</v>
      </c>
      <c r="E1168" s="21" t="s">
        <v>6254</v>
      </c>
      <c r="F1168" s="21" t="s">
        <v>8</v>
      </c>
      <c r="G1168" s="22" t="s">
        <v>5935</v>
      </c>
      <c r="H1168" s="22" t="s">
        <v>5835</v>
      </c>
      <c r="I1168" s="22">
        <v>69.8</v>
      </c>
      <c r="K1168" s="22" t="s">
        <v>5835</v>
      </c>
      <c r="N1168" s="25" t="s">
        <v>7053</v>
      </c>
      <c r="O1168" s="25" t="s">
        <v>5835</v>
      </c>
      <c r="R1168" s="22" t="s">
        <v>5935</v>
      </c>
    </row>
    <row r="1169" spans="3:18" ht="16">
      <c r="C1169" s="19" t="s">
        <v>785</v>
      </c>
      <c r="D1169" s="20" t="s">
        <v>2719</v>
      </c>
      <c r="E1169" s="21" t="s">
        <v>5968</v>
      </c>
      <c r="F1169" s="21" t="s">
        <v>5969</v>
      </c>
      <c r="G1169" s="22" t="s">
        <v>7827</v>
      </c>
      <c r="H1169" s="22" t="s">
        <v>5835</v>
      </c>
      <c r="I1169" s="22">
        <v>11.7</v>
      </c>
      <c r="K1169" s="22" t="s">
        <v>5835</v>
      </c>
      <c r="N1169" s="25" t="s">
        <v>7054</v>
      </c>
      <c r="O1169" s="25" t="s">
        <v>5835</v>
      </c>
      <c r="R1169" s="22" t="s">
        <v>5940</v>
      </c>
    </row>
    <row r="1170" spans="3:18" ht="16">
      <c r="C1170" s="19" t="s">
        <v>786</v>
      </c>
      <c r="D1170" s="20" t="s">
        <v>2720</v>
      </c>
      <c r="E1170" s="21" t="s">
        <v>6096</v>
      </c>
      <c r="F1170" s="21" t="s">
        <v>5896</v>
      </c>
      <c r="G1170" s="22" t="s">
        <v>7827</v>
      </c>
      <c r="H1170" s="22" t="s">
        <v>5835</v>
      </c>
      <c r="I1170" s="22">
        <v>16.5</v>
      </c>
      <c r="K1170" s="22" t="s">
        <v>5835</v>
      </c>
      <c r="N1170" s="25" t="s">
        <v>5835</v>
      </c>
      <c r="O1170" s="25" t="s">
        <v>5835</v>
      </c>
      <c r="R1170" s="22" t="s">
        <v>5940</v>
      </c>
    </row>
    <row r="1171" spans="3:18" ht="16">
      <c r="C1171" s="19" t="s">
        <v>788</v>
      </c>
      <c r="D1171" s="20" t="s">
        <v>2722</v>
      </c>
      <c r="E1171" s="21" t="s">
        <v>6280</v>
      </c>
      <c r="F1171" s="21" t="s">
        <v>6281</v>
      </c>
      <c r="G1171" s="22" t="s">
        <v>5906</v>
      </c>
      <c r="H1171" s="22" t="s">
        <v>5835</v>
      </c>
      <c r="I1171" s="22">
        <v>15.5</v>
      </c>
      <c r="K1171" s="22" t="s">
        <v>5835</v>
      </c>
      <c r="N1171" s="25" t="s">
        <v>7055</v>
      </c>
      <c r="O1171" s="25" t="s">
        <v>5835</v>
      </c>
      <c r="R1171" s="22" t="s">
        <v>5906</v>
      </c>
    </row>
    <row r="1172" spans="3:18" ht="16">
      <c r="C1172" s="19" t="s">
        <v>790</v>
      </c>
      <c r="D1172" s="20" t="s">
        <v>2724</v>
      </c>
      <c r="E1172" s="21" t="s">
        <v>6257</v>
      </c>
      <c r="F1172" s="21" t="s">
        <v>10</v>
      </c>
      <c r="G1172" s="22" t="s">
        <v>5988</v>
      </c>
      <c r="H1172" s="22" t="s">
        <v>5835</v>
      </c>
      <c r="I1172" s="22">
        <v>21.6</v>
      </c>
      <c r="K1172" s="22" t="s">
        <v>5835</v>
      </c>
      <c r="N1172" s="25" t="s">
        <v>7056</v>
      </c>
      <c r="O1172" s="25" t="s">
        <v>5835</v>
      </c>
      <c r="R1172" s="22" t="s">
        <v>5988</v>
      </c>
    </row>
    <row r="1173" spans="3:18" ht="16">
      <c r="C1173" s="19" t="s">
        <v>791</v>
      </c>
      <c r="D1173" s="20" t="s">
        <v>2725</v>
      </c>
      <c r="E1173" s="21" t="s">
        <v>6199</v>
      </c>
      <c r="F1173" s="21" t="s">
        <v>6200</v>
      </c>
      <c r="G1173" s="22" t="s">
        <v>5960</v>
      </c>
      <c r="H1173" s="22" t="s">
        <v>5835</v>
      </c>
      <c r="I1173" s="22">
        <v>11.7</v>
      </c>
      <c r="K1173" s="22" t="s">
        <v>5835</v>
      </c>
      <c r="N1173" s="25" t="s">
        <v>7057</v>
      </c>
      <c r="O1173" s="25" t="s">
        <v>5835</v>
      </c>
      <c r="R1173" s="22" t="s">
        <v>5960</v>
      </c>
    </row>
    <row r="1174" spans="3:18" ht="16">
      <c r="C1174" s="19" t="s">
        <v>793</v>
      </c>
      <c r="D1174" s="20" t="s">
        <v>2727</v>
      </c>
      <c r="E1174" s="21" t="s">
        <v>6254</v>
      </c>
      <c r="F1174" s="21" t="s">
        <v>8</v>
      </c>
      <c r="G1174" s="22" t="s">
        <v>5933</v>
      </c>
      <c r="H1174" s="22" t="s">
        <v>5835</v>
      </c>
      <c r="I1174" s="22">
        <v>23.3</v>
      </c>
      <c r="K1174" s="22" t="s">
        <v>5835</v>
      </c>
      <c r="N1174" s="25" t="s">
        <v>7058</v>
      </c>
      <c r="O1174" s="25" t="s">
        <v>5835</v>
      </c>
      <c r="R1174" s="22" t="s">
        <v>5933</v>
      </c>
    </row>
    <row r="1175" spans="3:18" ht="16">
      <c r="C1175" s="19" t="s">
        <v>797</v>
      </c>
      <c r="D1175" s="20" t="s">
        <v>2731</v>
      </c>
      <c r="E1175" s="21" t="s">
        <v>6274</v>
      </c>
      <c r="F1175" s="21" t="s">
        <v>17</v>
      </c>
      <c r="G1175" s="22" t="s">
        <v>5935</v>
      </c>
      <c r="H1175" s="22" t="s">
        <v>5835</v>
      </c>
      <c r="I1175" s="22">
        <v>51.8</v>
      </c>
      <c r="K1175" s="22" t="s">
        <v>5835</v>
      </c>
      <c r="N1175" s="25" t="s">
        <v>7059</v>
      </c>
      <c r="O1175" s="25" t="s">
        <v>5835</v>
      </c>
      <c r="R1175" s="22" t="s">
        <v>5935</v>
      </c>
    </row>
    <row r="1176" spans="3:18" ht="16">
      <c r="C1176" s="19" t="s">
        <v>798</v>
      </c>
      <c r="D1176" s="20" t="s">
        <v>2732</v>
      </c>
      <c r="E1176" s="21" t="s">
        <v>6079</v>
      </c>
      <c r="F1176" s="21" t="s">
        <v>6080</v>
      </c>
      <c r="G1176" s="22" t="s">
        <v>5855</v>
      </c>
      <c r="H1176" s="22" t="s">
        <v>5835</v>
      </c>
      <c r="I1176" s="22">
        <v>17.7</v>
      </c>
      <c r="K1176" s="22" t="s">
        <v>5835</v>
      </c>
      <c r="N1176" s="25" t="s">
        <v>7060</v>
      </c>
      <c r="O1176" s="25" t="s">
        <v>5835</v>
      </c>
      <c r="R1176" s="22" t="s">
        <v>5855</v>
      </c>
    </row>
    <row r="1177" spans="3:18" ht="16">
      <c r="C1177" s="19" t="s">
        <v>799</v>
      </c>
      <c r="D1177" s="20" t="s">
        <v>2733</v>
      </c>
      <c r="E1177" s="21" t="s">
        <v>6209</v>
      </c>
      <c r="F1177" s="21" t="s">
        <v>5913</v>
      </c>
      <c r="G1177" s="22" t="s">
        <v>5913</v>
      </c>
      <c r="H1177" s="22" t="s">
        <v>5835</v>
      </c>
      <c r="I1177" s="22">
        <v>33.9</v>
      </c>
      <c r="K1177" s="22" t="s">
        <v>5835</v>
      </c>
      <c r="N1177" s="25" t="s">
        <v>7061</v>
      </c>
      <c r="O1177" s="25" t="s">
        <v>5835</v>
      </c>
      <c r="R1177" s="22" t="s">
        <v>5913</v>
      </c>
    </row>
    <row r="1178" spans="3:18" ht="16">
      <c r="C1178" s="19" t="s">
        <v>801</v>
      </c>
      <c r="D1178" s="20" t="s">
        <v>2734</v>
      </c>
      <c r="E1178" s="21" t="s">
        <v>6285</v>
      </c>
      <c r="F1178" s="21" t="s">
        <v>6281</v>
      </c>
      <c r="G1178" s="22" t="s">
        <v>5945</v>
      </c>
      <c r="H1178" s="22" t="s">
        <v>5835</v>
      </c>
      <c r="I1178" s="22">
        <v>67.2</v>
      </c>
      <c r="K1178" s="22" t="s">
        <v>5835</v>
      </c>
      <c r="N1178" s="25" t="s">
        <v>7062</v>
      </c>
      <c r="O1178" s="25" t="s">
        <v>5835</v>
      </c>
      <c r="R1178" s="22" t="s">
        <v>5945</v>
      </c>
    </row>
    <row r="1179" spans="3:18" ht="16">
      <c r="C1179" s="19" t="s">
        <v>803</v>
      </c>
      <c r="D1179" s="20" t="s">
        <v>2736</v>
      </c>
      <c r="E1179" s="21" t="s">
        <v>6277</v>
      </c>
      <c r="F1179" s="21" t="s">
        <v>17</v>
      </c>
      <c r="G1179" s="22" t="s">
        <v>5902</v>
      </c>
      <c r="H1179" s="22" t="s">
        <v>5835</v>
      </c>
      <c r="I1179" s="22">
        <v>97.7</v>
      </c>
      <c r="K1179" s="22" t="s">
        <v>5835</v>
      </c>
      <c r="N1179" s="25" t="s">
        <v>7063</v>
      </c>
      <c r="O1179" s="25" t="s">
        <v>5835</v>
      </c>
      <c r="R1179" s="22" t="s">
        <v>5902</v>
      </c>
    </row>
    <row r="1180" spans="3:18" ht="16">
      <c r="C1180" s="19" t="s">
        <v>804</v>
      </c>
      <c r="D1180" s="20" t="s">
        <v>2737</v>
      </c>
      <c r="E1180" s="21" t="s">
        <v>6067</v>
      </c>
      <c r="F1180" s="21" t="s">
        <v>17</v>
      </c>
      <c r="G1180" s="22" t="s">
        <v>5855</v>
      </c>
      <c r="H1180" s="22" t="s">
        <v>5835</v>
      </c>
      <c r="I1180" s="22">
        <v>35.700000000000003</v>
      </c>
      <c r="K1180" s="22" t="s">
        <v>5835</v>
      </c>
      <c r="N1180" s="25" t="s">
        <v>7064</v>
      </c>
      <c r="O1180" s="25" t="s">
        <v>5835</v>
      </c>
      <c r="R1180" s="22" t="s">
        <v>5855</v>
      </c>
    </row>
    <row r="1181" spans="3:18" ht="16">
      <c r="C1181" s="19" t="s">
        <v>805</v>
      </c>
      <c r="D1181" s="20" t="s">
        <v>2738</v>
      </c>
      <c r="E1181" s="21" t="s">
        <v>5923</v>
      </c>
      <c r="F1181" s="21" t="s">
        <v>5831</v>
      </c>
      <c r="G1181" s="22" t="s">
        <v>5840</v>
      </c>
      <c r="H1181" s="22" t="s">
        <v>5835</v>
      </c>
      <c r="I1181" s="22">
        <v>18.7</v>
      </c>
      <c r="K1181" s="22" t="s">
        <v>5835</v>
      </c>
      <c r="N1181" s="25" t="s">
        <v>7065</v>
      </c>
      <c r="O1181" s="25" t="s">
        <v>5835</v>
      </c>
      <c r="R1181" s="22" t="s">
        <v>5840</v>
      </c>
    </row>
    <row r="1182" spans="3:18" ht="16">
      <c r="C1182" s="19" t="s">
        <v>806</v>
      </c>
      <c r="D1182" s="20" t="s">
        <v>2739</v>
      </c>
      <c r="E1182" s="21" t="s">
        <v>6505</v>
      </c>
      <c r="F1182" s="21" t="s">
        <v>6200</v>
      </c>
      <c r="G1182" s="22" t="s">
        <v>5935</v>
      </c>
      <c r="H1182" s="22" t="s">
        <v>5835</v>
      </c>
      <c r="I1182" s="22">
        <v>10.7</v>
      </c>
      <c r="K1182" s="22" t="s">
        <v>5835</v>
      </c>
      <c r="N1182" s="25" t="s">
        <v>7066</v>
      </c>
      <c r="O1182" s="25" t="s">
        <v>5835</v>
      </c>
      <c r="R1182" s="22" t="s">
        <v>5935</v>
      </c>
    </row>
    <row r="1183" spans="3:18" ht="16">
      <c r="C1183" s="19" t="s">
        <v>807</v>
      </c>
      <c r="D1183" s="20" t="s">
        <v>2740</v>
      </c>
      <c r="E1183" s="21" t="s">
        <v>6209</v>
      </c>
      <c r="F1183" s="21" t="s">
        <v>5913</v>
      </c>
      <c r="G1183" s="22" t="s">
        <v>5918</v>
      </c>
      <c r="H1183" s="22" t="s">
        <v>7828</v>
      </c>
      <c r="I1183" s="22">
        <v>222.6</v>
      </c>
      <c r="K1183" s="22" t="s">
        <v>5835</v>
      </c>
      <c r="N1183" s="25" t="s">
        <v>7067</v>
      </c>
      <c r="O1183" s="25" t="s">
        <v>5835</v>
      </c>
      <c r="R1183" s="22" t="s">
        <v>5918</v>
      </c>
    </row>
    <row r="1184" spans="3:18" ht="16">
      <c r="C1184" s="19" t="s">
        <v>808</v>
      </c>
      <c r="D1184" s="20" t="s">
        <v>2741</v>
      </c>
      <c r="E1184" s="21" t="s">
        <v>6067</v>
      </c>
      <c r="F1184" s="21" t="s">
        <v>17</v>
      </c>
      <c r="G1184" s="22" t="s">
        <v>7825</v>
      </c>
      <c r="H1184" s="22" t="s">
        <v>5835</v>
      </c>
      <c r="I1184" s="22">
        <v>8.1999999999999993</v>
      </c>
      <c r="K1184" s="22" t="s">
        <v>5835</v>
      </c>
      <c r="N1184" s="25" t="s">
        <v>7068</v>
      </c>
      <c r="O1184" s="25" t="s">
        <v>5835</v>
      </c>
      <c r="R1184" s="22" t="s">
        <v>6202</v>
      </c>
    </row>
    <row r="1185" spans="3:18" ht="16">
      <c r="C1185" s="19" t="s">
        <v>810</v>
      </c>
      <c r="D1185" s="20" t="s">
        <v>2743</v>
      </c>
      <c r="E1185" s="21" t="s">
        <v>6254</v>
      </c>
      <c r="F1185" s="21" t="s">
        <v>8</v>
      </c>
      <c r="G1185" s="22" t="s">
        <v>5935</v>
      </c>
      <c r="H1185" s="22" t="s">
        <v>5835</v>
      </c>
      <c r="I1185" s="22">
        <v>23.3</v>
      </c>
      <c r="K1185" s="22" t="s">
        <v>5835</v>
      </c>
      <c r="N1185" s="25" t="s">
        <v>7069</v>
      </c>
      <c r="O1185" s="25" t="s">
        <v>5835</v>
      </c>
      <c r="R1185" s="22" t="s">
        <v>5935</v>
      </c>
    </row>
    <row r="1186" spans="3:18" ht="16">
      <c r="C1186" s="19" t="s">
        <v>811</v>
      </c>
      <c r="D1186" s="20" t="s">
        <v>2744</v>
      </c>
      <c r="E1186" s="21" t="s">
        <v>6252</v>
      </c>
      <c r="F1186" s="21" t="s">
        <v>6080</v>
      </c>
      <c r="G1186" s="22" t="s">
        <v>7825</v>
      </c>
      <c r="H1186" s="22" t="s">
        <v>5835</v>
      </c>
      <c r="I1186" s="22">
        <v>7.5</v>
      </c>
      <c r="K1186" s="22" t="s">
        <v>5835</v>
      </c>
      <c r="N1186" s="25" t="s">
        <v>7070</v>
      </c>
      <c r="O1186" s="25" t="s">
        <v>5835</v>
      </c>
      <c r="R1186" s="22" t="s">
        <v>6202</v>
      </c>
    </row>
    <row r="1187" spans="3:18" ht="16">
      <c r="C1187" s="19" t="s">
        <v>814</v>
      </c>
      <c r="D1187" s="20" t="s">
        <v>2747</v>
      </c>
      <c r="E1187" s="21" t="s">
        <v>6277</v>
      </c>
      <c r="F1187" s="21" t="s">
        <v>17</v>
      </c>
      <c r="G1187" s="22" t="s">
        <v>7825</v>
      </c>
      <c r="H1187" s="22" t="s">
        <v>5835</v>
      </c>
      <c r="I1187" s="22">
        <v>21.5</v>
      </c>
      <c r="K1187" s="22" t="s">
        <v>5835</v>
      </c>
      <c r="N1187" s="25" t="s">
        <v>7071</v>
      </c>
      <c r="O1187" s="25" t="s">
        <v>5835</v>
      </c>
      <c r="R1187" s="22" t="s">
        <v>6202</v>
      </c>
    </row>
    <row r="1188" spans="3:18" ht="16">
      <c r="C1188" s="19" t="s">
        <v>815</v>
      </c>
      <c r="D1188" s="20" t="s">
        <v>2748</v>
      </c>
      <c r="E1188" s="21" t="s">
        <v>6067</v>
      </c>
      <c r="F1188" s="21" t="s">
        <v>17</v>
      </c>
      <c r="G1188" s="22" t="s">
        <v>5920</v>
      </c>
      <c r="H1188" s="22" t="s">
        <v>5835</v>
      </c>
      <c r="I1188" s="22">
        <v>16.100000000000001</v>
      </c>
      <c r="K1188" s="22" t="s">
        <v>5835</v>
      </c>
      <c r="N1188" s="25" t="s">
        <v>7072</v>
      </c>
      <c r="O1188" s="25" t="s">
        <v>5835</v>
      </c>
      <c r="R1188" s="22" t="s">
        <v>5920</v>
      </c>
    </row>
    <row r="1189" spans="3:18" ht="16">
      <c r="C1189" s="19" t="s">
        <v>816</v>
      </c>
      <c r="D1189" s="20" t="s">
        <v>2749</v>
      </c>
      <c r="E1189" s="21" t="s">
        <v>5923</v>
      </c>
      <c r="F1189" s="21" t="s">
        <v>17</v>
      </c>
      <c r="G1189" s="22" t="s">
        <v>5840</v>
      </c>
      <c r="H1189" s="22" t="s">
        <v>5835</v>
      </c>
      <c r="I1189" s="22">
        <v>29.1</v>
      </c>
      <c r="K1189" s="22" t="s">
        <v>5835</v>
      </c>
      <c r="N1189" s="25" t="s">
        <v>7073</v>
      </c>
      <c r="O1189" s="25" t="s">
        <v>5835</v>
      </c>
      <c r="R1189" s="22" t="s">
        <v>5840</v>
      </c>
    </row>
    <row r="1190" spans="3:18" ht="16">
      <c r="C1190" s="19" t="s">
        <v>818</v>
      </c>
      <c r="D1190" s="20" t="s">
        <v>2751</v>
      </c>
      <c r="E1190" s="21" t="s">
        <v>6505</v>
      </c>
      <c r="F1190" s="21" t="s">
        <v>6200</v>
      </c>
      <c r="G1190" s="22" t="s">
        <v>7825</v>
      </c>
      <c r="H1190" s="22" t="s">
        <v>5835</v>
      </c>
      <c r="I1190" s="22">
        <v>11.8</v>
      </c>
      <c r="K1190" s="22" t="s">
        <v>5835</v>
      </c>
      <c r="N1190" s="25" t="s">
        <v>7074</v>
      </c>
      <c r="O1190" s="25" t="s">
        <v>5835</v>
      </c>
      <c r="R1190" s="22" t="s">
        <v>6202</v>
      </c>
    </row>
    <row r="1191" spans="3:18" ht="16">
      <c r="C1191" s="19" t="s">
        <v>820</v>
      </c>
      <c r="D1191" s="20" t="s">
        <v>2753</v>
      </c>
      <c r="E1191" s="21" t="s">
        <v>6067</v>
      </c>
      <c r="F1191" s="21" t="s">
        <v>17</v>
      </c>
      <c r="G1191" s="22" t="s">
        <v>7825</v>
      </c>
      <c r="H1191" s="22" t="s">
        <v>5835</v>
      </c>
      <c r="I1191" s="22">
        <v>9.1999999999999993</v>
      </c>
      <c r="K1191" s="22" t="s">
        <v>5835</v>
      </c>
      <c r="N1191" s="25" t="s">
        <v>7075</v>
      </c>
      <c r="O1191" s="25" t="s">
        <v>5835</v>
      </c>
      <c r="R1191" s="22" t="s">
        <v>6202</v>
      </c>
    </row>
    <row r="1192" spans="3:18" ht="16">
      <c r="C1192" s="19" t="s">
        <v>821</v>
      </c>
      <c r="D1192" s="20" t="s">
        <v>7076</v>
      </c>
      <c r="E1192" s="21" t="s">
        <v>6358</v>
      </c>
      <c r="F1192" s="21" t="s">
        <v>6281</v>
      </c>
      <c r="G1192" s="22" t="s">
        <v>5945</v>
      </c>
      <c r="H1192" s="22" t="s">
        <v>5835</v>
      </c>
      <c r="I1192" s="22">
        <v>14.2</v>
      </c>
      <c r="K1192" s="22" t="s">
        <v>5835</v>
      </c>
      <c r="N1192" s="25" t="s">
        <v>7077</v>
      </c>
      <c r="O1192" s="25" t="s">
        <v>5835</v>
      </c>
      <c r="R1192" s="22" t="s">
        <v>5945</v>
      </c>
    </row>
    <row r="1193" spans="3:18" ht="16">
      <c r="C1193" s="19" t="s">
        <v>822</v>
      </c>
      <c r="D1193" s="20" t="s">
        <v>7078</v>
      </c>
      <c r="E1193" s="21" t="s">
        <v>6413</v>
      </c>
      <c r="F1193" s="21" t="s">
        <v>5852</v>
      </c>
      <c r="G1193" s="22" t="s">
        <v>5849</v>
      </c>
      <c r="H1193" s="22" t="s">
        <v>5835</v>
      </c>
      <c r="I1193" s="22">
        <v>11.7</v>
      </c>
      <c r="K1193" s="22" t="s">
        <v>5835</v>
      </c>
      <c r="N1193" s="25" t="s">
        <v>7079</v>
      </c>
      <c r="O1193" s="25" t="s">
        <v>5835</v>
      </c>
      <c r="R1193" s="22" t="s">
        <v>5849</v>
      </c>
    </row>
    <row r="1194" spans="3:18" ht="16">
      <c r="C1194" s="19" t="s">
        <v>823</v>
      </c>
      <c r="D1194" s="20" t="s">
        <v>2754</v>
      </c>
      <c r="E1194" s="21" t="s">
        <v>6505</v>
      </c>
      <c r="F1194" s="21" t="s">
        <v>6200</v>
      </c>
      <c r="G1194" s="22" t="s">
        <v>5985</v>
      </c>
      <c r="H1194" s="22" t="s">
        <v>5835</v>
      </c>
      <c r="I1194" s="22">
        <v>11.3</v>
      </c>
      <c r="K1194" s="22" t="s">
        <v>5835</v>
      </c>
      <c r="N1194" s="25" t="s">
        <v>7080</v>
      </c>
      <c r="O1194" s="25" t="s">
        <v>5835</v>
      </c>
      <c r="R1194" s="22" t="s">
        <v>5985</v>
      </c>
    </row>
    <row r="1195" spans="3:18" ht="16">
      <c r="C1195" s="19" t="s">
        <v>824</v>
      </c>
      <c r="D1195" s="20" t="s">
        <v>2755</v>
      </c>
      <c r="E1195" s="21" t="s">
        <v>6067</v>
      </c>
      <c r="F1195" s="21" t="s">
        <v>17</v>
      </c>
      <c r="G1195" s="22" t="s">
        <v>5920</v>
      </c>
      <c r="H1195" s="22" t="s">
        <v>7828</v>
      </c>
      <c r="I1195" s="22">
        <v>149.5</v>
      </c>
      <c r="K1195" s="22" t="s">
        <v>5835</v>
      </c>
      <c r="N1195" s="25" t="s">
        <v>7081</v>
      </c>
      <c r="O1195" s="25" t="s">
        <v>5835</v>
      </c>
      <c r="R1195" s="22" t="s">
        <v>5920</v>
      </c>
    </row>
    <row r="1196" spans="3:18" ht="16">
      <c r="C1196" s="19" t="s">
        <v>825</v>
      </c>
      <c r="D1196" s="20" t="s">
        <v>2756</v>
      </c>
      <c r="E1196" s="21" t="s">
        <v>6257</v>
      </c>
      <c r="F1196" s="21" t="s">
        <v>10</v>
      </c>
      <c r="G1196" s="22" t="s">
        <v>5881</v>
      </c>
      <c r="H1196" s="22" t="s">
        <v>5835</v>
      </c>
      <c r="I1196" s="22">
        <v>30.5</v>
      </c>
      <c r="K1196" s="22" t="s">
        <v>5835</v>
      </c>
      <c r="N1196" s="25" t="s">
        <v>7056</v>
      </c>
      <c r="O1196" s="25" t="s">
        <v>5835</v>
      </c>
      <c r="R1196" s="22" t="s">
        <v>5881</v>
      </c>
    </row>
    <row r="1197" spans="3:18" ht="16">
      <c r="C1197" s="19" t="s">
        <v>827</v>
      </c>
      <c r="D1197" s="20" t="s">
        <v>2758</v>
      </c>
      <c r="E1197" s="21" t="s">
        <v>6257</v>
      </c>
      <c r="F1197" s="21" t="s">
        <v>10</v>
      </c>
      <c r="G1197" s="22" t="s">
        <v>5981</v>
      </c>
      <c r="H1197" s="22" t="s">
        <v>7828</v>
      </c>
      <c r="I1197" s="22">
        <v>1804</v>
      </c>
      <c r="K1197" s="22" t="s">
        <v>5835</v>
      </c>
      <c r="N1197" s="25" t="s">
        <v>7082</v>
      </c>
      <c r="O1197" s="25" t="s">
        <v>5835</v>
      </c>
      <c r="R1197" s="22" t="s">
        <v>5981</v>
      </c>
    </row>
    <row r="1198" spans="3:18" ht="16">
      <c r="C1198" s="19" t="s">
        <v>829</v>
      </c>
      <c r="D1198" s="20" t="s">
        <v>2760</v>
      </c>
      <c r="E1198" s="21" t="s">
        <v>6199</v>
      </c>
      <c r="F1198" s="21" t="s">
        <v>6200</v>
      </c>
      <c r="G1198" s="22" t="s">
        <v>5985</v>
      </c>
      <c r="H1198" s="22" t="s">
        <v>5835</v>
      </c>
      <c r="I1198" s="22">
        <v>14.1</v>
      </c>
      <c r="K1198" s="22" t="s">
        <v>5835</v>
      </c>
      <c r="N1198" s="25" t="s">
        <v>7083</v>
      </c>
      <c r="O1198" s="25" t="s">
        <v>5835</v>
      </c>
      <c r="R1198" s="22" t="s">
        <v>5985</v>
      </c>
    </row>
    <row r="1199" spans="3:18" ht="16">
      <c r="C1199" s="19" t="s">
        <v>833</v>
      </c>
      <c r="D1199" s="20" t="s">
        <v>2764</v>
      </c>
      <c r="E1199" s="21" t="s">
        <v>6471</v>
      </c>
      <c r="F1199" s="21" t="s">
        <v>6231</v>
      </c>
      <c r="G1199" s="22" t="s">
        <v>5933</v>
      </c>
      <c r="H1199" s="22" t="s">
        <v>5835</v>
      </c>
      <c r="I1199" s="22">
        <v>25.3</v>
      </c>
      <c r="K1199" s="22" t="s">
        <v>5835</v>
      </c>
      <c r="N1199" s="25" t="s">
        <v>7084</v>
      </c>
      <c r="O1199" s="25" t="s">
        <v>5835</v>
      </c>
      <c r="R1199" s="22" t="s">
        <v>5933</v>
      </c>
    </row>
    <row r="1200" spans="3:18" ht="16">
      <c r="C1200" s="19" t="s">
        <v>834</v>
      </c>
      <c r="D1200" s="20" t="s">
        <v>2765</v>
      </c>
      <c r="E1200" s="21" t="s">
        <v>6243</v>
      </c>
      <c r="F1200" s="21" t="s">
        <v>17</v>
      </c>
      <c r="G1200" s="22" t="s">
        <v>5873</v>
      </c>
      <c r="H1200" s="22" t="s">
        <v>5835</v>
      </c>
      <c r="I1200" s="22">
        <v>22.2</v>
      </c>
      <c r="K1200" s="22" t="s">
        <v>5835</v>
      </c>
      <c r="N1200" s="25" t="s">
        <v>7085</v>
      </c>
      <c r="O1200" s="25" t="s">
        <v>5835</v>
      </c>
      <c r="R1200" s="22" t="s">
        <v>5873</v>
      </c>
    </row>
    <row r="1201" spans="3:18" ht="16">
      <c r="C1201" s="19" t="s">
        <v>835</v>
      </c>
      <c r="D1201" s="20" t="s">
        <v>2766</v>
      </c>
      <c r="E1201" s="21" t="s">
        <v>6209</v>
      </c>
      <c r="F1201" s="21" t="s">
        <v>5913</v>
      </c>
      <c r="G1201" s="22" t="s">
        <v>5906</v>
      </c>
      <c r="H1201" s="22" t="s">
        <v>5835</v>
      </c>
      <c r="I1201" s="22">
        <v>14.6</v>
      </c>
      <c r="K1201" s="22" t="s">
        <v>5835</v>
      </c>
      <c r="N1201" s="25" t="s">
        <v>7086</v>
      </c>
      <c r="O1201" s="25" t="s">
        <v>5835</v>
      </c>
      <c r="R1201" s="22" t="s">
        <v>5906</v>
      </c>
    </row>
    <row r="1202" spans="3:18" ht="16">
      <c r="C1202" s="19" t="s">
        <v>838</v>
      </c>
      <c r="D1202" s="20" t="s">
        <v>2769</v>
      </c>
      <c r="E1202" s="21" t="s">
        <v>6664</v>
      </c>
      <c r="F1202" s="21" t="s">
        <v>6314</v>
      </c>
      <c r="G1202" s="22" t="s">
        <v>5997</v>
      </c>
      <c r="H1202" s="22" t="s">
        <v>5835</v>
      </c>
      <c r="I1202" s="22">
        <v>53</v>
      </c>
      <c r="K1202" s="22" t="s">
        <v>5835</v>
      </c>
      <c r="N1202" s="25" t="s">
        <v>7087</v>
      </c>
      <c r="O1202" s="25" t="s">
        <v>5835</v>
      </c>
      <c r="R1202" s="22" t="s">
        <v>5997</v>
      </c>
    </row>
    <row r="1203" spans="3:18" ht="16">
      <c r="C1203" s="19" t="s">
        <v>839</v>
      </c>
      <c r="D1203" s="20" t="s">
        <v>2770</v>
      </c>
      <c r="E1203" s="21" t="s">
        <v>6067</v>
      </c>
      <c r="F1203" s="21" t="s">
        <v>17</v>
      </c>
      <c r="G1203" s="22" t="s">
        <v>5873</v>
      </c>
      <c r="H1203" s="22" t="s">
        <v>5835</v>
      </c>
      <c r="I1203" s="22">
        <v>74</v>
      </c>
      <c r="K1203" s="22" t="s">
        <v>5835</v>
      </c>
      <c r="N1203" s="25" t="s">
        <v>7088</v>
      </c>
      <c r="O1203" s="25" t="s">
        <v>5835</v>
      </c>
      <c r="R1203" s="22" t="s">
        <v>5873</v>
      </c>
    </row>
    <row r="1204" spans="3:18" ht="16">
      <c r="C1204" s="19" t="s">
        <v>841</v>
      </c>
      <c r="D1204" s="20" t="s">
        <v>2772</v>
      </c>
      <c r="E1204" s="21" t="s">
        <v>6254</v>
      </c>
      <c r="F1204" s="21" t="s">
        <v>8</v>
      </c>
      <c r="G1204" s="22" t="s">
        <v>7825</v>
      </c>
      <c r="H1204" s="22" t="s">
        <v>7828</v>
      </c>
      <c r="I1204" s="22">
        <v>91.7</v>
      </c>
      <c r="K1204" s="22" t="s">
        <v>5835</v>
      </c>
      <c r="N1204" s="25" t="s">
        <v>7089</v>
      </c>
      <c r="O1204" s="25" t="s">
        <v>5835</v>
      </c>
      <c r="R1204" s="22" t="s">
        <v>6202</v>
      </c>
    </row>
    <row r="1205" spans="3:18" ht="16">
      <c r="C1205" s="19" t="s">
        <v>842</v>
      </c>
      <c r="D1205" s="20" t="s">
        <v>2773</v>
      </c>
      <c r="E1205" s="21" t="s">
        <v>5926</v>
      </c>
      <c r="F1205" s="21" t="s">
        <v>5927</v>
      </c>
      <c r="G1205" s="22" t="s">
        <v>5867</v>
      </c>
      <c r="H1205" s="22" t="s">
        <v>5835</v>
      </c>
      <c r="I1205" s="22">
        <v>51.3</v>
      </c>
      <c r="K1205" s="22" t="s">
        <v>5835</v>
      </c>
      <c r="N1205" s="25" t="s">
        <v>7090</v>
      </c>
      <c r="O1205" s="25" t="s">
        <v>5835</v>
      </c>
      <c r="R1205" s="22" t="s">
        <v>5867</v>
      </c>
    </row>
    <row r="1206" spans="3:18" ht="16">
      <c r="C1206" s="19" t="s">
        <v>843</v>
      </c>
      <c r="D1206" s="20" t="s">
        <v>2774</v>
      </c>
      <c r="E1206" s="21" t="s">
        <v>6257</v>
      </c>
      <c r="F1206" s="21" t="s">
        <v>10</v>
      </c>
      <c r="G1206" s="22" t="s">
        <v>5928</v>
      </c>
      <c r="H1206" s="22" t="s">
        <v>5835</v>
      </c>
      <c r="I1206" s="22">
        <v>10.1</v>
      </c>
      <c r="K1206" s="22" t="s">
        <v>5835</v>
      </c>
      <c r="N1206" s="25" t="s">
        <v>7091</v>
      </c>
      <c r="O1206" s="25" t="s">
        <v>5835</v>
      </c>
      <c r="R1206" s="22" t="s">
        <v>5928</v>
      </c>
    </row>
    <row r="1207" spans="3:18" ht="16">
      <c r="C1207" s="19" t="s">
        <v>844</v>
      </c>
      <c r="D1207" s="20" t="s">
        <v>2775</v>
      </c>
      <c r="E1207" s="21" t="s">
        <v>6257</v>
      </c>
      <c r="F1207" s="21" t="s">
        <v>10</v>
      </c>
      <c r="G1207" s="22" t="s">
        <v>5937</v>
      </c>
      <c r="H1207" s="22" t="s">
        <v>5835</v>
      </c>
      <c r="I1207" s="22">
        <v>22.5</v>
      </c>
      <c r="K1207" s="22" t="s">
        <v>5835</v>
      </c>
      <c r="N1207" s="25" t="s">
        <v>7092</v>
      </c>
      <c r="O1207" s="25" t="s">
        <v>5835</v>
      </c>
      <c r="R1207" s="22" t="s">
        <v>5937</v>
      </c>
    </row>
    <row r="1208" spans="3:18" ht="16">
      <c r="C1208" s="19" t="s">
        <v>846</v>
      </c>
      <c r="D1208" s="20" t="s">
        <v>2777</v>
      </c>
      <c r="E1208" s="21" t="s">
        <v>6226</v>
      </c>
      <c r="F1208" s="21" t="s">
        <v>5913</v>
      </c>
      <c r="G1208" s="22" t="s">
        <v>5913</v>
      </c>
      <c r="H1208" s="22" t="s">
        <v>7828</v>
      </c>
      <c r="I1208" s="22">
        <v>96.3</v>
      </c>
      <c r="K1208" s="22" t="s">
        <v>5835</v>
      </c>
      <c r="N1208" s="25" t="s">
        <v>7093</v>
      </c>
      <c r="O1208" s="25" t="s">
        <v>5835</v>
      </c>
      <c r="R1208" s="22" t="s">
        <v>5913</v>
      </c>
    </row>
    <row r="1209" spans="3:18" ht="16">
      <c r="C1209" s="19" t="s">
        <v>848</v>
      </c>
      <c r="D1209" s="20" t="s">
        <v>2779</v>
      </c>
      <c r="E1209" s="21" t="s">
        <v>6285</v>
      </c>
      <c r="F1209" s="21" t="s">
        <v>6281</v>
      </c>
      <c r="G1209" s="22" t="s">
        <v>5945</v>
      </c>
      <c r="H1209" s="22" t="s">
        <v>5835</v>
      </c>
      <c r="I1209" s="22">
        <v>37.9</v>
      </c>
      <c r="K1209" s="22" t="s">
        <v>5835</v>
      </c>
      <c r="N1209" s="25" t="s">
        <v>7094</v>
      </c>
      <c r="O1209" s="25" t="s">
        <v>5835</v>
      </c>
      <c r="R1209" s="22" t="s">
        <v>5945</v>
      </c>
    </row>
    <row r="1210" spans="3:18" ht="16">
      <c r="C1210" s="19" t="s">
        <v>849</v>
      </c>
      <c r="D1210" s="20" t="s">
        <v>2780</v>
      </c>
      <c r="E1210" s="21" t="s">
        <v>6222</v>
      </c>
      <c r="F1210" s="21" t="s">
        <v>8</v>
      </c>
      <c r="G1210" s="22" t="s">
        <v>14</v>
      </c>
      <c r="H1210" s="22" t="s">
        <v>5835</v>
      </c>
      <c r="I1210" s="22">
        <v>8.9</v>
      </c>
      <c r="K1210" s="22" t="s">
        <v>5835</v>
      </c>
      <c r="N1210" s="25" t="s">
        <v>7095</v>
      </c>
      <c r="O1210" s="25" t="s">
        <v>5835</v>
      </c>
      <c r="R1210" s="22" t="s">
        <v>14</v>
      </c>
    </row>
    <row r="1211" spans="3:18" ht="16">
      <c r="C1211" s="19" t="s">
        <v>850</v>
      </c>
      <c r="D1211" s="20" t="s">
        <v>2781</v>
      </c>
      <c r="E1211" s="21" t="s">
        <v>6313</v>
      </c>
      <c r="F1211" s="21" t="s">
        <v>6314</v>
      </c>
      <c r="G1211" s="22" t="s">
        <v>5958</v>
      </c>
      <c r="H1211" s="22" t="s">
        <v>7828</v>
      </c>
      <c r="I1211" s="22">
        <v>33.299999999999997</v>
      </c>
      <c r="K1211" s="22" t="s">
        <v>5835</v>
      </c>
      <c r="N1211" s="25" t="s">
        <v>7096</v>
      </c>
      <c r="O1211" s="25" t="s">
        <v>5835</v>
      </c>
      <c r="R1211" s="22" t="s">
        <v>5958</v>
      </c>
    </row>
    <row r="1212" spans="3:18" ht="16">
      <c r="C1212" s="19" t="s">
        <v>852</v>
      </c>
      <c r="D1212" s="20" t="s">
        <v>2783</v>
      </c>
      <c r="E1212" s="21" t="s">
        <v>6285</v>
      </c>
      <c r="F1212" s="21" t="s">
        <v>6281</v>
      </c>
      <c r="G1212" s="22" t="s">
        <v>5945</v>
      </c>
      <c r="H1212" s="22" t="s">
        <v>5835</v>
      </c>
      <c r="I1212" s="22">
        <v>60</v>
      </c>
      <c r="K1212" s="22" t="s">
        <v>5835</v>
      </c>
      <c r="N1212" s="25" t="s">
        <v>7097</v>
      </c>
      <c r="O1212" s="25" t="s">
        <v>5835</v>
      </c>
      <c r="R1212" s="22" t="s">
        <v>5945</v>
      </c>
    </row>
    <row r="1213" spans="3:18" ht="16">
      <c r="C1213" s="19" t="s">
        <v>853</v>
      </c>
      <c r="D1213" s="20" t="s">
        <v>2784</v>
      </c>
      <c r="E1213" s="21" t="s">
        <v>6254</v>
      </c>
      <c r="F1213" s="21" t="s">
        <v>8</v>
      </c>
      <c r="G1213" s="22" t="s">
        <v>5935</v>
      </c>
      <c r="H1213" s="22" t="s">
        <v>5835</v>
      </c>
      <c r="I1213" s="22">
        <v>25.5</v>
      </c>
      <c r="K1213" s="22" t="s">
        <v>5835</v>
      </c>
      <c r="N1213" s="25" t="s">
        <v>7098</v>
      </c>
      <c r="O1213" s="25" t="s">
        <v>5835</v>
      </c>
      <c r="R1213" s="22" t="s">
        <v>5935</v>
      </c>
    </row>
    <row r="1214" spans="3:18" ht="16">
      <c r="C1214" s="19" t="s">
        <v>854</v>
      </c>
      <c r="D1214" s="20" t="s">
        <v>2785</v>
      </c>
      <c r="E1214" s="21" t="s">
        <v>6222</v>
      </c>
      <c r="F1214" s="21" t="s">
        <v>8</v>
      </c>
      <c r="G1214" s="22" t="s">
        <v>12</v>
      </c>
      <c r="H1214" s="22" t="s">
        <v>5835</v>
      </c>
      <c r="I1214" s="22">
        <v>18.5</v>
      </c>
      <c r="K1214" s="22" t="s">
        <v>5835</v>
      </c>
      <c r="N1214" s="25" t="s">
        <v>7099</v>
      </c>
      <c r="O1214" s="25" t="s">
        <v>5835</v>
      </c>
      <c r="R1214" s="22" t="s">
        <v>12</v>
      </c>
    </row>
    <row r="1215" spans="3:18" ht="16">
      <c r="C1215" s="19" t="s">
        <v>856</v>
      </c>
      <c r="D1215" s="20" t="s">
        <v>2787</v>
      </c>
      <c r="E1215" s="21" t="s">
        <v>6166</v>
      </c>
      <c r="F1215" s="21" t="s">
        <v>6080</v>
      </c>
      <c r="G1215" s="22" t="s">
        <v>14</v>
      </c>
      <c r="H1215" s="22" t="s">
        <v>7828</v>
      </c>
      <c r="I1215" s="22">
        <v>123.6</v>
      </c>
      <c r="K1215" s="22" t="s">
        <v>5835</v>
      </c>
      <c r="N1215" s="25" t="s">
        <v>7026</v>
      </c>
      <c r="O1215" s="25" t="s">
        <v>5835</v>
      </c>
      <c r="R1215" s="22" t="s">
        <v>14</v>
      </c>
    </row>
    <row r="1216" spans="3:18" ht="16">
      <c r="C1216" s="19" t="s">
        <v>861</v>
      </c>
      <c r="D1216" s="20" t="s">
        <v>2792</v>
      </c>
      <c r="E1216" s="21" t="s">
        <v>6285</v>
      </c>
      <c r="F1216" s="21" t="s">
        <v>6281</v>
      </c>
      <c r="G1216" s="22" t="s">
        <v>5945</v>
      </c>
      <c r="H1216" s="22" t="s">
        <v>5835</v>
      </c>
      <c r="I1216" s="22">
        <v>37.799999999999997</v>
      </c>
      <c r="K1216" s="22" t="s">
        <v>5835</v>
      </c>
      <c r="N1216" s="25" t="s">
        <v>7100</v>
      </c>
      <c r="O1216" s="25" t="s">
        <v>5835</v>
      </c>
      <c r="R1216" s="22" t="s">
        <v>5945</v>
      </c>
    </row>
    <row r="1217" spans="3:18" ht="16">
      <c r="C1217" s="19" t="s">
        <v>863</v>
      </c>
      <c r="D1217" s="20" t="s">
        <v>2794</v>
      </c>
      <c r="E1217" s="21" t="s">
        <v>6067</v>
      </c>
      <c r="F1217" s="21" t="s">
        <v>17</v>
      </c>
      <c r="G1217" s="22" t="s">
        <v>5920</v>
      </c>
      <c r="H1217" s="22" t="s">
        <v>5835</v>
      </c>
      <c r="I1217" s="22">
        <v>10.199999999999999</v>
      </c>
      <c r="K1217" s="22" t="s">
        <v>5835</v>
      </c>
      <c r="N1217" s="25" t="s">
        <v>7101</v>
      </c>
      <c r="O1217" s="25" t="s">
        <v>5835</v>
      </c>
      <c r="R1217" s="22" t="s">
        <v>5920</v>
      </c>
    </row>
    <row r="1218" spans="3:18" ht="16">
      <c r="C1218" s="19" t="s">
        <v>866</v>
      </c>
      <c r="D1218" s="20" t="s">
        <v>2797</v>
      </c>
      <c r="E1218" s="21" t="s">
        <v>6199</v>
      </c>
      <c r="F1218" s="21" t="s">
        <v>6200</v>
      </c>
      <c r="G1218" s="22" t="s">
        <v>5881</v>
      </c>
      <c r="H1218" s="22" t="s">
        <v>5835</v>
      </c>
      <c r="I1218" s="22">
        <v>18.7</v>
      </c>
      <c r="K1218" s="22" t="s">
        <v>5835</v>
      </c>
      <c r="N1218" s="25" t="s">
        <v>7102</v>
      </c>
      <c r="O1218" s="25" t="s">
        <v>5835</v>
      </c>
      <c r="R1218" s="22" t="s">
        <v>5881</v>
      </c>
    </row>
    <row r="1219" spans="3:18" ht="16">
      <c r="C1219" s="19" t="s">
        <v>867</v>
      </c>
      <c r="D1219" s="20" t="s">
        <v>2798</v>
      </c>
      <c r="E1219" s="21" t="s">
        <v>6285</v>
      </c>
      <c r="F1219" s="21" t="s">
        <v>6281</v>
      </c>
      <c r="G1219" s="22" t="s">
        <v>5945</v>
      </c>
      <c r="H1219" s="22" t="s">
        <v>7828</v>
      </c>
      <c r="I1219" s="22">
        <v>91.9</v>
      </c>
      <c r="K1219" s="22" t="s">
        <v>5835</v>
      </c>
      <c r="N1219" s="25" t="s">
        <v>7103</v>
      </c>
      <c r="O1219" s="25" t="s">
        <v>5835</v>
      </c>
      <c r="R1219" s="22" t="s">
        <v>5945</v>
      </c>
    </row>
    <row r="1220" spans="3:18" ht="16">
      <c r="C1220" s="19" t="s">
        <v>868</v>
      </c>
      <c r="D1220" s="20" t="s">
        <v>2799</v>
      </c>
      <c r="E1220" s="21" t="s">
        <v>6497</v>
      </c>
      <c r="F1220" s="21" t="s">
        <v>6200</v>
      </c>
      <c r="G1220" s="22" t="s">
        <v>5960</v>
      </c>
      <c r="H1220" s="22" t="s">
        <v>5835</v>
      </c>
      <c r="I1220" s="22">
        <v>15.3</v>
      </c>
      <c r="K1220" s="22" t="s">
        <v>5835</v>
      </c>
      <c r="N1220" s="25" t="s">
        <v>7104</v>
      </c>
      <c r="O1220" s="25" t="s">
        <v>5835</v>
      </c>
      <c r="R1220" s="22" t="s">
        <v>5960</v>
      </c>
    </row>
    <row r="1221" spans="3:18" ht="16">
      <c r="C1221" s="19" t="s">
        <v>871</v>
      </c>
      <c r="D1221" s="20" t="s">
        <v>2802</v>
      </c>
      <c r="E1221" s="21" t="s">
        <v>6497</v>
      </c>
      <c r="F1221" s="21" t="s">
        <v>6200</v>
      </c>
      <c r="G1221" s="22" t="s">
        <v>7825</v>
      </c>
      <c r="H1221" s="22" t="s">
        <v>5835</v>
      </c>
      <c r="I1221" s="22">
        <v>5.0999999999999996</v>
      </c>
      <c r="K1221" s="22" t="s">
        <v>5835</v>
      </c>
      <c r="N1221" s="25" t="s">
        <v>7105</v>
      </c>
      <c r="O1221" s="25" t="s">
        <v>5835</v>
      </c>
      <c r="R1221" s="22" t="s">
        <v>6202</v>
      </c>
    </row>
    <row r="1222" spans="3:18" ht="16">
      <c r="C1222" s="19" t="s">
        <v>872</v>
      </c>
      <c r="D1222" s="20" t="s">
        <v>2803</v>
      </c>
      <c r="E1222" s="21" t="s">
        <v>6199</v>
      </c>
      <c r="F1222" s="21" t="s">
        <v>6200</v>
      </c>
      <c r="G1222" s="22" t="s">
        <v>5918</v>
      </c>
      <c r="H1222" s="22" t="s">
        <v>5835</v>
      </c>
      <c r="I1222" s="22">
        <v>37.5</v>
      </c>
      <c r="K1222" s="22" t="s">
        <v>5835</v>
      </c>
      <c r="N1222" s="25" t="s">
        <v>7106</v>
      </c>
      <c r="O1222" s="25" t="s">
        <v>5835</v>
      </c>
      <c r="R1222" s="22" t="s">
        <v>5918</v>
      </c>
    </row>
    <row r="1223" spans="3:18" ht="16">
      <c r="C1223" s="19" t="s">
        <v>873</v>
      </c>
      <c r="D1223" s="20" t="s">
        <v>2804</v>
      </c>
      <c r="E1223" s="21" t="s">
        <v>6277</v>
      </c>
      <c r="F1223" s="21" t="s">
        <v>17</v>
      </c>
      <c r="G1223" s="22" t="s">
        <v>5995</v>
      </c>
      <c r="H1223" s="22" t="s">
        <v>5835</v>
      </c>
      <c r="I1223" s="22">
        <v>17</v>
      </c>
      <c r="K1223" s="22" t="s">
        <v>5835</v>
      </c>
      <c r="N1223" s="25" t="s">
        <v>7107</v>
      </c>
      <c r="O1223" s="25" t="s">
        <v>5835</v>
      </c>
      <c r="R1223" s="22" t="s">
        <v>5995</v>
      </c>
    </row>
    <row r="1224" spans="3:18" ht="16">
      <c r="C1224" s="19" t="s">
        <v>874</v>
      </c>
      <c r="D1224" s="20" t="s">
        <v>2805</v>
      </c>
      <c r="E1224" s="21" t="s">
        <v>6319</v>
      </c>
      <c r="F1224" s="21" t="s">
        <v>17</v>
      </c>
      <c r="G1224" s="22" t="s">
        <v>5855</v>
      </c>
      <c r="H1224" s="22" t="s">
        <v>5835</v>
      </c>
      <c r="I1224" s="22">
        <v>18.8</v>
      </c>
      <c r="K1224" s="22" t="s">
        <v>5835</v>
      </c>
      <c r="N1224" s="25" t="s">
        <v>7108</v>
      </c>
      <c r="O1224" s="25" t="s">
        <v>5835</v>
      </c>
      <c r="R1224" s="22" t="s">
        <v>5855</v>
      </c>
    </row>
    <row r="1225" spans="3:18" ht="16">
      <c r="C1225" s="19" t="s">
        <v>875</v>
      </c>
      <c r="D1225" s="20" t="s">
        <v>2806</v>
      </c>
      <c r="E1225" s="21" t="s">
        <v>5968</v>
      </c>
      <c r="F1225" s="21" t="s">
        <v>5969</v>
      </c>
      <c r="G1225" s="22" t="s">
        <v>5997</v>
      </c>
      <c r="H1225" s="22" t="s">
        <v>5835</v>
      </c>
      <c r="I1225" s="22">
        <v>11.8</v>
      </c>
      <c r="K1225" s="22" t="s">
        <v>5835</v>
      </c>
      <c r="N1225" s="25" t="s">
        <v>7109</v>
      </c>
      <c r="O1225" s="25" t="s">
        <v>5835</v>
      </c>
      <c r="R1225" s="22" t="s">
        <v>5997</v>
      </c>
    </row>
    <row r="1226" spans="3:18" ht="16">
      <c r="C1226" s="19" t="s">
        <v>876</v>
      </c>
      <c r="D1226" s="20" t="s">
        <v>2807</v>
      </c>
      <c r="E1226" s="21" t="s">
        <v>6469</v>
      </c>
      <c r="F1226" s="21" t="s">
        <v>17</v>
      </c>
      <c r="G1226" s="22" t="s">
        <v>5976</v>
      </c>
      <c r="H1226" s="22" t="s">
        <v>5835</v>
      </c>
      <c r="I1226" s="22">
        <v>44.7</v>
      </c>
      <c r="K1226" s="22" t="s">
        <v>5835</v>
      </c>
      <c r="N1226" s="25" t="s">
        <v>7110</v>
      </c>
      <c r="O1226" s="25" t="s">
        <v>5835</v>
      </c>
      <c r="R1226" s="22" t="s">
        <v>5976</v>
      </c>
    </row>
    <row r="1227" spans="3:18" ht="16">
      <c r="C1227" s="19" t="s">
        <v>877</v>
      </c>
      <c r="D1227" s="20" t="s">
        <v>2808</v>
      </c>
      <c r="E1227" s="21" t="s">
        <v>6230</v>
      </c>
      <c r="F1227" s="21" t="s">
        <v>6231</v>
      </c>
      <c r="G1227" s="22" t="s">
        <v>7825</v>
      </c>
      <c r="H1227" s="22" t="s">
        <v>5835</v>
      </c>
      <c r="I1227" s="22">
        <v>20</v>
      </c>
      <c r="K1227" s="22" t="s">
        <v>5835</v>
      </c>
      <c r="N1227" s="25" t="s">
        <v>7111</v>
      </c>
      <c r="O1227" s="25" t="s">
        <v>5835</v>
      </c>
      <c r="R1227" s="22" t="s">
        <v>6202</v>
      </c>
    </row>
    <row r="1228" spans="3:18" ht="16">
      <c r="C1228" s="19" t="s">
        <v>878</v>
      </c>
      <c r="D1228" s="20" t="s">
        <v>2809</v>
      </c>
      <c r="E1228" s="21" t="s">
        <v>6521</v>
      </c>
      <c r="F1228" s="21" t="s">
        <v>6314</v>
      </c>
      <c r="G1228" s="22" t="s">
        <v>7825</v>
      </c>
      <c r="H1228" s="22" t="s">
        <v>5835</v>
      </c>
      <c r="I1228" s="22">
        <v>4.3</v>
      </c>
      <c r="K1228" s="22" t="s">
        <v>5835</v>
      </c>
      <c r="N1228" s="25" t="s">
        <v>7112</v>
      </c>
      <c r="O1228" s="25" t="s">
        <v>5835</v>
      </c>
      <c r="R1228" s="22" t="s">
        <v>6202</v>
      </c>
    </row>
    <row r="1229" spans="3:18" ht="16">
      <c r="C1229" s="19" t="s">
        <v>880</v>
      </c>
      <c r="D1229" s="20" t="s">
        <v>2811</v>
      </c>
      <c r="E1229" s="21" t="s">
        <v>6067</v>
      </c>
      <c r="F1229" s="21" t="s">
        <v>17</v>
      </c>
      <c r="G1229" s="22" t="s">
        <v>5920</v>
      </c>
      <c r="H1229" s="22" t="s">
        <v>5835</v>
      </c>
      <c r="I1229" s="22">
        <v>11.5</v>
      </c>
      <c r="K1229" s="22" t="s">
        <v>5835</v>
      </c>
      <c r="N1229" s="25" t="s">
        <v>7113</v>
      </c>
      <c r="O1229" s="25" t="s">
        <v>5835</v>
      </c>
      <c r="R1229" s="22" t="s">
        <v>5920</v>
      </c>
    </row>
    <row r="1230" spans="3:18" ht="16">
      <c r="C1230" s="19" t="s">
        <v>884</v>
      </c>
      <c r="D1230" s="20" t="s">
        <v>2815</v>
      </c>
      <c r="E1230" s="21" t="s">
        <v>6293</v>
      </c>
      <c r="F1230" s="21" t="s">
        <v>8</v>
      </c>
      <c r="G1230" s="22" t="s">
        <v>5960</v>
      </c>
      <c r="H1230" s="22" t="s">
        <v>5835</v>
      </c>
      <c r="I1230" s="22">
        <v>66.900000000000006</v>
      </c>
      <c r="K1230" s="22" t="s">
        <v>5835</v>
      </c>
      <c r="N1230" s="25" t="s">
        <v>7114</v>
      </c>
      <c r="O1230" s="25" t="s">
        <v>5835</v>
      </c>
      <c r="R1230" s="22" t="s">
        <v>5960</v>
      </c>
    </row>
    <row r="1231" spans="3:18" ht="16">
      <c r="C1231" s="19" t="s">
        <v>885</v>
      </c>
      <c r="D1231" s="20" t="s">
        <v>2816</v>
      </c>
      <c r="E1231" s="21" t="s">
        <v>6313</v>
      </c>
      <c r="F1231" s="21" t="s">
        <v>6314</v>
      </c>
      <c r="G1231" s="22" t="s">
        <v>5958</v>
      </c>
      <c r="H1231" s="22" t="s">
        <v>5835</v>
      </c>
      <c r="I1231" s="22">
        <v>12</v>
      </c>
      <c r="K1231" s="22" t="s">
        <v>5835</v>
      </c>
      <c r="N1231" s="25" t="s">
        <v>7115</v>
      </c>
      <c r="O1231" s="25" t="s">
        <v>5835</v>
      </c>
      <c r="R1231" s="22" t="s">
        <v>5958</v>
      </c>
    </row>
    <row r="1232" spans="3:18" ht="16">
      <c r="C1232" s="19" t="s">
        <v>887</v>
      </c>
      <c r="D1232" s="20" t="s">
        <v>2818</v>
      </c>
      <c r="E1232" s="21" t="s">
        <v>6505</v>
      </c>
      <c r="F1232" s="21" t="s">
        <v>6200</v>
      </c>
      <c r="G1232" s="22" t="s">
        <v>5962</v>
      </c>
      <c r="H1232" s="22" t="s">
        <v>5835</v>
      </c>
      <c r="I1232" s="22">
        <v>19.100000000000001</v>
      </c>
      <c r="K1232" s="22" t="s">
        <v>5835</v>
      </c>
      <c r="N1232" s="25" t="s">
        <v>7116</v>
      </c>
      <c r="O1232" s="25" t="s">
        <v>5835</v>
      </c>
      <c r="R1232" s="22" t="s">
        <v>5962</v>
      </c>
    </row>
    <row r="1233" spans="3:18" ht="16">
      <c r="C1233" s="19" t="s">
        <v>889</v>
      </c>
      <c r="D1233" s="20" t="s">
        <v>2820</v>
      </c>
      <c r="E1233" s="21" t="s">
        <v>6209</v>
      </c>
      <c r="F1233" s="21" t="s">
        <v>5913</v>
      </c>
      <c r="G1233" s="22" t="s">
        <v>5962</v>
      </c>
      <c r="H1233" s="22" t="s">
        <v>5835</v>
      </c>
      <c r="I1233" s="22">
        <v>5.2</v>
      </c>
      <c r="K1233" s="22" t="s">
        <v>5835</v>
      </c>
      <c r="N1233" s="25" t="s">
        <v>7117</v>
      </c>
      <c r="O1233" s="25" t="s">
        <v>5835</v>
      </c>
      <c r="R1233" s="22" t="s">
        <v>5962</v>
      </c>
    </row>
    <row r="1234" spans="3:18" ht="16">
      <c r="C1234" s="19" t="s">
        <v>891</v>
      </c>
      <c r="D1234" s="20" t="s">
        <v>2822</v>
      </c>
      <c r="E1234" s="21" t="s">
        <v>6199</v>
      </c>
      <c r="F1234" s="21" t="s">
        <v>6200</v>
      </c>
      <c r="G1234" s="22" t="s">
        <v>5930</v>
      </c>
      <c r="H1234" s="22" t="s">
        <v>5835</v>
      </c>
      <c r="I1234" s="22">
        <v>76</v>
      </c>
      <c r="K1234" s="22" t="s">
        <v>5835</v>
      </c>
      <c r="N1234" s="25" t="s">
        <v>7118</v>
      </c>
      <c r="O1234" s="25" t="s">
        <v>5835</v>
      </c>
      <c r="R1234" s="22" t="s">
        <v>5930</v>
      </c>
    </row>
    <row r="1235" spans="3:18" ht="16">
      <c r="C1235" s="19" t="s">
        <v>893</v>
      </c>
      <c r="D1235" s="20" t="s">
        <v>15</v>
      </c>
      <c r="E1235" s="21" t="s">
        <v>6254</v>
      </c>
      <c r="F1235" s="21" t="s">
        <v>8</v>
      </c>
      <c r="G1235" s="22" t="s">
        <v>12</v>
      </c>
      <c r="H1235" s="22" t="s">
        <v>7828</v>
      </c>
      <c r="I1235" s="22">
        <v>307.2</v>
      </c>
      <c r="K1235" s="22" t="s">
        <v>5835</v>
      </c>
      <c r="N1235" s="25" t="s">
        <v>7119</v>
      </c>
      <c r="O1235" s="25" t="s">
        <v>5835</v>
      </c>
      <c r="R1235" s="22" t="s">
        <v>12</v>
      </c>
    </row>
    <row r="1236" spans="3:18" ht="16">
      <c r="C1236" s="19" t="s">
        <v>894</v>
      </c>
      <c r="D1236" s="20" t="s">
        <v>2824</v>
      </c>
      <c r="E1236" s="21" t="s">
        <v>6209</v>
      </c>
      <c r="F1236" s="21" t="s">
        <v>5913</v>
      </c>
      <c r="G1236" s="22" t="s">
        <v>5913</v>
      </c>
      <c r="H1236" s="22" t="s">
        <v>5835</v>
      </c>
      <c r="I1236" s="22">
        <v>12.9</v>
      </c>
      <c r="K1236" s="22" t="s">
        <v>5835</v>
      </c>
      <c r="N1236" s="25" t="s">
        <v>7120</v>
      </c>
      <c r="O1236" s="25" t="s">
        <v>5835</v>
      </c>
      <c r="R1236" s="22" t="s">
        <v>5913</v>
      </c>
    </row>
    <row r="1237" spans="3:18" ht="16">
      <c r="C1237" s="19" t="s">
        <v>895</v>
      </c>
      <c r="D1237" s="20" t="s">
        <v>2825</v>
      </c>
      <c r="E1237" s="21" t="s">
        <v>6033</v>
      </c>
      <c r="F1237" s="21" t="s">
        <v>5969</v>
      </c>
      <c r="G1237" s="22" t="s">
        <v>5843</v>
      </c>
      <c r="H1237" s="22" t="s">
        <v>5835</v>
      </c>
      <c r="I1237" s="22">
        <v>8.9</v>
      </c>
      <c r="K1237" s="22" t="s">
        <v>5835</v>
      </c>
      <c r="N1237" s="25" t="s">
        <v>7121</v>
      </c>
      <c r="O1237" s="25" t="s">
        <v>5835</v>
      </c>
      <c r="R1237" s="22" t="s">
        <v>5843</v>
      </c>
    </row>
    <row r="1238" spans="3:18" ht="16">
      <c r="C1238" s="19" t="s">
        <v>897</v>
      </c>
      <c r="D1238" s="20" t="s">
        <v>2827</v>
      </c>
      <c r="E1238" s="21" t="s">
        <v>6521</v>
      </c>
      <c r="F1238" s="21" t="s">
        <v>6314</v>
      </c>
      <c r="G1238" s="22" t="s">
        <v>5958</v>
      </c>
      <c r="H1238" s="22" t="s">
        <v>5835</v>
      </c>
      <c r="I1238" s="22">
        <v>23.7</v>
      </c>
      <c r="K1238" s="22" t="s">
        <v>5835</v>
      </c>
      <c r="N1238" s="25" t="s">
        <v>7122</v>
      </c>
      <c r="O1238" s="25" t="s">
        <v>5835</v>
      </c>
      <c r="R1238" s="22" t="s">
        <v>5958</v>
      </c>
    </row>
    <row r="1239" spans="3:18" ht="16">
      <c r="C1239" s="19" t="s">
        <v>898</v>
      </c>
      <c r="D1239" s="20" t="s">
        <v>2828</v>
      </c>
      <c r="E1239" s="21" t="s">
        <v>6067</v>
      </c>
      <c r="F1239" s="21" t="s">
        <v>17</v>
      </c>
      <c r="G1239" s="22" t="s">
        <v>5920</v>
      </c>
      <c r="H1239" s="22" t="s">
        <v>5835</v>
      </c>
      <c r="I1239" s="22">
        <v>76.8</v>
      </c>
      <c r="K1239" s="22" t="s">
        <v>5835</v>
      </c>
      <c r="N1239" s="25" t="s">
        <v>7123</v>
      </c>
      <c r="O1239" s="25" t="s">
        <v>5835</v>
      </c>
      <c r="R1239" s="22" t="s">
        <v>5920</v>
      </c>
    </row>
    <row r="1240" spans="3:18" ht="16">
      <c r="C1240" s="19" t="s">
        <v>899</v>
      </c>
      <c r="D1240" s="20" t="s">
        <v>2829</v>
      </c>
      <c r="E1240" s="21" t="s">
        <v>6293</v>
      </c>
      <c r="F1240" s="21" t="s">
        <v>8</v>
      </c>
      <c r="G1240" s="22" t="s">
        <v>5875</v>
      </c>
      <c r="H1240" s="22" t="s">
        <v>5835</v>
      </c>
      <c r="I1240" s="22">
        <v>61.8</v>
      </c>
      <c r="K1240" s="22" t="s">
        <v>5835</v>
      </c>
      <c r="N1240" s="25" t="s">
        <v>7124</v>
      </c>
      <c r="O1240" s="25" t="s">
        <v>5835</v>
      </c>
      <c r="R1240" s="22" t="s">
        <v>5875</v>
      </c>
    </row>
    <row r="1241" spans="3:18" ht="16">
      <c r="C1241" s="19" t="s">
        <v>900</v>
      </c>
      <c r="D1241" s="20" t="s">
        <v>2830</v>
      </c>
      <c r="E1241" s="21" t="s">
        <v>6285</v>
      </c>
      <c r="F1241" s="21" t="s">
        <v>6281</v>
      </c>
      <c r="G1241" s="22" t="s">
        <v>5873</v>
      </c>
      <c r="H1241" s="22" t="s">
        <v>7828</v>
      </c>
      <c r="I1241" s="22">
        <v>137.6</v>
      </c>
      <c r="K1241" s="22" t="s">
        <v>5835</v>
      </c>
      <c r="N1241" s="25" t="s">
        <v>7125</v>
      </c>
      <c r="O1241" s="25" t="s">
        <v>5835</v>
      </c>
      <c r="R1241" s="22" t="s">
        <v>5873</v>
      </c>
    </row>
    <row r="1242" spans="3:18" ht="16">
      <c r="C1242" s="19" t="s">
        <v>908</v>
      </c>
      <c r="D1242" s="20" t="s">
        <v>2838</v>
      </c>
      <c r="E1242" s="21" t="s">
        <v>6228</v>
      </c>
      <c r="F1242" s="21" t="s">
        <v>8</v>
      </c>
      <c r="G1242" s="22" t="s">
        <v>5962</v>
      </c>
      <c r="H1242" s="22" t="s">
        <v>5835</v>
      </c>
      <c r="I1242" s="22">
        <v>128.19999999999999</v>
      </c>
      <c r="K1242" s="22" t="s">
        <v>5835</v>
      </c>
      <c r="N1242" s="25" t="s">
        <v>7126</v>
      </c>
      <c r="O1242" s="25" t="s">
        <v>5835</v>
      </c>
      <c r="R1242" s="22" t="s">
        <v>5962</v>
      </c>
    </row>
    <row r="1243" spans="3:18" ht="16">
      <c r="C1243" s="19" t="s">
        <v>910</v>
      </c>
      <c r="D1243" s="20" t="s">
        <v>2840</v>
      </c>
      <c r="E1243" s="21" t="s">
        <v>6196</v>
      </c>
      <c r="F1243" s="21" t="s">
        <v>6197</v>
      </c>
      <c r="G1243" s="22" t="s">
        <v>7825</v>
      </c>
      <c r="H1243" s="22" t="s">
        <v>5835</v>
      </c>
      <c r="I1243" s="22">
        <v>47.5</v>
      </c>
      <c r="K1243" s="22" t="s">
        <v>5835</v>
      </c>
      <c r="N1243" s="25" t="s">
        <v>7127</v>
      </c>
      <c r="O1243" s="25" t="s">
        <v>5835</v>
      </c>
      <c r="R1243" s="22" t="s">
        <v>6202</v>
      </c>
    </row>
    <row r="1244" spans="3:18" ht="16">
      <c r="C1244" s="19" t="s">
        <v>911</v>
      </c>
      <c r="D1244" s="20" t="s">
        <v>2841</v>
      </c>
      <c r="E1244" s="21" t="s">
        <v>6067</v>
      </c>
      <c r="F1244" s="21" t="s">
        <v>17</v>
      </c>
      <c r="G1244" s="22" t="s">
        <v>5920</v>
      </c>
      <c r="H1244" s="22" t="s">
        <v>5835</v>
      </c>
      <c r="I1244" s="22">
        <v>23</v>
      </c>
      <c r="K1244" s="22" t="s">
        <v>5835</v>
      </c>
      <c r="N1244" s="25" t="s">
        <v>5992</v>
      </c>
      <c r="O1244" s="25" t="s">
        <v>5835</v>
      </c>
      <c r="R1244" s="22" t="s">
        <v>5920</v>
      </c>
    </row>
    <row r="1245" spans="3:18" ht="16">
      <c r="C1245" s="19" t="s">
        <v>914</v>
      </c>
      <c r="D1245" s="20" t="s">
        <v>2844</v>
      </c>
      <c r="E1245" s="21" t="s">
        <v>6293</v>
      </c>
      <c r="F1245" s="21" t="s">
        <v>8</v>
      </c>
      <c r="G1245" s="22" t="s">
        <v>5875</v>
      </c>
      <c r="H1245" s="22" t="s">
        <v>5835</v>
      </c>
      <c r="I1245" s="22">
        <v>17.399999999999999</v>
      </c>
      <c r="K1245" s="22" t="s">
        <v>5835</v>
      </c>
      <c r="N1245" s="25" t="s">
        <v>5992</v>
      </c>
      <c r="O1245" s="25" t="s">
        <v>5835</v>
      </c>
      <c r="R1245" s="22" t="s">
        <v>5875</v>
      </c>
    </row>
    <row r="1246" spans="3:18" ht="16">
      <c r="C1246" s="19" t="s">
        <v>919</v>
      </c>
      <c r="D1246" s="20" t="s">
        <v>2848</v>
      </c>
      <c r="E1246" s="21" t="s">
        <v>6074</v>
      </c>
      <c r="F1246" s="21" t="s">
        <v>6075</v>
      </c>
      <c r="G1246" s="22" t="s">
        <v>5882</v>
      </c>
      <c r="H1246" s="22" t="s">
        <v>5835</v>
      </c>
      <c r="I1246" s="22">
        <v>9.4</v>
      </c>
      <c r="K1246" s="22" t="s">
        <v>5835</v>
      </c>
      <c r="N1246" s="25" t="s">
        <v>7128</v>
      </c>
      <c r="O1246" s="25" t="s">
        <v>5835</v>
      </c>
      <c r="R1246" s="22" t="s">
        <v>5882</v>
      </c>
    </row>
    <row r="1247" spans="3:18" ht="16">
      <c r="C1247" s="19" t="s">
        <v>921</v>
      </c>
      <c r="D1247" s="20" t="s">
        <v>2850</v>
      </c>
      <c r="E1247" s="21" t="s">
        <v>6074</v>
      </c>
      <c r="F1247" s="21" t="s">
        <v>6075</v>
      </c>
      <c r="G1247" s="22" t="s">
        <v>5882</v>
      </c>
      <c r="H1247" s="22" t="s">
        <v>5835</v>
      </c>
      <c r="I1247" s="22">
        <v>187.2</v>
      </c>
      <c r="K1247" s="22" t="s">
        <v>5835</v>
      </c>
      <c r="N1247" s="25" t="s">
        <v>7129</v>
      </c>
      <c r="O1247" s="25" t="s">
        <v>5835</v>
      </c>
      <c r="R1247" s="22" t="s">
        <v>5882</v>
      </c>
    </row>
    <row r="1248" spans="3:18" ht="16">
      <c r="C1248" s="19" t="s">
        <v>923</v>
      </c>
      <c r="D1248" s="20" t="s">
        <v>2852</v>
      </c>
      <c r="E1248" s="21" t="s">
        <v>6074</v>
      </c>
      <c r="F1248" s="21" t="s">
        <v>6075</v>
      </c>
      <c r="G1248" s="22" t="s">
        <v>5889</v>
      </c>
      <c r="H1248" s="22" t="s">
        <v>5835</v>
      </c>
      <c r="I1248" s="22">
        <v>80.400000000000006</v>
      </c>
      <c r="K1248" s="22" t="s">
        <v>5835</v>
      </c>
      <c r="N1248" s="25" t="s">
        <v>7130</v>
      </c>
      <c r="O1248" s="25" t="s">
        <v>5835</v>
      </c>
      <c r="R1248" s="22" t="s">
        <v>5889</v>
      </c>
    </row>
    <row r="1249" spans="3:18" ht="16">
      <c r="C1249" s="19" t="s">
        <v>925</v>
      </c>
      <c r="D1249" s="20" t="s">
        <v>2854</v>
      </c>
      <c r="E1249" s="21" t="s">
        <v>6074</v>
      </c>
      <c r="F1249" s="21" t="s">
        <v>6075</v>
      </c>
      <c r="G1249" s="22" t="s">
        <v>5884</v>
      </c>
      <c r="H1249" s="22" t="s">
        <v>5835</v>
      </c>
      <c r="I1249" s="22">
        <v>18.3</v>
      </c>
      <c r="K1249" s="22" t="s">
        <v>5835</v>
      </c>
      <c r="N1249" s="25" t="s">
        <v>7131</v>
      </c>
      <c r="O1249" s="25" t="s">
        <v>5835</v>
      </c>
      <c r="R1249" s="22" t="s">
        <v>5884</v>
      </c>
    </row>
    <row r="1250" spans="3:18" ht="16">
      <c r="C1250" s="19" t="s">
        <v>926</v>
      </c>
      <c r="D1250" s="20" t="s">
        <v>2855</v>
      </c>
      <c r="E1250" s="21" t="s">
        <v>6074</v>
      </c>
      <c r="F1250" s="21" t="s">
        <v>6075</v>
      </c>
      <c r="G1250" s="22" t="s">
        <v>5882</v>
      </c>
      <c r="H1250" s="22" t="s">
        <v>5835</v>
      </c>
      <c r="I1250" s="22">
        <v>17.8</v>
      </c>
      <c r="K1250" s="22" t="s">
        <v>5835</v>
      </c>
      <c r="N1250" s="25" t="s">
        <v>7132</v>
      </c>
      <c r="O1250" s="25" t="s">
        <v>5835</v>
      </c>
      <c r="R1250" s="22" t="s">
        <v>5882</v>
      </c>
    </row>
    <row r="1251" spans="3:18" ht="16">
      <c r="C1251" s="19" t="s">
        <v>927</v>
      </c>
      <c r="D1251" s="20" t="s">
        <v>2856</v>
      </c>
      <c r="E1251" s="21" t="s">
        <v>5923</v>
      </c>
      <c r="F1251" s="21" t="s">
        <v>5831</v>
      </c>
      <c r="G1251" s="22" t="s">
        <v>5840</v>
      </c>
      <c r="H1251" s="22" t="s">
        <v>5835</v>
      </c>
      <c r="I1251" s="22">
        <v>46.9</v>
      </c>
      <c r="K1251" s="22" t="s">
        <v>5835</v>
      </c>
      <c r="N1251" s="25" t="s">
        <v>7133</v>
      </c>
      <c r="O1251" s="25" t="s">
        <v>5835</v>
      </c>
      <c r="R1251" s="22" t="s">
        <v>5840</v>
      </c>
    </row>
    <row r="1252" spans="3:18" ht="16">
      <c r="C1252" s="19" t="s">
        <v>928</v>
      </c>
      <c r="D1252" s="20" t="s">
        <v>2857</v>
      </c>
      <c r="E1252" s="21" t="s">
        <v>6074</v>
      </c>
      <c r="F1252" s="21" t="s">
        <v>6075</v>
      </c>
      <c r="G1252" s="22" t="s">
        <v>5882</v>
      </c>
      <c r="H1252" s="22" t="s">
        <v>5835</v>
      </c>
      <c r="I1252" s="22">
        <v>170.9</v>
      </c>
      <c r="K1252" s="22" t="s">
        <v>5835</v>
      </c>
      <c r="N1252" s="25" t="s">
        <v>7134</v>
      </c>
      <c r="O1252" s="25" t="s">
        <v>5835</v>
      </c>
      <c r="R1252" s="22" t="s">
        <v>5882</v>
      </c>
    </row>
    <row r="1253" spans="3:18" ht="16">
      <c r="C1253" s="19" t="s">
        <v>929</v>
      </c>
      <c r="D1253" s="20" t="s">
        <v>2858</v>
      </c>
      <c r="E1253" s="21" t="s">
        <v>6074</v>
      </c>
      <c r="F1253" s="21" t="s">
        <v>6075</v>
      </c>
      <c r="G1253" s="22" t="s">
        <v>5889</v>
      </c>
      <c r="H1253" s="22" t="s">
        <v>5835</v>
      </c>
      <c r="I1253" s="22">
        <v>17.8</v>
      </c>
      <c r="K1253" s="22" t="s">
        <v>5835</v>
      </c>
      <c r="N1253" s="25" t="s">
        <v>7135</v>
      </c>
      <c r="O1253" s="25" t="s">
        <v>5835</v>
      </c>
      <c r="R1253" s="22" t="s">
        <v>5889</v>
      </c>
    </row>
    <row r="1254" spans="3:18" ht="16">
      <c r="C1254" s="19" t="s">
        <v>931</v>
      </c>
      <c r="D1254" s="20" t="s">
        <v>2860</v>
      </c>
      <c r="E1254" s="21" t="s">
        <v>6074</v>
      </c>
      <c r="F1254" s="21" t="s">
        <v>6075</v>
      </c>
      <c r="G1254" s="22" t="s">
        <v>5884</v>
      </c>
      <c r="H1254" s="22" t="s">
        <v>5835</v>
      </c>
      <c r="I1254" s="22">
        <v>46.2</v>
      </c>
      <c r="K1254" s="22" t="s">
        <v>5835</v>
      </c>
      <c r="N1254" s="25" t="s">
        <v>7136</v>
      </c>
      <c r="O1254" s="25" t="s">
        <v>5835</v>
      </c>
      <c r="R1254" s="22" t="s">
        <v>5884</v>
      </c>
    </row>
    <row r="1255" spans="3:18" ht="16">
      <c r="C1255" s="19" t="s">
        <v>932</v>
      </c>
      <c r="D1255" s="20" t="s">
        <v>2861</v>
      </c>
      <c r="E1255" s="21" t="s">
        <v>6074</v>
      </c>
      <c r="F1255" s="21" t="s">
        <v>6075</v>
      </c>
      <c r="G1255" s="22" t="s">
        <v>5889</v>
      </c>
      <c r="H1255" s="22" t="s">
        <v>5835</v>
      </c>
      <c r="I1255" s="22">
        <v>11.9</v>
      </c>
      <c r="K1255" s="22" t="s">
        <v>5835</v>
      </c>
      <c r="N1255" s="25" t="s">
        <v>7137</v>
      </c>
      <c r="O1255" s="25" t="s">
        <v>5835</v>
      </c>
      <c r="R1255" s="22" t="s">
        <v>5889</v>
      </c>
    </row>
    <row r="1256" spans="3:18" ht="16">
      <c r="C1256" s="19" t="s">
        <v>933</v>
      </c>
      <c r="D1256" s="20" t="s">
        <v>2862</v>
      </c>
      <c r="E1256" s="21" t="s">
        <v>6074</v>
      </c>
      <c r="F1256" s="21" t="s">
        <v>6075</v>
      </c>
      <c r="G1256" s="22" t="s">
        <v>5882</v>
      </c>
      <c r="H1256" s="22" t="s">
        <v>7828</v>
      </c>
      <c r="I1256" s="22">
        <v>269</v>
      </c>
      <c r="K1256" s="22" t="s">
        <v>5835</v>
      </c>
      <c r="N1256" s="25" t="s">
        <v>7138</v>
      </c>
      <c r="O1256" s="25" t="s">
        <v>5835</v>
      </c>
      <c r="R1256" s="22" t="s">
        <v>5882</v>
      </c>
    </row>
    <row r="1257" spans="3:18" ht="16">
      <c r="C1257" s="19" t="s">
        <v>934</v>
      </c>
      <c r="D1257" s="20" t="s">
        <v>2863</v>
      </c>
      <c r="E1257" s="21" t="s">
        <v>6074</v>
      </c>
      <c r="F1257" s="21" t="s">
        <v>6075</v>
      </c>
      <c r="G1257" s="22" t="s">
        <v>5889</v>
      </c>
      <c r="H1257" s="22" t="s">
        <v>5835</v>
      </c>
      <c r="I1257" s="22">
        <v>65.900000000000006</v>
      </c>
      <c r="K1257" s="22" t="s">
        <v>5835</v>
      </c>
      <c r="N1257" s="25" t="s">
        <v>7139</v>
      </c>
      <c r="O1257" s="25" t="s">
        <v>5835</v>
      </c>
      <c r="R1257" s="22" t="s">
        <v>5889</v>
      </c>
    </row>
    <row r="1258" spans="3:18" ht="16">
      <c r="C1258" s="19" t="s">
        <v>935</v>
      </c>
      <c r="D1258" s="20" t="s">
        <v>2864</v>
      </c>
      <c r="E1258" s="21" t="s">
        <v>6074</v>
      </c>
      <c r="F1258" s="21" t="s">
        <v>6075</v>
      </c>
      <c r="G1258" s="22" t="s">
        <v>5882</v>
      </c>
      <c r="H1258" s="22" t="s">
        <v>5835</v>
      </c>
      <c r="I1258" s="22">
        <v>15.9</v>
      </c>
      <c r="K1258" s="22" t="s">
        <v>5835</v>
      </c>
      <c r="N1258" s="25" t="s">
        <v>7140</v>
      </c>
      <c r="O1258" s="25" t="s">
        <v>5835</v>
      </c>
      <c r="R1258" s="22" t="s">
        <v>5882</v>
      </c>
    </row>
    <row r="1259" spans="3:18" ht="16">
      <c r="C1259" s="19" t="s">
        <v>936</v>
      </c>
      <c r="D1259" s="20" t="s">
        <v>2865</v>
      </c>
      <c r="E1259" s="21" t="s">
        <v>6074</v>
      </c>
      <c r="F1259" s="21" t="s">
        <v>6075</v>
      </c>
      <c r="G1259" s="22" t="s">
        <v>5891</v>
      </c>
      <c r="H1259" s="22" t="s">
        <v>5835</v>
      </c>
      <c r="I1259" s="22">
        <v>132.6</v>
      </c>
      <c r="K1259" s="22" t="s">
        <v>5835</v>
      </c>
      <c r="N1259" s="25" t="s">
        <v>7141</v>
      </c>
      <c r="O1259" s="25" t="s">
        <v>5835</v>
      </c>
      <c r="R1259" s="22" t="s">
        <v>5891</v>
      </c>
    </row>
    <row r="1260" spans="3:18" ht="16">
      <c r="C1260" s="19" t="s">
        <v>937</v>
      </c>
      <c r="D1260" s="20" t="s">
        <v>2866</v>
      </c>
      <c r="E1260" s="21" t="s">
        <v>6074</v>
      </c>
      <c r="F1260" s="21" t="s">
        <v>6075</v>
      </c>
      <c r="G1260" s="22" t="s">
        <v>5889</v>
      </c>
      <c r="H1260" s="22" t="s">
        <v>5835</v>
      </c>
      <c r="I1260" s="22">
        <v>101.2</v>
      </c>
      <c r="K1260" s="22" t="s">
        <v>5835</v>
      </c>
      <c r="N1260" s="25" t="s">
        <v>7142</v>
      </c>
      <c r="O1260" s="25" t="s">
        <v>5835</v>
      </c>
      <c r="R1260" s="22" t="s">
        <v>5889</v>
      </c>
    </row>
    <row r="1261" spans="3:18" ht="16">
      <c r="C1261" s="19" t="s">
        <v>938</v>
      </c>
      <c r="D1261" s="20" t="s">
        <v>2867</v>
      </c>
      <c r="E1261" s="21" t="s">
        <v>6074</v>
      </c>
      <c r="F1261" s="21" t="s">
        <v>6075</v>
      </c>
      <c r="G1261" s="22" t="s">
        <v>5882</v>
      </c>
      <c r="H1261" s="22" t="s">
        <v>5835</v>
      </c>
      <c r="I1261" s="22">
        <v>21.1</v>
      </c>
      <c r="K1261" s="22" t="s">
        <v>5835</v>
      </c>
      <c r="N1261" s="25" t="s">
        <v>7143</v>
      </c>
      <c r="O1261" s="25" t="s">
        <v>5835</v>
      </c>
      <c r="R1261" s="22" t="s">
        <v>5882</v>
      </c>
    </row>
    <row r="1262" spans="3:18" ht="16">
      <c r="C1262" s="19" t="s">
        <v>939</v>
      </c>
      <c r="D1262" s="20" t="s">
        <v>2868</v>
      </c>
      <c r="E1262" s="21" t="s">
        <v>6074</v>
      </c>
      <c r="F1262" s="21" t="s">
        <v>6075</v>
      </c>
      <c r="G1262" s="22" t="s">
        <v>5889</v>
      </c>
      <c r="H1262" s="22" t="s">
        <v>5835</v>
      </c>
      <c r="I1262" s="22">
        <v>13.4</v>
      </c>
      <c r="K1262" s="22" t="s">
        <v>5835</v>
      </c>
      <c r="N1262" s="25" t="s">
        <v>7144</v>
      </c>
      <c r="O1262" s="25" t="s">
        <v>5835</v>
      </c>
      <c r="R1262" s="22" t="s">
        <v>5889</v>
      </c>
    </row>
    <row r="1263" spans="3:18" ht="16">
      <c r="C1263" s="19" t="s">
        <v>942</v>
      </c>
      <c r="D1263" s="20" t="s">
        <v>2871</v>
      </c>
      <c r="E1263" s="21" t="s">
        <v>6074</v>
      </c>
      <c r="F1263" s="21" t="s">
        <v>6075</v>
      </c>
      <c r="G1263" s="22" t="s">
        <v>5884</v>
      </c>
      <c r="H1263" s="22" t="s">
        <v>5835</v>
      </c>
      <c r="I1263" s="22">
        <v>26.5</v>
      </c>
      <c r="K1263" s="22" t="s">
        <v>5835</v>
      </c>
      <c r="N1263" s="25" t="s">
        <v>7145</v>
      </c>
      <c r="O1263" s="25" t="s">
        <v>5835</v>
      </c>
      <c r="R1263" s="22" t="s">
        <v>5884</v>
      </c>
    </row>
    <row r="1264" spans="3:18" ht="16">
      <c r="C1264" s="19" t="s">
        <v>943</v>
      </c>
      <c r="D1264" s="20" t="s">
        <v>2872</v>
      </c>
      <c r="E1264" s="21" t="s">
        <v>6074</v>
      </c>
      <c r="F1264" s="21" t="s">
        <v>6075</v>
      </c>
      <c r="G1264" s="22" t="s">
        <v>5884</v>
      </c>
      <c r="H1264" s="22" t="s">
        <v>5835</v>
      </c>
      <c r="I1264" s="22">
        <v>12.2</v>
      </c>
      <c r="K1264" s="22" t="s">
        <v>5835</v>
      </c>
      <c r="N1264" s="25" t="s">
        <v>7146</v>
      </c>
      <c r="O1264" s="25" t="s">
        <v>5835</v>
      </c>
      <c r="R1264" s="22" t="s">
        <v>5884</v>
      </c>
    </row>
    <row r="1265" spans="3:18" ht="16">
      <c r="C1265" s="19" t="s">
        <v>945</v>
      </c>
      <c r="D1265" s="20" t="s">
        <v>2874</v>
      </c>
      <c r="E1265" s="21" t="s">
        <v>6074</v>
      </c>
      <c r="F1265" s="21" t="s">
        <v>6075</v>
      </c>
      <c r="G1265" s="22" t="s">
        <v>5891</v>
      </c>
      <c r="H1265" s="22" t="s">
        <v>5835</v>
      </c>
      <c r="I1265" s="22">
        <v>233.8</v>
      </c>
      <c r="K1265" s="22" t="s">
        <v>5835</v>
      </c>
      <c r="N1265" s="25" t="s">
        <v>5891</v>
      </c>
      <c r="O1265" s="25" t="s">
        <v>5835</v>
      </c>
      <c r="R1265" s="22" t="s">
        <v>5891</v>
      </c>
    </row>
    <row r="1266" spans="3:18" ht="16">
      <c r="C1266" s="19" t="s">
        <v>947</v>
      </c>
      <c r="D1266" s="20" t="s">
        <v>2876</v>
      </c>
      <c r="E1266" s="21" t="s">
        <v>6074</v>
      </c>
      <c r="F1266" s="21" t="s">
        <v>6075</v>
      </c>
      <c r="G1266" s="22" t="s">
        <v>5949</v>
      </c>
      <c r="H1266" s="22" t="s">
        <v>5835</v>
      </c>
      <c r="I1266" s="22">
        <v>24.1</v>
      </c>
      <c r="K1266" s="22" t="s">
        <v>5835</v>
      </c>
      <c r="N1266" s="25" t="s">
        <v>7147</v>
      </c>
      <c r="O1266" s="25" t="s">
        <v>5835</v>
      </c>
      <c r="R1266" s="22" t="s">
        <v>5949</v>
      </c>
    </row>
    <row r="1267" spans="3:18" ht="16">
      <c r="C1267" s="19" t="s">
        <v>948</v>
      </c>
      <c r="D1267" s="20" t="s">
        <v>2877</v>
      </c>
      <c r="E1267" s="21" t="s">
        <v>6074</v>
      </c>
      <c r="F1267" s="21" t="s">
        <v>6075</v>
      </c>
      <c r="G1267" s="22" t="s">
        <v>5884</v>
      </c>
      <c r="H1267" s="22" t="s">
        <v>5835</v>
      </c>
      <c r="I1267" s="22">
        <v>6.5</v>
      </c>
      <c r="K1267" s="22" t="s">
        <v>5835</v>
      </c>
      <c r="N1267" s="25" t="s">
        <v>7148</v>
      </c>
      <c r="O1267" s="25" t="s">
        <v>5835</v>
      </c>
      <c r="R1267" s="22" t="s">
        <v>5884</v>
      </c>
    </row>
    <row r="1268" spans="3:18" ht="16">
      <c r="C1268" s="19" t="s">
        <v>950</v>
      </c>
      <c r="D1268" s="20" t="s">
        <v>2879</v>
      </c>
      <c r="E1268" s="21" t="s">
        <v>6074</v>
      </c>
      <c r="F1268" s="21" t="s">
        <v>6075</v>
      </c>
      <c r="G1268" s="22" t="s">
        <v>5891</v>
      </c>
      <c r="H1268" s="22" t="s">
        <v>5835</v>
      </c>
      <c r="I1268" s="22">
        <v>58.9</v>
      </c>
      <c r="K1268" s="22" t="s">
        <v>5835</v>
      </c>
      <c r="N1268" s="25" t="s">
        <v>5891</v>
      </c>
      <c r="O1268" s="25" t="s">
        <v>5835</v>
      </c>
      <c r="R1268" s="22" t="s">
        <v>5891</v>
      </c>
    </row>
    <row r="1269" spans="3:18" ht="16">
      <c r="C1269" s="19" t="s">
        <v>951</v>
      </c>
      <c r="D1269" s="20" t="s">
        <v>2880</v>
      </c>
      <c r="E1269" s="21" t="s">
        <v>6074</v>
      </c>
      <c r="F1269" s="21" t="s">
        <v>6075</v>
      </c>
      <c r="G1269" s="22" t="s">
        <v>5889</v>
      </c>
      <c r="H1269" s="22" t="s">
        <v>5835</v>
      </c>
      <c r="I1269" s="22">
        <v>12.7</v>
      </c>
      <c r="K1269" s="22" t="s">
        <v>5835</v>
      </c>
      <c r="N1269" s="25" t="s">
        <v>7149</v>
      </c>
      <c r="O1269" s="25" t="s">
        <v>5835</v>
      </c>
      <c r="R1269" s="22" t="s">
        <v>5889</v>
      </c>
    </row>
    <row r="1270" spans="3:18" ht="16">
      <c r="C1270" s="19" t="s">
        <v>952</v>
      </c>
      <c r="D1270" s="20" t="s">
        <v>2881</v>
      </c>
      <c r="E1270" s="21" t="s">
        <v>6074</v>
      </c>
      <c r="F1270" s="21" t="s">
        <v>6075</v>
      </c>
      <c r="G1270" s="22" t="s">
        <v>5889</v>
      </c>
      <c r="H1270" s="22" t="s">
        <v>5835</v>
      </c>
      <c r="I1270" s="22">
        <v>15.9</v>
      </c>
      <c r="K1270" s="22" t="s">
        <v>5835</v>
      </c>
      <c r="N1270" s="25" t="s">
        <v>7150</v>
      </c>
      <c r="O1270" s="25" t="s">
        <v>5835</v>
      </c>
      <c r="R1270" s="22" t="s">
        <v>5889</v>
      </c>
    </row>
    <row r="1271" spans="3:18" ht="16">
      <c r="C1271" s="19" t="s">
        <v>953</v>
      </c>
      <c r="D1271" s="20" t="s">
        <v>2882</v>
      </c>
      <c r="E1271" s="21" t="s">
        <v>6074</v>
      </c>
      <c r="F1271" s="21" t="s">
        <v>6075</v>
      </c>
      <c r="G1271" s="22" t="s">
        <v>5891</v>
      </c>
      <c r="H1271" s="22" t="s">
        <v>5835</v>
      </c>
      <c r="I1271" s="22">
        <v>109.4</v>
      </c>
      <c r="K1271" s="22" t="s">
        <v>5835</v>
      </c>
      <c r="N1271" s="25" t="s">
        <v>7151</v>
      </c>
      <c r="O1271" s="25" t="s">
        <v>5835</v>
      </c>
      <c r="R1271" s="22" t="s">
        <v>5891</v>
      </c>
    </row>
    <row r="1272" spans="3:18" ht="16">
      <c r="C1272" s="19" t="s">
        <v>954</v>
      </c>
      <c r="D1272" s="20" t="s">
        <v>2883</v>
      </c>
      <c r="E1272" s="21" t="s">
        <v>6074</v>
      </c>
      <c r="F1272" s="21" t="s">
        <v>6075</v>
      </c>
      <c r="G1272" s="22" t="s">
        <v>5889</v>
      </c>
      <c r="H1272" s="22" t="s">
        <v>5835</v>
      </c>
      <c r="I1272" s="22">
        <v>52.7</v>
      </c>
      <c r="K1272" s="22" t="s">
        <v>5835</v>
      </c>
      <c r="N1272" s="25" t="s">
        <v>7152</v>
      </c>
      <c r="O1272" s="25" t="s">
        <v>5835</v>
      </c>
      <c r="R1272" s="22" t="s">
        <v>5889</v>
      </c>
    </row>
    <row r="1273" spans="3:18" ht="16">
      <c r="C1273" s="19" t="s">
        <v>957</v>
      </c>
      <c r="D1273" s="20" t="s">
        <v>2886</v>
      </c>
      <c r="E1273" s="21" t="s">
        <v>6074</v>
      </c>
      <c r="F1273" s="21" t="s">
        <v>6075</v>
      </c>
      <c r="G1273" s="22" t="s">
        <v>5882</v>
      </c>
      <c r="H1273" s="22" t="s">
        <v>5835</v>
      </c>
      <c r="I1273" s="22">
        <v>58.9</v>
      </c>
      <c r="K1273" s="22" t="s">
        <v>5835</v>
      </c>
      <c r="N1273" s="25" t="s">
        <v>7153</v>
      </c>
      <c r="O1273" s="25" t="s">
        <v>5835</v>
      </c>
      <c r="R1273" s="22" t="s">
        <v>5882</v>
      </c>
    </row>
    <row r="1274" spans="3:18" ht="16">
      <c r="C1274" s="19" t="s">
        <v>958</v>
      </c>
      <c r="D1274" s="20" t="s">
        <v>2887</v>
      </c>
      <c r="E1274" s="21" t="s">
        <v>6074</v>
      </c>
      <c r="F1274" s="21" t="s">
        <v>6075</v>
      </c>
      <c r="G1274" s="22" t="s">
        <v>5891</v>
      </c>
      <c r="H1274" s="22" t="s">
        <v>5835</v>
      </c>
      <c r="I1274" s="22">
        <v>26.1</v>
      </c>
      <c r="K1274" s="22" t="s">
        <v>5835</v>
      </c>
      <c r="N1274" s="25" t="s">
        <v>7154</v>
      </c>
      <c r="O1274" s="25" t="s">
        <v>5835</v>
      </c>
      <c r="R1274" s="22" t="s">
        <v>5891</v>
      </c>
    </row>
    <row r="1275" spans="3:18" ht="16">
      <c r="C1275" s="19" t="s">
        <v>959</v>
      </c>
      <c r="D1275" s="20" t="s">
        <v>2888</v>
      </c>
      <c r="E1275" s="21" t="s">
        <v>6074</v>
      </c>
      <c r="F1275" s="21" t="s">
        <v>6075</v>
      </c>
      <c r="G1275" s="22" t="s">
        <v>7827</v>
      </c>
      <c r="H1275" s="22" t="s">
        <v>5835</v>
      </c>
      <c r="I1275" s="22">
        <v>11.6</v>
      </c>
      <c r="K1275" s="22" t="s">
        <v>5835</v>
      </c>
      <c r="N1275" s="25" t="s">
        <v>7155</v>
      </c>
      <c r="O1275" s="25" t="s">
        <v>5835</v>
      </c>
      <c r="R1275" s="22" t="s">
        <v>5940</v>
      </c>
    </row>
    <row r="1276" spans="3:18" ht="16">
      <c r="C1276" s="19" t="s">
        <v>960</v>
      </c>
      <c r="D1276" s="20" t="s">
        <v>2889</v>
      </c>
      <c r="E1276" s="21" t="s">
        <v>6074</v>
      </c>
      <c r="F1276" s="21" t="s">
        <v>6075</v>
      </c>
      <c r="G1276" s="22" t="s">
        <v>5884</v>
      </c>
      <c r="H1276" s="22" t="s">
        <v>5835</v>
      </c>
      <c r="I1276" s="22">
        <v>16.8</v>
      </c>
      <c r="K1276" s="22" t="s">
        <v>5835</v>
      </c>
      <c r="N1276" s="25" t="s">
        <v>7156</v>
      </c>
      <c r="O1276" s="25" t="s">
        <v>5835</v>
      </c>
      <c r="R1276" s="22" t="s">
        <v>5884</v>
      </c>
    </row>
    <row r="1277" spans="3:18" ht="16">
      <c r="C1277" s="19" t="s">
        <v>961</v>
      </c>
      <c r="D1277" s="20" t="s">
        <v>2890</v>
      </c>
      <c r="E1277" s="21" t="s">
        <v>6074</v>
      </c>
      <c r="F1277" s="21" t="s">
        <v>6075</v>
      </c>
      <c r="G1277" s="22" t="s">
        <v>5891</v>
      </c>
      <c r="H1277" s="22" t="s">
        <v>5835</v>
      </c>
      <c r="I1277" s="22">
        <v>84.2</v>
      </c>
      <c r="K1277" s="22" t="s">
        <v>5835</v>
      </c>
      <c r="N1277" s="25" t="s">
        <v>5891</v>
      </c>
      <c r="O1277" s="25" t="s">
        <v>5835</v>
      </c>
      <c r="R1277" s="22" t="s">
        <v>5891</v>
      </c>
    </row>
    <row r="1278" spans="3:18" ht="16">
      <c r="C1278" s="19" t="s">
        <v>962</v>
      </c>
      <c r="D1278" s="20" t="s">
        <v>2891</v>
      </c>
      <c r="E1278" s="21" t="s">
        <v>6074</v>
      </c>
      <c r="F1278" s="21" t="s">
        <v>6075</v>
      </c>
      <c r="G1278" s="22" t="s">
        <v>5884</v>
      </c>
      <c r="H1278" s="22" t="s">
        <v>5835</v>
      </c>
      <c r="I1278" s="22">
        <v>26.7</v>
      </c>
      <c r="K1278" s="22" t="s">
        <v>5835</v>
      </c>
      <c r="N1278" s="25" t="s">
        <v>7157</v>
      </c>
      <c r="O1278" s="25" t="s">
        <v>5835</v>
      </c>
      <c r="R1278" s="22" t="s">
        <v>5884</v>
      </c>
    </row>
    <row r="1279" spans="3:18" ht="16">
      <c r="C1279" s="19" t="s">
        <v>963</v>
      </c>
      <c r="D1279" s="20" t="s">
        <v>2892</v>
      </c>
      <c r="E1279" s="21" t="s">
        <v>6074</v>
      </c>
      <c r="F1279" s="21" t="s">
        <v>6075</v>
      </c>
      <c r="G1279" s="22" t="s">
        <v>5889</v>
      </c>
      <c r="H1279" s="22" t="s">
        <v>5835</v>
      </c>
      <c r="I1279" s="22">
        <v>4.7</v>
      </c>
      <c r="K1279" s="22" t="s">
        <v>5835</v>
      </c>
      <c r="N1279" s="25" t="s">
        <v>7158</v>
      </c>
      <c r="O1279" s="25" t="s">
        <v>5835</v>
      </c>
      <c r="R1279" s="22" t="s">
        <v>5889</v>
      </c>
    </row>
    <row r="1280" spans="3:18" ht="16">
      <c r="C1280" s="19" t="s">
        <v>964</v>
      </c>
      <c r="D1280" s="20" t="s">
        <v>2893</v>
      </c>
      <c r="E1280" s="21" t="s">
        <v>6074</v>
      </c>
      <c r="F1280" s="21" t="s">
        <v>6075</v>
      </c>
      <c r="G1280" s="22" t="s">
        <v>5889</v>
      </c>
      <c r="H1280" s="22" t="s">
        <v>5835</v>
      </c>
      <c r="I1280" s="22">
        <v>10</v>
      </c>
      <c r="K1280" s="22" t="s">
        <v>5835</v>
      </c>
      <c r="N1280" s="25" t="s">
        <v>7159</v>
      </c>
      <c r="O1280" s="25" t="s">
        <v>5835</v>
      </c>
      <c r="R1280" s="22" t="s">
        <v>5889</v>
      </c>
    </row>
    <row r="1281" spans="3:18" ht="16">
      <c r="C1281" s="19" t="s">
        <v>966</v>
      </c>
      <c r="D1281" s="20" t="s">
        <v>2895</v>
      </c>
      <c r="E1281" s="21" t="s">
        <v>6074</v>
      </c>
      <c r="F1281" s="21" t="s">
        <v>6075</v>
      </c>
      <c r="G1281" s="22" t="s">
        <v>5882</v>
      </c>
      <c r="H1281" s="22" t="s">
        <v>5835</v>
      </c>
      <c r="I1281" s="22">
        <v>9.9</v>
      </c>
      <c r="K1281" s="22" t="s">
        <v>5835</v>
      </c>
      <c r="N1281" s="25" t="s">
        <v>7160</v>
      </c>
      <c r="O1281" s="25" t="s">
        <v>5835</v>
      </c>
      <c r="R1281" s="22" t="s">
        <v>5882</v>
      </c>
    </row>
    <row r="1282" spans="3:18" ht="16">
      <c r="C1282" s="19" t="s">
        <v>967</v>
      </c>
      <c r="D1282" s="20" t="s">
        <v>2896</v>
      </c>
      <c r="E1282" s="21" t="s">
        <v>6074</v>
      </c>
      <c r="F1282" s="21" t="s">
        <v>6075</v>
      </c>
      <c r="G1282" s="22" t="s">
        <v>5889</v>
      </c>
      <c r="H1282" s="22" t="s">
        <v>5835</v>
      </c>
      <c r="I1282" s="22">
        <v>9.6</v>
      </c>
      <c r="K1282" s="22" t="s">
        <v>5835</v>
      </c>
      <c r="N1282" s="25" t="s">
        <v>7161</v>
      </c>
      <c r="O1282" s="25" t="s">
        <v>5835</v>
      </c>
      <c r="R1282" s="22" t="s">
        <v>5889</v>
      </c>
    </row>
    <row r="1283" spans="3:18" ht="16">
      <c r="C1283" s="19" t="s">
        <v>968</v>
      </c>
      <c r="D1283" s="20" t="s">
        <v>2897</v>
      </c>
      <c r="E1283" s="21" t="s">
        <v>5851</v>
      </c>
      <c r="F1283" s="21" t="s">
        <v>5852</v>
      </c>
      <c r="G1283" s="22" t="s">
        <v>5836</v>
      </c>
      <c r="H1283" s="22" t="s">
        <v>5835</v>
      </c>
      <c r="I1283" s="22">
        <v>85.2</v>
      </c>
      <c r="K1283" s="22" t="s">
        <v>5835</v>
      </c>
      <c r="N1283" s="25" t="s">
        <v>7162</v>
      </c>
      <c r="O1283" s="25" t="s">
        <v>5835</v>
      </c>
      <c r="R1283" s="22" t="s">
        <v>5836</v>
      </c>
    </row>
    <row r="1284" spans="3:18" ht="16">
      <c r="C1284" s="19" t="s">
        <v>969</v>
      </c>
      <c r="D1284" s="20" t="s">
        <v>2898</v>
      </c>
      <c r="E1284" s="21" t="s">
        <v>5851</v>
      </c>
      <c r="F1284" s="21" t="s">
        <v>5852</v>
      </c>
      <c r="G1284" s="22" t="s">
        <v>5836</v>
      </c>
      <c r="H1284" s="22" t="s">
        <v>5835</v>
      </c>
      <c r="I1284" s="22">
        <v>31.8</v>
      </c>
      <c r="K1284" s="22" t="s">
        <v>5835</v>
      </c>
      <c r="N1284" s="25" t="s">
        <v>7163</v>
      </c>
      <c r="O1284" s="25" t="s">
        <v>5835</v>
      </c>
      <c r="R1284" s="22" t="s">
        <v>5836</v>
      </c>
    </row>
    <row r="1285" spans="3:18" ht="16">
      <c r="C1285" s="19" t="s">
        <v>970</v>
      </c>
      <c r="D1285" s="20" t="s">
        <v>2899</v>
      </c>
      <c r="E1285" s="21" t="s">
        <v>5895</v>
      </c>
      <c r="F1285" s="21" t="s">
        <v>5896</v>
      </c>
      <c r="G1285" s="22" t="s">
        <v>5838</v>
      </c>
      <c r="H1285" s="22" t="s">
        <v>7828</v>
      </c>
      <c r="I1285" s="22">
        <v>60.1</v>
      </c>
      <c r="K1285" s="22" t="s">
        <v>5835</v>
      </c>
      <c r="N1285" s="25" t="s">
        <v>7164</v>
      </c>
      <c r="O1285" s="25" t="s">
        <v>5835</v>
      </c>
      <c r="R1285" s="22" t="s">
        <v>5838</v>
      </c>
    </row>
    <row r="1286" spans="3:18" ht="16">
      <c r="C1286" s="19" t="s">
        <v>971</v>
      </c>
      <c r="D1286" s="20" t="s">
        <v>2900</v>
      </c>
      <c r="E1286" s="21" t="s">
        <v>5895</v>
      </c>
      <c r="F1286" s="21" t="s">
        <v>5896</v>
      </c>
      <c r="G1286" s="22" t="s">
        <v>5838</v>
      </c>
      <c r="H1286" s="22" t="s">
        <v>5835</v>
      </c>
      <c r="I1286" s="22">
        <v>3.9</v>
      </c>
      <c r="K1286" s="22" t="s">
        <v>5835</v>
      </c>
      <c r="N1286" s="25" t="s">
        <v>7165</v>
      </c>
      <c r="O1286" s="25" t="s">
        <v>5835</v>
      </c>
      <c r="R1286" s="22" t="s">
        <v>5838</v>
      </c>
    </row>
    <row r="1287" spans="3:18" ht="16">
      <c r="C1287" s="19" t="s">
        <v>972</v>
      </c>
      <c r="D1287" s="20" t="s">
        <v>2901</v>
      </c>
      <c r="E1287" s="21" t="s">
        <v>5895</v>
      </c>
      <c r="F1287" s="21" t="s">
        <v>5896</v>
      </c>
      <c r="G1287" s="22" t="s">
        <v>5838</v>
      </c>
      <c r="H1287" s="22" t="s">
        <v>5835</v>
      </c>
      <c r="I1287" s="22">
        <v>25.7</v>
      </c>
      <c r="K1287" s="22" t="s">
        <v>5835</v>
      </c>
      <c r="N1287" s="25" t="s">
        <v>7166</v>
      </c>
      <c r="O1287" s="25" t="s">
        <v>5835</v>
      </c>
      <c r="R1287" s="22" t="s">
        <v>5838</v>
      </c>
    </row>
    <row r="1288" spans="3:18" ht="16">
      <c r="C1288" s="19" t="s">
        <v>974</v>
      </c>
      <c r="D1288" s="20" t="s">
        <v>2903</v>
      </c>
      <c r="E1288" s="21" t="s">
        <v>5956</v>
      </c>
      <c r="F1288" s="21" t="s">
        <v>5957</v>
      </c>
      <c r="G1288" s="22" t="s">
        <v>5846</v>
      </c>
      <c r="H1288" s="22" t="s">
        <v>5835</v>
      </c>
      <c r="I1288" s="22">
        <v>19.3</v>
      </c>
      <c r="K1288" s="22" t="s">
        <v>5835</v>
      </c>
      <c r="N1288" s="25" t="s">
        <v>7167</v>
      </c>
      <c r="O1288" s="25" t="s">
        <v>5835</v>
      </c>
      <c r="R1288" s="22" t="s">
        <v>5846</v>
      </c>
    </row>
    <row r="1289" spans="3:18" ht="16">
      <c r="C1289" s="19" t="s">
        <v>975</v>
      </c>
      <c r="D1289" s="20" t="s">
        <v>7168</v>
      </c>
      <c r="E1289" s="21" t="s">
        <v>5956</v>
      </c>
      <c r="F1289" s="21" t="s">
        <v>5957</v>
      </c>
      <c r="G1289" s="22" t="s">
        <v>5846</v>
      </c>
      <c r="H1289" s="22" t="s">
        <v>5835</v>
      </c>
      <c r="I1289" s="22">
        <v>13</v>
      </c>
      <c r="K1289" s="22" t="s">
        <v>5835</v>
      </c>
      <c r="N1289" s="25" t="s">
        <v>7169</v>
      </c>
      <c r="O1289" s="25" t="s">
        <v>5835</v>
      </c>
      <c r="R1289" s="22" t="s">
        <v>5846</v>
      </c>
    </row>
    <row r="1290" spans="3:18" ht="16">
      <c r="C1290" s="19" t="s">
        <v>976</v>
      </c>
      <c r="D1290" s="20" t="s">
        <v>2904</v>
      </c>
      <c r="E1290" s="21" t="s">
        <v>5956</v>
      </c>
      <c r="F1290" s="21" t="s">
        <v>5957</v>
      </c>
      <c r="G1290" s="22" t="s">
        <v>5846</v>
      </c>
      <c r="H1290" s="22" t="s">
        <v>5835</v>
      </c>
      <c r="I1290" s="22">
        <v>5.0999999999999996</v>
      </c>
      <c r="K1290" s="22" t="s">
        <v>5835</v>
      </c>
      <c r="N1290" s="25" t="s">
        <v>7170</v>
      </c>
      <c r="O1290" s="25" t="s">
        <v>5835</v>
      </c>
      <c r="R1290" s="22" t="s">
        <v>5846</v>
      </c>
    </row>
    <row r="1291" spans="3:18" ht="16">
      <c r="C1291" s="19" t="s">
        <v>977</v>
      </c>
      <c r="D1291" s="20" t="s">
        <v>2905</v>
      </c>
      <c r="E1291" s="21" t="s">
        <v>5956</v>
      </c>
      <c r="F1291" s="21" t="s">
        <v>5957</v>
      </c>
      <c r="G1291" s="22" t="s">
        <v>5846</v>
      </c>
      <c r="H1291" s="22" t="s">
        <v>5835</v>
      </c>
      <c r="I1291" s="22">
        <v>6</v>
      </c>
      <c r="K1291" s="22" t="s">
        <v>5835</v>
      </c>
      <c r="N1291" s="25" t="s">
        <v>7171</v>
      </c>
      <c r="O1291" s="25" t="s">
        <v>5835</v>
      </c>
      <c r="R1291" s="22" t="s">
        <v>5846</v>
      </c>
    </row>
    <row r="1292" spans="3:18" ht="16">
      <c r="C1292" s="19" t="s">
        <v>979</v>
      </c>
      <c r="D1292" s="20" t="s">
        <v>2907</v>
      </c>
      <c r="E1292" s="21" t="s">
        <v>5923</v>
      </c>
      <c r="F1292" s="21" t="s">
        <v>5831</v>
      </c>
      <c r="G1292" s="22" t="s">
        <v>5840</v>
      </c>
      <c r="H1292" s="22" t="s">
        <v>5835</v>
      </c>
      <c r="I1292" s="22">
        <v>45.6</v>
      </c>
      <c r="K1292" s="22" t="s">
        <v>5835</v>
      </c>
      <c r="N1292" s="25" t="s">
        <v>7172</v>
      </c>
      <c r="O1292" s="25" t="s">
        <v>5835</v>
      </c>
      <c r="R1292" s="22" t="s">
        <v>5840</v>
      </c>
    </row>
    <row r="1293" spans="3:18" ht="16">
      <c r="C1293" s="19" t="s">
        <v>980</v>
      </c>
      <c r="D1293" s="20" t="s">
        <v>2908</v>
      </c>
      <c r="E1293" s="21" t="s">
        <v>5956</v>
      </c>
      <c r="F1293" s="21" t="s">
        <v>5957</v>
      </c>
      <c r="G1293" s="22" t="s">
        <v>5846</v>
      </c>
      <c r="H1293" s="22" t="s">
        <v>5835</v>
      </c>
      <c r="I1293" s="22">
        <v>38.5</v>
      </c>
      <c r="K1293" s="22" t="s">
        <v>5835</v>
      </c>
      <c r="N1293" s="25" t="s">
        <v>7173</v>
      </c>
      <c r="O1293" s="25" t="s">
        <v>5835</v>
      </c>
      <c r="R1293" s="22" t="s">
        <v>5846</v>
      </c>
    </row>
    <row r="1294" spans="3:18" ht="16">
      <c r="C1294" s="19" t="s">
        <v>981</v>
      </c>
      <c r="D1294" s="20" t="s">
        <v>2909</v>
      </c>
      <c r="E1294" s="21" t="s">
        <v>6413</v>
      </c>
      <c r="F1294" s="21" t="s">
        <v>5957</v>
      </c>
      <c r="G1294" s="22" t="s">
        <v>5846</v>
      </c>
      <c r="H1294" s="22" t="s">
        <v>5835</v>
      </c>
      <c r="I1294" s="22">
        <v>80.900000000000006</v>
      </c>
      <c r="K1294" s="22" t="s">
        <v>5835</v>
      </c>
      <c r="N1294" s="25" t="s">
        <v>7174</v>
      </c>
      <c r="O1294" s="25" t="s">
        <v>5835</v>
      </c>
      <c r="R1294" s="22" t="s">
        <v>5846</v>
      </c>
    </row>
    <row r="1295" spans="3:18" ht="16">
      <c r="C1295" s="19" t="s">
        <v>982</v>
      </c>
      <c r="D1295" s="20" t="s">
        <v>2910</v>
      </c>
      <c r="E1295" s="21" t="s">
        <v>5956</v>
      </c>
      <c r="F1295" s="21" t="s">
        <v>5957</v>
      </c>
      <c r="G1295" s="22" t="s">
        <v>5846</v>
      </c>
      <c r="H1295" s="22" t="s">
        <v>5835</v>
      </c>
      <c r="I1295" s="22">
        <v>22.2</v>
      </c>
      <c r="K1295" s="22" t="s">
        <v>5835</v>
      </c>
      <c r="N1295" s="25" t="s">
        <v>7175</v>
      </c>
      <c r="O1295" s="25" t="s">
        <v>5835</v>
      </c>
      <c r="R1295" s="22" t="s">
        <v>5846</v>
      </c>
    </row>
    <row r="1296" spans="3:18" ht="16">
      <c r="C1296" s="19" t="s">
        <v>984</v>
      </c>
      <c r="D1296" s="20" t="s">
        <v>2912</v>
      </c>
      <c r="E1296" s="21" t="s">
        <v>5968</v>
      </c>
      <c r="F1296" s="21" t="s">
        <v>5969</v>
      </c>
      <c r="G1296" s="22" t="s">
        <v>7827</v>
      </c>
      <c r="H1296" s="22" t="s">
        <v>5835</v>
      </c>
      <c r="I1296" s="22">
        <v>11.1</v>
      </c>
      <c r="K1296" s="22" t="s">
        <v>5835</v>
      </c>
      <c r="N1296" s="25" t="s">
        <v>7176</v>
      </c>
      <c r="O1296" s="25" t="s">
        <v>5835</v>
      </c>
      <c r="R1296" s="22" t="s">
        <v>5940</v>
      </c>
    </row>
    <row r="1297" spans="3:18" ht="16">
      <c r="C1297" s="19" t="s">
        <v>985</v>
      </c>
      <c r="D1297" s="20" t="s">
        <v>2913</v>
      </c>
      <c r="E1297" s="21" t="s">
        <v>5956</v>
      </c>
      <c r="F1297" s="21" t="s">
        <v>5957</v>
      </c>
      <c r="G1297" s="22" t="s">
        <v>5846</v>
      </c>
      <c r="H1297" s="22" t="s">
        <v>5835</v>
      </c>
      <c r="I1297" s="22">
        <v>9.1</v>
      </c>
      <c r="K1297" s="22" t="s">
        <v>5835</v>
      </c>
      <c r="N1297" s="25" t="s">
        <v>7177</v>
      </c>
      <c r="O1297" s="25" t="s">
        <v>5835</v>
      </c>
      <c r="R1297" s="22" t="s">
        <v>5846</v>
      </c>
    </row>
    <row r="1298" spans="3:18" ht="16">
      <c r="C1298" s="19" t="s">
        <v>986</v>
      </c>
      <c r="D1298" s="20" t="s">
        <v>2914</v>
      </c>
      <c r="E1298" s="21" t="s">
        <v>5956</v>
      </c>
      <c r="F1298" s="21" t="s">
        <v>5957</v>
      </c>
      <c r="G1298" s="22" t="s">
        <v>5846</v>
      </c>
      <c r="H1298" s="22" t="s">
        <v>5835</v>
      </c>
      <c r="I1298" s="22">
        <v>17.600000000000001</v>
      </c>
      <c r="K1298" s="22" t="s">
        <v>5835</v>
      </c>
      <c r="N1298" s="25" t="s">
        <v>7178</v>
      </c>
      <c r="O1298" s="25" t="s">
        <v>5835</v>
      </c>
      <c r="R1298" s="22" t="s">
        <v>5846</v>
      </c>
    </row>
    <row r="1299" spans="3:18" ht="16">
      <c r="C1299" s="19" t="s">
        <v>991</v>
      </c>
      <c r="D1299" s="20" t="s">
        <v>2919</v>
      </c>
      <c r="E1299" s="21" t="s">
        <v>5956</v>
      </c>
      <c r="F1299" s="21" t="s">
        <v>5835</v>
      </c>
      <c r="G1299" s="22" t="s">
        <v>7827</v>
      </c>
      <c r="H1299" s="22" t="s">
        <v>5835</v>
      </c>
      <c r="I1299" s="22">
        <v>13.2</v>
      </c>
      <c r="K1299" s="22" t="s">
        <v>5835</v>
      </c>
      <c r="N1299" s="25" t="s">
        <v>5835</v>
      </c>
      <c r="O1299" s="25" t="s">
        <v>5835</v>
      </c>
      <c r="R1299" s="22" t="s">
        <v>5940</v>
      </c>
    </row>
    <row r="1300" spans="3:18" ht="16">
      <c r="C1300" s="19" t="s">
        <v>992</v>
      </c>
      <c r="D1300" s="20" t="s">
        <v>2920</v>
      </c>
      <c r="E1300" s="21" t="s">
        <v>5926</v>
      </c>
      <c r="F1300" s="21" t="s">
        <v>5927</v>
      </c>
      <c r="G1300" s="22" t="s">
        <v>5843</v>
      </c>
      <c r="H1300" s="22" t="s">
        <v>5835</v>
      </c>
      <c r="I1300" s="22">
        <v>9.9</v>
      </c>
      <c r="K1300" s="22" t="s">
        <v>5835</v>
      </c>
      <c r="N1300" s="25" t="s">
        <v>7179</v>
      </c>
      <c r="O1300" s="25" t="s">
        <v>5835</v>
      </c>
      <c r="R1300" s="22" t="s">
        <v>5843</v>
      </c>
    </row>
    <row r="1301" spans="3:18" ht="16">
      <c r="C1301" s="19" t="s">
        <v>993</v>
      </c>
      <c r="D1301" s="20" t="s">
        <v>2921</v>
      </c>
      <c r="E1301" s="21" t="s">
        <v>6250</v>
      </c>
      <c r="F1301" s="21" t="s">
        <v>6200</v>
      </c>
      <c r="G1301" s="22" t="s">
        <v>5945</v>
      </c>
      <c r="H1301" s="22" t="s">
        <v>5835</v>
      </c>
      <c r="I1301" s="22">
        <v>40.700000000000003</v>
      </c>
      <c r="K1301" s="22" t="s">
        <v>5835</v>
      </c>
      <c r="N1301" s="25" t="s">
        <v>7180</v>
      </c>
      <c r="O1301" s="25" t="s">
        <v>5835</v>
      </c>
      <c r="R1301" s="22" t="s">
        <v>5945</v>
      </c>
    </row>
    <row r="1302" spans="3:18" ht="16">
      <c r="C1302" s="19" t="s">
        <v>994</v>
      </c>
      <c r="D1302" s="20" t="s">
        <v>2922</v>
      </c>
      <c r="E1302" s="21" t="s">
        <v>6033</v>
      </c>
      <c r="F1302" s="21" t="s">
        <v>5969</v>
      </c>
      <c r="G1302" s="22" t="s">
        <v>5857</v>
      </c>
      <c r="H1302" s="22" t="s">
        <v>5835</v>
      </c>
      <c r="I1302" s="22">
        <v>201.8</v>
      </c>
      <c r="K1302" s="22" t="s">
        <v>5835</v>
      </c>
      <c r="N1302" s="25" t="s">
        <v>7181</v>
      </c>
      <c r="O1302" s="25" t="s">
        <v>5835</v>
      </c>
      <c r="R1302" s="22" t="s">
        <v>5857</v>
      </c>
    </row>
    <row r="1303" spans="3:18" ht="16">
      <c r="C1303" s="19" t="s">
        <v>995</v>
      </c>
      <c r="D1303" s="20" t="s">
        <v>2923</v>
      </c>
      <c r="E1303" s="21" t="s">
        <v>6033</v>
      </c>
      <c r="F1303" s="21" t="s">
        <v>5969</v>
      </c>
      <c r="G1303" s="22" t="s">
        <v>5862</v>
      </c>
      <c r="H1303" s="22" t="s">
        <v>7828</v>
      </c>
      <c r="I1303" s="22">
        <v>49.4</v>
      </c>
      <c r="K1303" s="22" t="s">
        <v>5835</v>
      </c>
      <c r="N1303" s="25" t="s">
        <v>7182</v>
      </c>
      <c r="O1303" s="25" t="s">
        <v>5835</v>
      </c>
      <c r="R1303" s="22" t="s">
        <v>5862</v>
      </c>
    </row>
    <row r="1304" spans="3:18" ht="16">
      <c r="C1304" s="19" t="s">
        <v>996</v>
      </c>
      <c r="D1304" s="20" t="s">
        <v>2924</v>
      </c>
      <c r="E1304" s="21" t="s">
        <v>6033</v>
      </c>
      <c r="F1304" s="21" t="s">
        <v>5969</v>
      </c>
      <c r="G1304" s="22" t="s">
        <v>5862</v>
      </c>
      <c r="H1304" s="22" t="s">
        <v>5835</v>
      </c>
      <c r="I1304" s="22">
        <v>21.6</v>
      </c>
      <c r="K1304" s="22" t="s">
        <v>5835</v>
      </c>
      <c r="N1304" s="25" t="s">
        <v>7183</v>
      </c>
      <c r="O1304" s="25" t="s">
        <v>5835</v>
      </c>
      <c r="R1304" s="22" t="s">
        <v>5862</v>
      </c>
    </row>
    <row r="1305" spans="3:18" ht="16">
      <c r="C1305" s="19" t="s">
        <v>997</v>
      </c>
      <c r="D1305" s="20" t="s">
        <v>2925</v>
      </c>
      <c r="E1305" s="21" t="s">
        <v>5926</v>
      </c>
      <c r="F1305" s="21" t="s">
        <v>5927</v>
      </c>
      <c r="G1305" s="22" t="s">
        <v>5843</v>
      </c>
      <c r="H1305" s="22" t="s">
        <v>5835</v>
      </c>
      <c r="I1305" s="22">
        <v>22.8</v>
      </c>
      <c r="K1305" s="22" t="s">
        <v>5835</v>
      </c>
      <c r="N1305" s="25" t="s">
        <v>7184</v>
      </c>
      <c r="O1305" s="25" t="s">
        <v>5835</v>
      </c>
      <c r="R1305" s="22" t="s">
        <v>5843</v>
      </c>
    </row>
    <row r="1306" spans="3:18" ht="16">
      <c r="C1306" s="19" t="s">
        <v>999</v>
      </c>
      <c r="D1306" s="20" t="s">
        <v>2927</v>
      </c>
      <c r="E1306" s="21" t="s">
        <v>6033</v>
      </c>
      <c r="F1306" s="21" t="s">
        <v>5969</v>
      </c>
      <c r="G1306" s="22" t="s">
        <v>5857</v>
      </c>
      <c r="H1306" s="22" t="s">
        <v>5835</v>
      </c>
      <c r="I1306" s="22">
        <v>34.1</v>
      </c>
      <c r="K1306" s="22" t="s">
        <v>5835</v>
      </c>
      <c r="N1306" s="25" t="s">
        <v>7185</v>
      </c>
      <c r="O1306" s="25" t="s">
        <v>5835</v>
      </c>
      <c r="R1306" s="22" t="s">
        <v>5857</v>
      </c>
    </row>
    <row r="1307" spans="3:18" ht="16">
      <c r="C1307" s="19" t="s">
        <v>1000</v>
      </c>
      <c r="D1307" s="20" t="s">
        <v>2928</v>
      </c>
      <c r="E1307" s="21" t="s">
        <v>5926</v>
      </c>
      <c r="F1307" s="21" t="s">
        <v>5927</v>
      </c>
      <c r="G1307" s="22" t="s">
        <v>5843</v>
      </c>
      <c r="H1307" s="22" t="s">
        <v>5835</v>
      </c>
      <c r="I1307" s="22">
        <v>14.5</v>
      </c>
      <c r="K1307" s="22" t="s">
        <v>5835</v>
      </c>
      <c r="N1307" s="25" t="s">
        <v>7186</v>
      </c>
      <c r="O1307" s="25" t="s">
        <v>5835</v>
      </c>
      <c r="R1307" s="22" t="s">
        <v>5843</v>
      </c>
    </row>
    <row r="1308" spans="3:18" ht="16">
      <c r="C1308" s="19" t="s">
        <v>1001</v>
      </c>
      <c r="D1308" s="20" t="s">
        <v>2929</v>
      </c>
      <c r="E1308" s="21" t="s">
        <v>5968</v>
      </c>
      <c r="F1308" s="21" t="s">
        <v>5969</v>
      </c>
      <c r="G1308" s="22" t="s">
        <v>7827</v>
      </c>
      <c r="H1308" s="22" t="s">
        <v>5835</v>
      </c>
      <c r="I1308" s="22">
        <v>3.5</v>
      </c>
      <c r="K1308" s="22" t="s">
        <v>5835</v>
      </c>
      <c r="N1308" s="25" t="s">
        <v>7187</v>
      </c>
      <c r="O1308" s="25" t="s">
        <v>5835</v>
      </c>
      <c r="R1308" s="22" t="s">
        <v>5940</v>
      </c>
    </row>
    <row r="1309" spans="3:18" ht="16">
      <c r="C1309" s="19" t="s">
        <v>1002</v>
      </c>
      <c r="D1309" s="20" t="s">
        <v>2930</v>
      </c>
      <c r="E1309" s="21" t="s">
        <v>6033</v>
      </c>
      <c r="F1309" s="21" t="s">
        <v>5969</v>
      </c>
      <c r="G1309" s="22" t="s">
        <v>5843</v>
      </c>
      <c r="H1309" s="22" t="s">
        <v>5835</v>
      </c>
      <c r="I1309" s="22">
        <v>7.8</v>
      </c>
      <c r="K1309" s="22" t="s">
        <v>5835</v>
      </c>
      <c r="N1309" s="25" t="s">
        <v>7188</v>
      </c>
      <c r="O1309" s="25" t="s">
        <v>5835</v>
      </c>
      <c r="R1309" s="22" t="s">
        <v>5843</v>
      </c>
    </row>
    <row r="1310" spans="3:18" ht="16">
      <c r="C1310" s="19" t="s">
        <v>1004</v>
      </c>
      <c r="D1310" s="20" t="s">
        <v>2932</v>
      </c>
      <c r="E1310" s="21" t="s">
        <v>6033</v>
      </c>
      <c r="F1310" s="21" t="s">
        <v>5969</v>
      </c>
      <c r="G1310" s="22" t="s">
        <v>5862</v>
      </c>
      <c r="H1310" s="22" t="s">
        <v>5835</v>
      </c>
      <c r="I1310" s="22">
        <v>37.1</v>
      </c>
      <c r="K1310" s="22" t="s">
        <v>5835</v>
      </c>
      <c r="N1310" s="25" t="s">
        <v>7189</v>
      </c>
      <c r="O1310" s="25" t="s">
        <v>5835</v>
      </c>
      <c r="R1310" s="22" t="s">
        <v>5862</v>
      </c>
    </row>
    <row r="1311" spans="3:18" ht="16">
      <c r="C1311" s="19" t="s">
        <v>1005</v>
      </c>
      <c r="D1311" s="20" t="s">
        <v>2933</v>
      </c>
      <c r="E1311" s="21" t="s">
        <v>6033</v>
      </c>
      <c r="F1311" s="21" t="s">
        <v>5969</v>
      </c>
      <c r="G1311" s="22" t="s">
        <v>5862</v>
      </c>
      <c r="H1311" s="22" t="s">
        <v>5835</v>
      </c>
      <c r="I1311" s="22">
        <v>13.5</v>
      </c>
      <c r="K1311" s="22" t="s">
        <v>5835</v>
      </c>
      <c r="N1311" s="25" t="s">
        <v>7190</v>
      </c>
      <c r="O1311" s="25" t="s">
        <v>5835</v>
      </c>
      <c r="R1311" s="22" t="s">
        <v>5862</v>
      </c>
    </row>
    <row r="1312" spans="3:18" ht="16">
      <c r="C1312" s="19" t="s">
        <v>1006</v>
      </c>
      <c r="D1312" s="20" t="s">
        <v>2934</v>
      </c>
      <c r="E1312" s="21" t="s">
        <v>5926</v>
      </c>
      <c r="F1312" s="21" t="s">
        <v>5927</v>
      </c>
      <c r="G1312" s="22" t="s">
        <v>5843</v>
      </c>
      <c r="H1312" s="22" t="s">
        <v>5835</v>
      </c>
      <c r="I1312" s="22">
        <v>22.2</v>
      </c>
      <c r="K1312" s="22" t="s">
        <v>5835</v>
      </c>
      <c r="N1312" s="25" t="s">
        <v>7191</v>
      </c>
      <c r="O1312" s="25" t="s">
        <v>5835</v>
      </c>
      <c r="R1312" s="22" t="s">
        <v>5843</v>
      </c>
    </row>
    <row r="1313" spans="3:18" ht="16">
      <c r="C1313" s="19" t="s">
        <v>1008</v>
      </c>
      <c r="D1313" s="20" t="s">
        <v>2936</v>
      </c>
      <c r="E1313" s="21" t="s">
        <v>6033</v>
      </c>
      <c r="F1313" s="21" t="s">
        <v>5969</v>
      </c>
      <c r="G1313" s="22" t="s">
        <v>5862</v>
      </c>
      <c r="H1313" s="22" t="s">
        <v>5835</v>
      </c>
      <c r="I1313" s="22">
        <v>10.3</v>
      </c>
      <c r="K1313" s="22" t="s">
        <v>5835</v>
      </c>
      <c r="N1313" s="25" t="s">
        <v>7192</v>
      </c>
      <c r="O1313" s="25" t="s">
        <v>5835</v>
      </c>
      <c r="R1313" s="22" t="s">
        <v>5862</v>
      </c>
    </row>
    <row r="1314" spans="3:18" ht="16">
      <c r="C1314" s="19" t="s">
        <v>1010</v>
      </c>
      <c r="D1314" s="20" t="s">
        <v>2938</v>
      </c>
      <c r="E1314" s="21" t="s">
        <v>5968</v>
      </c>
      <c r="F1314" s="21" t="s">
        <v>5969</v>
      </c>
      <c r="G1314" s="22" t="s">
        <v>5970</v>
      </c>
      <c r="H1314" s="22" t="s">
        <v>7828</v>
      </c>
      <c r="I1314" s="22">
        <v>28.1</v>
      </c>
      <c r="K1314" s="22" t="s">
        <v>5835</v>
      </c>
      <c r="N1314" s="25" t="s">
        <v>7193</v>
      </c>
      <c r="O1314" s="25" t="s">
        <v>5835</v>
      </c>
      <c r="R1314" s="22" t="s">
        <v>5970</v>
      </c>
    </row>
    <row r="1315" spans="3:18" ht="16">
      <c r="C1315" s="19" t="s">
        <v>1011</v>
      </c>
      <c r="D1315" s="20" t="s">
        <v>2939</v>
      </c>
      <c r="E1315" s="21" t="s">
        <v>6254</v>
      </c>
      <c r="F1315" s="21" t="s">
        <v>8</v>
      </c>
      <c r="G1315" s="22" t="s">
        <v>5935</v>
      </c>
      <c r="H1315" s="22" t="s">
        <v>5835</v>
      </c>
      <c r="I1315" s="22">
        <v>19.100000000000001</v>
      </c>
      <c r="K1315" s="22" t="s">
        <v>5835</v>
      </c>
      <c r="N1315" s="25" t="s">
        <v>7194</v>
      </c>
      <c r="O1315" s="25" t="s">
        <v>5835</v>
      </c>
      <c r="R1315" s="22" t="s">
        <v>5935</v>
      </c>
    </row>
    <row r="1316" spans="3:18" ht="16">
      <c r="C1316" s="19" t="s">
        <v>1012</v>
      </c>
      <c r="D1316" s="20" t="s">
        <v>2940</v>
      </c>
      <c r="E1316" s="21" t="s">
        <v>5926</v>
      </c>
      <c r="F1316" s="21" t="s">
        <v>5927</v>
      </c>
      <c r="G1316" s="22" t="s">
        <v>5843</v>
      </c>
      <c r="H1316" s="22" t="s">
        <v>5835</v>
      </c>
      <c r="I1316" s="22">
        <v>16.3</v>
      </c>
      <c r="K1316" s="22" t="s">
        <v>5835</v>
      </c>
      <c r="N1316" s="25" t="s">
        <v>7195</v>
      </c>
      <c r="O1316" s="25" t="s">
        <v>5835</v>
      </c>
      <c r="R1316" s="22" t="s">
        <v>5843</v>
      </c>
    </row>
    <row r="1317" spans="3:18" ht="16">
      <c r="C1317" s="19" t="s">
        <v>1014</v>
      </c>
      <c r="D1317" s="20" t="s">
        <v>2942</v>
      </c>
      <c r="E1317" s="21" t="s">
        <v>6033</v>
      </c>
      <c r="F1317" s="21" t="s">
        <v>5969</v>
      </c>
      <c r="G1317" s="22" t="s">
        <v>5862</v>
      </c>
      <c r="H1317" s="22" t="s">
        <v>5835</v>
      </c>
      <c r="I1317" s="22">
        <v>72.099999999999994</v>
      </c>
      <c r="K1317" s="22" t="s">
        <v>5835</v>
      </c>
      <c r="N1317" s="25" t="s">
        <v>7196</v>
      </c>
      <c r="O1317" s="25" t="s">
        <v>5835</v>
      </c>
      <c r="R1317" s="22" t="s">
        <v>5862</v>
      </c>
    </row>
    <row r="1318" spans="3:18" ht="16">
      <c r="C1318" s="19" t="s">
        <v>1015</v>
      </c>
      <c r="D1318" s="20" t="s">
        <v>2943</v>
      </c>
      <c r="E1318" s="21" t="s">
        <v>6033</v>
      </c>
      <c r="F1318" s="21" t="s">
        <v>5969</v>
      </c>
      <c r="G1318" s="22" t="s">
        <v>5857</v>
      </c>
      <c r="H1318" s="22" t="s">
        <v>5835</v>
      </c>
      <c r="I1318" s="22">
        <v>9.5</v>
      </c>
      <c r="K1318" s="22" t="s">
        <v>5835</v>
      </c>
      <c r="N1318" s="25" t="s">
        <v>7197</v>
      </c>
      <c r="O1318" s="25" t="s">
        <v>5835</v>
      </c>
      <c r="R1318" s="22" t="s">
        <v>5857</v>
      </c>
    </row>
    <row r="1319" spans="3:18" ht="16">
      <c r="C1319" s="19" t="s">
        <v>1018</v>
      </c>
      <c r="D1319" s="20" t="s">
        <v>2946</v>
      </c>
      <c r="E1319" s="21" t="s">
        <v>5926</v>
      </c>
      <c r="F1319" s="21" t="s">
        <v>5927</v>
      </c>
      <c r="G1319" s="22" t="s">
        <v>5867</v>
      </c>
      <c r="H1319" s="22" t="s">
        <v>5835</v>
      </c>
      <c r="I1319" s="22">
        <v>9.5</v>
      </c>
      <c r="K1319" s="22" t="s">
        <v>5835</v>
      </c>
      <c r="N1319" s="25" t="s">
        <v>7198</v>
      </c>
      <c r="O1319" s="25" t="s">
        <v>5835</v>
      </c>
      <c r="R1319" s="22" t="s">
        <v>5867</v>
      </c>
    </row>
    <row r="1320" spans="3:18" ht="16">
      <c r="C1320" s="19" t="s">
        <v>1020</v>
      </c>
      <c r="D1320" s="20" t="s">
        <v>2948</v>
      </c>
      <c r="E1320" s="21" t="s">
        <v>5968</v>
      </c>
      <c r="F1320" s="21" t="s">
        <v>5969</v>
      </c>
      <c r="G1320" s="22" t="s">
        <v>5869</v>
      </c>
      <c r="H1320" s="22" t="s">
        <v>5835</v>
      </c>
      <c r="I1320" s="22">
        <v>10.8</v>
      </c>
      <c r="K1320" s="22" t="s">
        <v>5835</v>
      </c>
      <c r="N1320" s="25" t="s">
        <v>7199</v>
      </c>
      <c r="O1320" s="25" t="s">
        <v>5835</v>
      </c>
      <c r="R1320" s="22" t="s">
        <v>5869</v>
      </c>
    </row>
    <row r="1321" spans="3:18" ht="16">
      <c r="C1321" s="19" t="s">
        <v>1022</v>
      </c>
      <c r="D1321" s="20" t="s">
        <v>2950</v>
      </c>
      <c r="E1321" s="21" t="s">
        <v>5968</v>
      </c>
      <c r="F1321" s="21" t="s">
        <v>5969</v>
      </c>
      <c r="G1321" s="22" t="s">
        <v>7827</v>
      </c>
      <c r="H1321" s="22" t="s">
        <v>5835</v>
      </c>
      <c r="I1321" s="22">
        <v>12.7</v>
      </c>
      <c r="K1321" s="22" t="s">
        <v>5835</v>
      </c>
      <c r="N1321" s="25" t="s">
        <v>5835</v>
      </c>
      <c r="O1321" s="25" t="s">
        <v>5835</v>
      </c>
      <c r="R1321" s="22" t="s">
        <v>5940</v>
      </c>
    </row>
    <row r="1322" spans="3:18" ht="16">
      <c r="C1322" s="19" t="s">
        <v>1024</v>
      </c>
      <c r="D1322" s="20" t="s">
        <v>2952</v>
      </c>
      <c r="E1322" s="21" t="s">
        <v>6033</v>
      </c>
      <c r="F1322" s="21" t="s">
        <v>5969</v>
      </c>
      <c r="G1322" s="22" t="s">
        <v>5862</v>
      </c>
      <c r="H1322" s="22" t="s">
        <v>5835</v>
      </c>
      <c r="I1322" s="22">
        <v>23.8</v>
      </c>
      <c r="K1322" s="22" t="s">
        <v>5835</v>
      </c>
      <c r="N1322" s="25" t="s">
        <v>7200</v>
      </c>
      <c r="O1322" s="25" t="s">
        <v>5835</v>
      </c>
      <c r="R1322" s="22" t="s">
        <v>5862</v>
      </c>
    </row>
    <row r="1323" spans="3:18" ht="16">
      <c r="C1323" s="19" t="s">
        <v>1026</v>
      </c>
      <c r="D1323" s="20" t="s">
        <v>2954</v>
      </c>
      <c r="E1323" s="21" t="s">
        <v>6033</v>
      </c>
      <c r="F1323" s="21" t="s">
        <v>5969</v>
      </c>
      <c r="G1323" s="22" t="s">
        <v>5862</v>
      </c>
      <c r="H1323" s="22" t="s">
        <v>5835</v>
      </c>
      <c r="I1323" s="22">
        <v>33.6</v>
      </c>
      <c r="K1323" s="22" t="s">
        <v>5835</v>
      </c>
      <c r="N1323" s="25" t="s">
        <v>7201</v>
      </c>
      <c r="O1323" s="25" t="s">
        <v>5835</v>
      </c>
      <c r="R1323" s="22" t="s">
        <v>5862</v>
      </c>
    </row>
    <row r="1324" spans="3:18" ht="16">
      <c r="C1324" s="19" t="s">
        <v>1029</v>
      </c>
      <c r="D1324" s="20" t="s">
        <v>2957</v>
      </c>
      <c r="E1324" s="21" t="s">
        <v>6033</v>
      </c>
      <c r="F1324" s="21" t="s">
        <v>5969</v>
      </c>
      <c r="G1324" s="22" t="s">
        <v>5843</v>
      </c>
      <c r="H1324" s="22" t="s">
        <v>5835</v>
      </c>
      <c r="I1324" s="22">
        <v>14.8</v>
      </c>
      <c r="K1324" s="22" t="s">
        <v>5835</v>
      </c>
      <c r="N1324" s="25" t="s">
        <v>7202</v>
      </c>
      <c r="O1324" s="25" t="s">
        <v>5835</v>
      </c>
      <c r="R1324" s="22" t="s">
        <v>5843</v>
      </c>
    </row>
    <row r="1325" spans="3:18" ht="16">
      <c r="C1325" s="19" t="s">
        <v>1034</v>
      </c>
      <c r="D1325" s="20" t="s">
        <v>2962</v>
      </c>
      <c r="E1325" s="21" t="s">
        <v>6274</v>
      </c>
      <c r="F1325" s="21" t="s">
        <v>17</v>
      </c>
      <c r="G1325" s="22" t="s">
        <v>7825</v>
      </c>
      <c r="H1325" s="22" t="s">
        <v>5835</v>
      </c>
      <c r="I1325" s="22">
        <v>10</v>
      </c>
      <c r="K1325" s="22" t="s">
        <v>5835</v>
      </c>
      <c r="N1325" s="25" t="s">
        <v>5835</v>
      </c>
      <c r="O1325" s="25" t="s">
        <v>5835</v>
      </c>
      <c r="R1325" s="22" t="s">
        <v>6202</v>
      </c>
    </row>
    <row r="1326" spans="3:18" ht="16">
      <c r="C1326" s="19" t="s">
        <v>1035</v>
      </c>
      <c r="D1326" s="20" t="s">
        <v>2963</v>
      </c>
      <c r="E1326" s="21" t="s">
        <v>6033</v>
      </c>
      <c r="F1326" s="21" t="s">
        <v>5969</v>
      </c>
      <c r="G1326" s="22" t="s">
        <v>5862</v>
      </c>
      <c r="H1326" s="22" t="s">
        <v>5835</v>
      </c>
      <c r="I1326" s="22">
        <v>37.1</v>
      </c>
      <c r="K1326" s="22" t="s">
        <v>5835</v>
      </c>
      <c r="N1326" s="25" t="s">
        <v>7203</v>
      </c>
      <c r="O1326" s="25" t="s">
        <v>5835</v>
      </c>
      <c r="R1326" s="22" t="s">
        <v>5862</v>
      </c>
    </row>
    <row r="1327" spans="3:18" ht="16">
      <c r="C1327" s="19" t="s">
        <v>1038</v>
      </c>
      <c r="D1327" s="20" t="s">
        <v>2966</v>
      </c>
      <c r="E1327" s="21" t="s">
        <v>5968</v>
      </c>
      <c r="F1327" s="21" t="s">
        <v>5969</v>
      </c>
      <c r="G1327" s="22" t="s">
        <v>7827</v>
      </c>
      <c r="H1327" s="22" t="s">
        <v>5835</v>
      </c>
      <c r="I1327" s="22">
        <v>17.3</v>
      </c>
      <c r="K1327" s="22" t="s">
        <v>5835</v>
      </c>
      <c r="N1327" s="25" t="s">
        <v>5835</v>
      </c>
      <c r="O1327" s="25" t="s">
        <v>5835</v>
      </c>
      <c r="R1327" s="22" t="s">
        <v>5940</v>
      </c>
    </row>
    <row r="1328" spans="3:18" ht="16">
      <c r="C1328" s="19" t="s">
        <v>1042</v>
      </c>
      <c r="D1328" s="20" t="s">
        <v>2969</v>
      </c>
      <c r="E1328" s="21" t="s">
        <v>6033</v>
      </c>
      <c r="F1328" s="21" t="s">
        <v>5969</v>
      </c>
      <c r="G1328" s="22" t="s">
        <v>5879</v>
      </c>
      <c r="H1328" s="22" t="s">
        <v>5835</v>
      </c>
      <c r="I1328" s="22">
        <v>3.9</v>
      </c>
      <c r="K1328" s="22" t="s">
        <v>5835</v>
      </c>
      <c r="N1328" s="25" t="s">
        <v>7204</v>
      </c>
      <c r="O1328" s="25" t="s">
        <v>5835</v>
      </c>
      <c r="R1328" s="22" t="s">
        <v>5879</v>
      </c>
    </row>
    <row r="1329" spans="3:18" ht="16">
      <c r="C1329" s="19" t="s">
        <v>1043</v>
      </c>
      <c r="D1329" s="20" t="s">
        <v>2970</v>
      </c>
      <c r="E1329" s="21" t="s">
        <v>6096</v>
      </c>
      <c r="F1329" s="21" t="s">
        <v>5896</v>
      </c>
      <c r="G1329" s="22" t="s">
        <v>5887</v>
      </c>
      <c r="H1329" s="22" t="s">
        <v>5835</v>
      </c>
      <c r="I1329" s="22">
        <v>7.7</v>
      </c>
      <c r="K1329" s="22" t="s">
        <v>5835</v>
      </c>
      <c r="N1329" s="25" t="s">
        <v>7205</v>
      </c>
      <c r="O1329" s="25" t="s">
        <v>5835</v>
      </c>
      <c r="R1329" s="22" t="s">
        <v>5887</v>
      </c>
    </row>
    <row r="1330" spans="3:18" ht="16">
      <c r="C1330" s="19" t="s">
        <v>1044</v>
      </c>
      <c r="D1330" s="20" t="s">
        <v>2971</v>
      </c>
      <c r="E1330" s="21" t="s">
        <v>6096</v>
      </c>
      <c r="F1330" s="21" t="s">
        <v>5896</v>
      </c>
      <c r="G1330" s="22" t="s">
        <v>5887</v>
      </c>
      <c r="H1330" s="22" t="s">
        <v>5835</v>
      </c>
      <c r="I1330" s="22">
        <v>22</v>
      </c>
      <c r="K1330" s="22" t="s">
        <v>5835</v>
      </c>
      <c r="N1330" s="25" t="s">
        <v>7206</v>
      </c>
      <c r="O1330" s="25" t="s">
        <v>5835</v>
      </c>
      <c r="R1330" s="22" t="s">
        <v>5887</v>
      </c>
    </row>
    <row r="1331" spans="3:18" ht="16">
      <c r="C1331" s="19" t="s">
        <v>1045</v>
      </c>
      <c r="D1331" s="20" t="s">
        <v>2972</v>
      </c>
      <c r="E1331" s="21" t="s">
        <v>6096</v>
      </c>
      <c r="F1331" s="21" t="s">
        <v>5896</v>
      </c>
      <c r="G1331" s="22" t="s">
        <v>5887</v>
      </c>
      <c r="H1331" s="22" t="s">
        <v>5835</v>
      </c>
      <c r="I1331" s="22">
        <v>39.200000000000003</v>
      </c>
      <c r="K1331" s="22" t="s">
        <v>5835</v>
      </c>
      <c r="N1331" s="25" t="s">
        <v>7207</v>
      </c>
      <c r="O1331" s="25" t="s">
        <v>5835</v>
      </c>
      <c r="R1331" s="22" t="s">
        <v>5887</v>
      </c>
    </row>
    <row r="1332" spans="3:18" ht="16">
      <c r="C1332" s="19" t="s">
        <v>1046</v>
      </c>
      <c r="D1332" s="20" t="s">
        <v>2973</v>
      </c>
      <c r="E1332" s="21" t="s">
        <v>5895</v>
      </c>
      <c r="F1332" s="21" t="s">
        <v>5896</v>
      </c>
      <c r="G1332" s="22" t="s">
        <v>5887</v>
      </c>
      <c r="H1332" s="22" t="s">
        <v>5835</v>
      </c>
      <c r="I1332" s="22">
        <v>9.1</v>
      </c>
      <c r="K1332" s="22" t="s">
        <v>5835</v>
      </c>
      <c r="N1332" s="25" t="s">
        <v>7208</v>
      </c>
      <c r="O1332" s="25" t="s">
        <v>5835</v>
      </c>
      <c r="R1332" s="22" t="s">
        <v>5887</v>
      </c>
    </row>
    <row r="1333" spans="3:18" ht="16">
      <c r="C1333" s="19" t="s">
        <v>7209</v>
      </c>
      <c r="D1333" s="20" t="s">
        <v>7210</v>
      </c>
      <c r="E1333" s="21" t="s">
        <v>5968</v>
      </c>
      <c r="F1333" s="21" t="s">
        <v>5852</v>
      </c>
      <c r="G1333" s="22" t="s">
        <v>5836</v>
      </c>
      <c r="H1333" s="22" t="s">
        <v>5835</v>
      </c>
      <c r="I1333" s="22" t="s">
        <v>5835</v>
      </c>
      <c r="K1333" s="22" t="s">
        <v>5835</v>
      </c>
      <c r="N1333" s="25" t="s">
        <v>7211</v>
      </c>
      <c r="O1333" s="25" t="s">
        <v>5835</v>
      </c>
      <c r="R1333" s="22" t="s">
        <v>5836</v>
      </c>
    </row>
    <row r="1334" spans="3:18" ht="16">
      <c r="C1334" s="19" t="s">
        <v>1047</v>
      </c>
      <c r="D1334" s="20" t="s">
        <v>2974</v>
      </c>
      <c r="E1334" s="21" t="s">
        <v>5895</v>
      </c>
      <c r="F1334" s="21" t="s">
        <v>5896</v>
      </c>
      <c r="G1334" s="22" t="s">
        <v>5887</v>
      </c>
      <c r="H1334" s="22" t="s">
        <v>5835</v>
      </c>
      <c r="I1334" s="22">
        <v>32.9</v>
      </c>
      <c r="K1334" s="22" t="s">
        <v>5835</v>
      </c>
      <c r="N1334" s="25" t="s">
        <v>7212</v>
      </c>
      <c r="O1334" s="25" t="s">
        <v>5835</v>
      </c>
      <c r="R1334" s="22" t="s">
        <v>5887</v>
      </c>
    </row>
    <row r="1335" spans="3:18" ht="16">
      <c r="C1335" s="19" t="s">
        <v>1048</v>
      </c>
      <c r="D1335" s="20" t="s">
        <v>2975</v>
      </c>
      <c r="E1335" s="21" t="s">
        <v>5895</v>
      </c>
      <c r="F1335" s="21" t="s">
        <v>5896</v>
      </c>
      <c r="G1335" s="22" t="s">
        <v>5887</v>
      </c>
      <c r="H1335" s="22" t="s">
        <v>5835</v>
      </c>
      <c r="I1335" s="22">
        <v>13.2</v>
      </c>
      <c r="K1335" s="22" t="s">
        <v>5835</v>
      </c>
      <c r="N1335" s="25" t="s">
        <v>7213</v>
      </c>
      <c r="O1335" s="25" t="s">
        <v>5835</v>
      </c>
      <c r="R1335" s="22" t="s">
        <v>5887</v>
      </c>
    </row>
    <row r="1336" spans="3:18" ht="16">
      <c r="C1336" s="19" t="s">
        <v>1050</v>
      </c>
      <c r="D1336" s="20" t="s">
        <v>2977</v>
      </c>
      <c r="E1336" s="21" t="s">
        <v>6096</v>
      </c>
      <c r="F1336" s="21" t="s">
        <v>5896</v>
      </c>
      <c r="G1336" s="22" t="s">
        <v>5995</v>
      </c>
      <c r="H1336" s="22" t="s">
        <v>5835</v>
      </c>
      <c r="I1336" s="22">
        <v>51.5</v>
      </c>
      <c r="K1336" s="22" t="s">
        <v>5835</v>
      </c>
      <c r="N1336" s="25" t="s">
        <v>7214</v>
      </c>
      <c r="O1336" s="25" t="s">
        <v>5835</v>
      </c>
      <c r="R1336" s="22" t="s">
        <v>5995</v>
      </c>
    </row>
    <row r="1337" spans="3:18" ht="16">
      <c r="C1337" s="19" t="s">
        <v>1052</v>
      </c>
      <c r="D1337" s="20" t="s">
        <v>2979</v>
      </c>
      <c r="E1337" s="21" t="s">
        <v>6074</v>
      </c>
      <c r="F1337" s="21" t="s">
        <v>6075</v>
      </c>
      <c r="G1337" s="22" t="s">
        <v>5891</v>
      </c>
      <c r="H1337" s="22" t="s">
        <v>5835</v>
      </c>
      <c r="I1337" s="22">
        <v>79.8</v>
      </c>
      <c r="K1337" s="22" t="s">
        <v>5835</v>
      </c>
      <c r="N1337" s="25" t="s">
        <v>7215</v>
      </c>
      <c r="O1337" s="25" t="s">
        <v>5835</v>
      </c>
      <c r="R1337" s="22" t="s">
        <v>5891</v>
      </c>
    </row>
    <row r="1338" spans="3:18" ht="16">
      <c r="C1338" s="19" t="s">
        <v>1053</v>
      </c>
      <c r="D1338" s="20" t="s">
        <v>2980</v>
      </c>
      <c r="E1338" s="21" t="s">
        <v>6074</v>
      </c>
      <c r="F1338" s="21" t="s">
        <v>6075</v>
      </c>
      <c r="G1338" s="22" t="s">
        <v>5884</v>
      </c>
      <c r="H1338" s="22" t="s">
        <v>7828</v>
      </c>
      <c r="I1338" s="22">
        <v>216.4</v>
      </c>
      <c r="K1338" s="22" t="s">
        <v>5835</v>
      </c>
      <c r="N1338" s="25" t="s">
        <v>7216</v>
      </c>
      <c r="O1338" s="25" t="s">
        <v>5835</v>
      </c>
      <c r="R1338" s="22" t="s">
        <v>5884</v>
      </c>
    </row>
    <row r="1339" spans="3:18" ht="16">
      <c r="C1339" s="19" t="s">
        <v>1054</v>
      </c>
      <c r="D1339" s="20" t="s">
        <v>2981</v>
      </c>
      <c r="E1339" s="21" t="s">
        <v>6505</v>
      </c>
      <c r="F1339" s="21" t="s">
        <v>6200</v>
      </c>
      <c r="G1339" s="22" t="s">
        <v>5985</v>
      </c>
      <c r="H1339" s="22" t="s">
        <v>5835</v>
      </c>
      <c r="I1339" s="22">
        <v>16.8</v>
      </c>
      <c r="K1339" s="22" t="s">
        <v>5835</v>
      </c>
      <c r="N1339" s="25" t="s">
        <v>7217</v>
      </c>
      <c r="O1339" s="25" t="s">
        <v>5835</v>
      </c>
      <c r="R1339" s="22" t="s">
        <v>5985</v>
      </c>
    </row>
    <row r="1340" spans="3:18" ht="16">
      <c r="C1340" s="19" t="s">
        <v>1055</v>
      </c>
      <c r="D1340" s="20" t="s">
        <v>2982</v>
      </c>
      <c r="E1340" s="21" t="s">
        <v>6074</v>
      </c>
      <c r="F1340" s="21" t="s">
        <v>6075</v>
      </c>
      <c r="G1340" s="22" t="s">
        <v>5889</v>
      </c>
      <c r="H1340" s="22" t="s">
        <v>5835</v>
      </c>
      <c r="I1340" s="22">
        <v>14.8</v>
      </c>
      <c r="K1340" s="22" t="s">
        <v>5835</v>
      </c>
      <c r="N1340" s="25" t="s">
        <v>7218</v>
      </c>
      <c r="O1340" s="25" t="s">
        <v>5835</v>
      </c>
      <c r="R1340" s="22" t="s">
        <v>5889</v>
      </c>
    </row>
    <row r="1341" spans="3:18" ht="16">
      <c r="C1341" s="19" t="s">
        <v>1059</v>
      </c>
      <c r="D1341" s="20" t="s">
        <v>2986</v>
      </c>
      <c r="E1341" s="21" t="s">
        <v>6096</v>
      </c>
      <c r="F1341" s="21" t="s">
        <v>5896</v>
      </c>
      <c r="G1341" s="22" t="s">
        <v>7827</v>
      </c>
      <c r="H1341" s="22" t="s">
        <v>5835</v>
      </c>
      <c r="I1341" s="22">
        <v>8.6</v>
      </c>
      <c r="K1341" s="22" t="s">
        <v>5835</v>
      </c>
      <c r="N1341" s="25" t="s">
        <v>7219</v>
      </c>
      <c r="O1341" s="25" t="s">
        <v>5835</v>
      </c>
      <c r="R1341" s="22" t="s">
        <v>5940</v>
      </c>
    </row>
    <row r="1342" spans="3:18" ht="16">
      <c r="C1342" s="19" t="s">
        <v>1060</v>
      </c>
      <c r="D1342" s="20" t="s">
        <v>2987</v>
      </c>
      <c r="E1342" s="21" t="s">
        <v>6074</v>
      </c>
      <c r="F1342" s="21" t="s">
        <v>6075</v>
      </c>
      <c r="G1342" s="22" t="s">
        <v>5891</v>
      </c>
      <c r="H1342" s="22" t="s">
        <v>7828</v>
      </c>
      <c r="I1342" s="22">
        <v>284.2</v>
      </c>
      <c r="K1342" s="22" t="s">
        <v>5835</v>
      </c>
      <c r="N1342" s="25" t="s">
        <v>7220</v>
      </c>
      <c r="O1342" s="25" t="s">
        <v>5835</v>
      </c>
      <c r="R1342" s="22" t="s">
        <v>5891</v>
      </c>
    </row>
    <row r="1343" spans="3:18" ht="16">
      <c r="C1343" s="19" t="s">
        <v>1061</v>
      </c>
      <c r="D1343" s="20" t="s">
        <v>2988</v>
      </c>
      <c r="E1343" s="21" t="s">
        <v>6074</v>
      </c>
      <c r="F1343" s="21" t="s">
        <v>6075</v>
      </c>
      <c r="G1343" s="22" t="s">
        <v>5935</v>
      </c>
      <c r="H1343" s="22" t="s">
        <v>5835</v>
      </c>
      <c r="I1343" s="22">
        <v>12</v>
      </c>
      <c r="K1343" s="22" t="s">
        <v>5835</v>
      </c>
      <c r="N1343" s="25" t="s">
        <v>7221</v>
      </c>
      <c r="O1343" s="25" t="s">
        <v>5835</v>
      </c>
      <c r="R1343" s="22" t="s">
        <v>5935</v>
      </c>
    </row>
    <row r="1344" spans="3:18" ht="16">
      <c r="C1344" s="19" t="s">
        <v>1062</v>
      </c>
      <c r="D1344" s="20" t="s">
        <v>2989</v>
      </c>
      <c r="E1344" s="21" t="s">
        <v>6074</v>
      </c>
      <c r="F1344" s="21" t="s">
        <v>6075</v>
      </c>
      <c r="G1344" s="22" t="s">
        <v>5889</v>
      </c>
      <c r="H1344" s="22" t="s">
        <v>5835</v>
      </c>
      <c r="I1344" s="22">
        <v>13.2</v>
      </c>
      <c r="K1344" s="22" t="s">
        <v>5835</v>
      </c>
      <c r="N1344" s="25" t="s">
        <v>7222</v>
      </c>
      <c r="O1344" s="25" t="s">
        <v>5835</v>
      </c>
      <c r="R1344" s="22" t="s">
        <v>5889</v>
      </c>
    </row>
    <row r="1345" spans="3:18" ht="16">
      <c r="C1345" s="19" t="s">
        <v>1064</v>
      </c>
      <c r="D1345" s="20" t="s">
        <v>2991</v>
      </c>
      <c r="E1345" s="21" t="s">
        <v>6074</v>
      </c>
      <c r="F1345" s="21" t="s">
        <v>6075</v>
      </c>
      <c r="G1345" s="22" t="s">
        <v>5882</v>
      </c>
      <c r="H1345" s="22" t="s">
        <v>5835</v>
      </c>
      <c r="I1345" s="22">
        <v>28.1</v>
      </c>
      <c r="K1345" s="22" t="s">
        <v>5835</v>
      </c>
      <c r="N1345" s="25" t="s">
        <v>7223</v>
      </c>
      <c r="O1345" s="25" t="s">
        <v>5835</v>
      </c>
      <c r="R1345" s="22" t="s">
        <v>5882</v>
      </c>
    </row>
    <row r="1346" spans="3:18" ht="16">
      <c r="C1346" s="19" t="s">
        <v>1066</v>
      </c>
      <c r="D1346" s="20" t="s">
        <v>2992</v>
      </c>
      <c r="E1346" s="21" t="s">
        <v>6096</v>
      </c>
      <c r="F1346" s="21" t="s">
        <v>5896</v>
      </c>
      <c r="G1346" s="22" t="s">
        <v>5887</v>
      </c>
      <c r="H1346" s="22" t="s">
        <v>5835</v>
      </c>
      <c r="I1346" s="22">
        <v>12.5</v>
      </c>
      <c r="K1346" s="22" t="s">
        <v>5835</v>
      </c>
      <c r="N1346" s="25" t="s">
        <v>7224</v>
      </c>
      <c r="O1346" s="25" t="s">
        <v>5835</v>
      </c>
      <c r="R1346" s="22" t="s">
        <v>5887</v>
      </c>
    </row>
    <row r="1347" spans="3:18" ht="16">
      <c r="C1347" s="19" t="s">
        <v>1068</v>
      </c>
      <c r="D1347" s="20" t="s">
        <v>2994</v>
      </c>
      <c r="E1347" s="21" t="s">
        <v>6219</v>
      </c>
      <c r="F1347" s="21" t="s">
        <v>17</v>
      </c>
      <c r="G1347" s="22" t="s">
        <v>5918</v>
      </c>
      <c r="H1347" s="22" t="s">
        <v>5835</v>
      </c>
      <c r="I1347" s="22">
        <v>35.6</v>
      </c>
      <c r="K1347" s="22" t="s">
        <v>5835</v>
      </c>
      <c r="N1347" s="25" t="s">
        <v>7225</v>
      </c>
      <c r="O1347" s="25" t="s">
        <v>5835</v>
      </c>
      <c r="R1347" s="22" t="s">
        <v>5918</v>
      </c>
    </row>
    <row r="1348" spans="3:18" ht="16">
      <c r="C1348" s="19" t="s">
        <v>1072</v>
      </c>
      <c r="D1348" s="20" t="s">
        <v>2997</v>
      </c>
      <c r="E1348" s="21" t="s">
        <v>6096</v>
      </c>
      <c r="F1348" s="21" t="s">
        <v>5896</v>
      </c>
      <c r="G1348" s="22" t="s">
        <v>5887</v>
      </c>
      <c r="H1348" s="22" t="s">
        <v>5835</v>
      </c>
      <c r="I1348" s="22">
        <v>10.3</v>
      </c>
      <c r="K1348" s="22" t="s">
        <v>5835</v>
      </c>
      <c r="N1348" s="25" t="s">
        <v>7226</v>
      </c>
      <c r="O1348" s="25" t="s">
        <v>5835</v>
      </c>
      <c r="R1348" s="22" t="s">
        <v>5887</v>
      </c>
    </row>
    <row r="1349" spans="3:18" ht="16">
      <c r="C1349" s="19" t="s">
        <v>1073</v>
      </c>
      <c r="D1349" s="20" t="s">
        <v>2998</v>
      </c>
      <c r="E1349" s="21" t="s">
        <v>6096</v>
      </c>
      <c r="F1349" s="21" t="s">
        <v>5896</v>
      </c>
      <c r="G1349" s="22" t="s">
        <v>7827</v>
      </c>
      <c r="H1349" s="22" t="s">
        <v>5835</v>
      </c>
      <c r="I1349" s="22">
        <v>46.1</v>
      </c>
      <c r="K1349" s="22" t="s">
        <v>5835</v>
      </c>
      <c r="N1349" s="25" t="s">
        <v>5835</v>
      </c>
      <c r="O1349" s="25" t="s">
        <v>5835</v>
      </c>
      <c r="R1349" s="22" t="s">
        <v>5940</v>
      </c>
    </row>
    <row r="1350" spans="3:18" ht="16">
      <c r="C1350" s="19" t="s">
        <v>1077</v>
      </c>
      <c r="D1350" s="20" t="s">
        <v>3001</v>
      </c>
      <c r="E1350" s="21" t="s">
        <v>6413</v>
      </c>
      <c r="F1350" s="21" t="s">
        <v>5852</v>
      </c>
      <c r="G1350" s="22" t="s">
        <v>5849</v>
      </c>
      <c r="H1350" s="22" t="s">
        <v>5835</v>
      </c>
      <c r="I1350" s="22">
        <v>3.1</v>
      </c>
      <c r="K1350" s="22" t="s">
        <v>5835</v>
      </c>
      <c r="N1350" s="25" t="s">
        <v>7227</v>
      </c>
      <c r="O1350" s="25" t="s">
        <v>5835</v>
      </c>
      <c r="R1350" s="22" t="s">
        <v>5849</v>
      </c>
    </row>
    <row r="1351" spans="3:18" ht="16">
      <c r="C1351" s="19" t="s">
        <v>1078</v>
      </c>
      <c r="D1351" s="20" t="s">
        <v>3002</v>
      </c>
      <c r="E1351" s="21" t="s">
        <v>5968</v>
      </c>
      <c r="F1351" s="21" t="s">
        <v>5969</v>
      </c>
      <c r="G1351" s="22" t="s">
        <v>7827</v>
      </c>
      <c r="H1351" s="22" t="s">
        <v>5835</v>
      </c>
      <c r="I1351" s="22">
        <v>16.8</v>
      </c>
      <c r="K1351" s="22" t="s">
        <v>5835</v>
      </c>
      <c r="N1351" s="25" t="s">
        <v>7228</v>
      </c>
      <c r="O1351" s="25" t="s">
        <v>5835</v>
      </c>
      <c r="R1351" s="22" t="s">
        <v>5940</v>
      </c>
    </row>
    <row r="1352" spans="3:18" ht="16">
      <c r="C1352" s="19" t="s">
        <v>1080</v>
      </c>
      <c r="D1352" s="20" t="s">
        <v>3004</v>
      </c>
      <c r="E1352" s="21" t="s">
        <v>6209</v>
      </c>
      <c r="F1352" s="21" t="s">
        <v>5913</v>
      </c>
      <c r="G1352" s="22" t="s">
        <v>5962</v>
      </c>
      <c r="H1352" s="22" t="s">
        <v>5835</v>
      </c>
      <c r="I1352" s="22">
        <v>26.4</v>
      </c>
      <c r="K1352" s="22" t="s">
        <v>5835</v>
      </c>
      <c r="N1352" s="25" t="s">
        <v>7229</v>
      </c>
      <c r="O1352" s="25" t="s">
        <v>5835</v>
      </c>
      <c r="R1352" s="22" t="s">
        <v>5962</v>
      </c>
    </row>
    <row r="1353" spans="3:18" ht="16">
      <c r="C1353" s="19" t="s">
        <v>1082</v>
      </c>
      <c r="D1353" s="20" t="s">
        <v>3006</v>
      </c>
      <c r="E1353" s="21" t="s">
        <v>6209</v>
      </c>
      <c r="F1353" s="21" t="s">
        <v>5913</v>
      </c>
      <c r="G1353" s="22" t="s">
        <v>5913</v>
      </c>
      <c r="H1353" s="22" t="s">
        <v>5835</v>
      </c>
      <c r="I1353" s="22">
        <v>18.399999999999999</v>
      </c>
      <c r="K1353" s="22" t="s">
        <v>5835</v>
      </c>
      <c r="N1353" s="25" t="s">
        <v>7230</v>
      </c>
      <c r="O1353" s="25" t="s">
        <v>5835</v>
      </c>
      <c r="R1353" s="22" t="s">
        <v>5913</v>
      </c>
    </row>
    <row r="1354" spans="3:18" ht="16">
      <c r="C1354" s="19" t="s">
        <v>1084</v>
      </c>
      <c r="D1354" s="20" t="s">
        <v>3008</v>
      </c>
      <c r="E1354" s="21" t="s">
        <v>5923</v>
      </c>
      <c r="F1354" s="21" t="s">
        <v>5831</v>
      </c>
      <c r="G1354" s="22" t="s">
        <v>5840</v>
      </c>
      <c r="H1354" s="22" t="s">
        <v>5835</v>
      </c>
      <c r="I1354" s="22">
        <v>50.1</v>
      </c>
      <c r="K1354" s="22" t="s">
        <v>5835</v>
      </c>
      <c r="N1354" s="25" t="s">
        <v>7231</v>
      </c>
      <c r="O1354" s="25" t="s">
        <v>5835</v>
      </c>
      <c r="R1354" s="22" t="s">
        <v>5840</v>
      </c>
    </row>
    <row r="1355" spans="3:18" ht="16">
      <c r="C1355" s="19" t="s">
        <v>1085</v>
      </c>
      <c r="D1355" s="20" t="s">
        <v>3009</v>
      </c>
      <c r="E1355" s="21" t="s">
        <v>6209</v>
      </c>
      <c r="F1355" s="21" t="s">
        <v>5913</v>
      </c>
      <c r="G1355" s="22" t="s">
        <v>5962</v>
      </c>
      <c r="H1355" s="22" t="s">
        <v>5835</v>
      </c>
      <c r="I1355" s="22">
        <v>59.7</v>
      </c>
      <c r="K1355" s="22" t="s">
        <v>5835</v>
      </c>
      <c r="N1355" s="25" t="s">
        <v>7232</v>
      </c>
      <c r="O1355" s="25" t="s">
        <v>5835</v>
      </c>
      <c r="R1355" s="22" t="s">
        <v>5962</v>
      </c>
    </row>
    <row r="1356" spans="3:18" ht="16">
      <c r="C1356" s="19" t="s">
        <v>7233</v>
      </c>
      <c r="D1356" s="20" t="s">
        <v>3010</v>
      </c>
      <c r="E1356" s="21" t="s">
        <v>6208</v>
      </c>
      <c r="F1356" s="21" t="s">
        <v>17</v>
      </c>
      <c r="G1356" s="22" t="s">
        <v>5911</v>
      </c>
      <c r="H1356" s="22" t="s">
        <v>5835</v>
      </c>
      <c r="I1356" s="22">
        <v>66.400000000000006</v>
      </c>
      <c r="K1356" s="22" t="s">
        <v>5835</v>
      </c>
      <c r="N1356" s="25" t="s">
        <v>7234</v>
      </c>
      <c r="O1356" s="25" t="s">
        <v>5835</v>
      </c>
      <c r="R1356" s="22" t="s">
        <v>5911</v>
      </c>
    </row>
    <row r="1357" spans="3:18" ht="16">
      <c r="C1357" s="19" t="s">
        <v>1087</v>
      </c>
      <c r="D1357" s="20" t="s">
        <v>3011</v>
      </c>
      <c r="E1357" s="21" t="s">
        <v>6074</v>
      </c>
      <c r="F1357" s="21" t="s">
        <v>6075</v>
      </c>
      <c r="G1357" s="22" t="s">
        <v>5891</v>
      </c>
      <c r="H1357" s="22" t="s">
        <v>5835</v>
      </c>
      <c r="I1357" s="22">
        <v>30.9</v>
      </c>
      <c r="K1357" s="22" t="s">
        <v>5835</v>
      </c>
      <c r="N1357" s="25" t="s">
        <v>7235</v>
      </c>
      <c r="O1357" s="25" t="s">
        <v>5835</v>
      </c>
      <c r="R1357" s="22" t="s">
        <v>5891</v>
      </c>
    </row>
    <row r="1358" spans="3:18" ht="16">
      <c r="C1358" s="19" t="s">
        <v>1092</v>
      </c>
      <c r="D1358" s="20" t="s">
        <v>3016</v>
      </c>
      <c r="E1358" s="21" t="s">
        <v>6219</v>
      </c>
      <c r="F1358" s="21" t="s">
        <v>17</v>
      </c>
      <c r="G1358" s="22" t="s">
        <v>7825</v>
      </c>
      <c r="H1358" s="22" t="s">
        <v>5835</v>
      </c>
      <c r="I1358" s="22">
        <v>11</v>
      </c>
      <c r="K1358" s="22" t="s">
        <v>5835</v>
      </c>
      <c r="N1358" s="25" t="s">
        <v>5835</v>
      </c>
      <c r="O1358" s="25" t="s">
        <v>5835</v>
      </c>
      <c r="R1358" s="22" t="s">
        <v>6202</v>
      </c>
    </row>
    <row r="1359" spans="3:18" ht="16">
      <c r="C1359" s="19" t="s">
        <v>1093</v>
      </c>
      <c r="D1359" s="20" t="s">
        <v>3017</v>
      </c>
      <c r="E1359" s="21" t="s">
        <v>6252</v>
      </c>
      <c r="F1359" s="21" t="s">
        <v>6080</v>
      </c>
      <c r="G1359" s="22" t="s">
        <v>5915</v>
      </c>
      <c r="H1359" s="22" t="s">
        <v>5835</v>
      </c>
      <c r="I1359" s="22">
        <v>5.3</v>
      </c>
      <c r="K1359" s="22" t="s">
        <v>5835</v>
      </c>
      <c r="N1359" s="25" t="s">
        <v>7236</v>
      </c>
      <c r="O1359" s="25" t="s">
        <v>5835</v>
      </c>
      <c r="R1359" s="22" t="s">
        <v>5915</v>
      </c>
    </row>
    <row r="1360" spans="3:18" ht="16">
      <c r="C1360" s="19" t="s">
        <v>1096</v>
      </c>
      <c r="D1360" s="20" t="s">
        <v>3020</v>
      </c>
      <c r="E1360" s="21" t="s">
        <v>6277</v>
      </c>
      <c r="F1360" s="21" t="s">
        <v>17</v>
      </c>
      <c r="G1360" s="22" t="s">
        <v>5995</v>
      </c>
      <c r="H1360" s="22" t="s">
        <v>7828</v>
      </c>
      <c r="I1360" s="22">
        <v>67.2</v>
      </c>
      <c r="K1360" s="22" t="s">
        <v>5835</v>
      </c>
      <c r="N1360" s="25" t="s">
        <v>7237</v>
      </c>
      <c r="O1360" s="25" t="s">
        <v>5835</v>
      </c>
      <c r="R1360" s="22" t="s">
        <v>5995</v>
      </c>
    </row>
    <row r="1361" spans="3:18" ht="16">
      <c r="C1361" s="19" t="s">
        <v>1097</v>
      </c>
      <c r="D1361" s="20" t="s">
        <v>3021</v>
      </c>
      <c r="E1361" s="21" t="s">
        <v>6505</v>
      </c>
      <c r="F1361" s="21" t="s">
        <v>6200</v>
      </c>
      <c r="G1361" s="22" t="s">
        <v>5985</v>
      </c>
      <c r="H1361" s="22" t="s">
        <v>5835</v>
      </c>
      <c r="I1361" s="22">
        <v>61.9</v>
      </c>
      <c r="K1361" s="22" t="s">
        <v>5835</v>
      </c>
      <c r="N1361" s="25" t="s">
        <v>7238</v>
      </c>
      <c r="O1361" s="25" t="s">
        <v>5835</v>
      </c>
      <c r="R1361" s="22" t="s">
        <v>5985</v>
      </c>
    </row>
    <row r="1362" spans="3:18" ht="16">
      <c r="C1362" s="19" t="s">
        <v>1101</v>
      </c>
      <c r="D1362" s="20" t="s">
        <v>3025</v>
      </c>
      <c r="E1362" s="21" t="s">
        <v>6208</v>
      </c>
      <c r="F1362" s="21" t="s">
        <v>17</v>
      </c>
      <c r="G1362" s="22" t="s">
        <v>5943</v>
      </c>
      <c r="H1362" s="22" t="s">
        <v>5835</v>
      </c>
      <c r="I1362" s="22">
        <v>19</v>
      </c>
      <c r="K1362" s="22" t="s">
        <v>5835</v>
      </c>
      <c r="N1362" s="25" t="s">
        <v>7239</v>
      </c>
      <c r="O1362" s="25" t="s">
        <v>5835</v>
      </c>
      <c r="R1362" s="22" t="s">
        <v>5943</v>
      </c>
    </row>
    <row r="1363" spans="3:18" ht="16">
      <c r="C1363" s="19" t="s">
        <v>7240</v>
      </c>
      <c r="D1363" s="20" t="s">
        <v>7241</v>
      </c>
      <c r="E1363" s="21" t="s">
        <v>6257</v>
      </c>
      <c r="F1363" s="21" t="s">
        <v>10</v>
      </c>
      <c r="G1363" s="22" t="s">
        <v>5947</v>
      </c>
      <c r="H1363" s="22" t="s">
        <v>5835</v>
      </c>
      <c r="I1363" s="22">
        <v>22.1</v>
      </c>
      <c r="K1363" s="22" t="s">
        <v>5835</v>
      </c>
      <c r="N1363" s="25" t="s">
        <v>7242</v>
      </c>
      <c r="O1363" s="25" t="s">
        <v>5835</v>
      </c>
      <c r="R1363" s="22" t="s">
        <v>5947</v>
      </c>
    </row>
    <row r="1364" spans="3:18" ht="16">
      <c r="C1364" s="19" t="s">
        <v>1104</v>
      </c>
      <c r="D1364" s="20" t="s">
        <v>3028</v>
      </c>
      <c r="E1364" s="21" t="s">
        <v>6664</v>
      </c>
      <c r="F1364" s="21" t="s">
        <v>6314</v>
      </c>
      <c r="G1364" s="22" t="s">
        <v>5997</v>
      </c>
      <c r="H1364" s="22" t="s">
        <v>7828</v>
      </c>
      <c r="I1364" s="22">
        <v>13.1</v>
      </c>
      <c r="K1364" s="22" t="s">
        <v>5835</v>
      </c>
      <c r="N1364" s="25" t="s">
        <v>7243</v>
      </c>
      <c r="O1364" s="25" t="s">
        <v>5835</v>
      </c>
      <c r="R1364" s="22" t="s">
        <v>5997</v>
      </c>
    </row>
    <row r="1365" spans="3:18" ht="16">
      <c r="C1365" s="19" t="s">
        <v>1106</v>
      </c>
      <c r="D1365" s="20" t="s">
        <v>7244</v>
      </c>
      <c r="E1365" s="21" t="s">
        <v>6497</v>
      </c>
      <c r="F1365" s="21" t="s">
        <v>6200</v>
      </c>
      <c r="G1365" s="22" t="s">
        <v>5865</v>
      </c>
      <c r="H1365" s="22" t="s">
        <v>5835</v>
      </c>
      <c r="I1365" s="22">
        <v>13.5</v>
      </c>
      <c r="K1365" s="22" t="s">
        <v>5835</v>
      </c>
      <c r="N1365" s="25" t="s">
        <v>7245</v>
      </c>
      <c r="O1365" s="25" t="s">
        <v>5835</v>
      </c>
      <c r="R1365" s="22" t="s">
        <v>5865</v>
      </c>
    </row>
    <row r="1366" spans="3:18" ht="16">
      <c r="C1366" s="19" t="s">
        <v>1107</v>
      </c>
      <c r="D1366" s="20" t="s">
        <v>3030</v>
      </c>
      <c r="E1366" s="21" t="s">
        <v>6257</v>
      </c>
      <c r="F1366" s="21" t="s">
        <v>10</v>
      </c>
      <c r="G1366" s="22" t="s">
        <v>7825</v>
      </c>
      <c r="H1366" s="22" t="s">
        <v>5835</v>
      </c>
      <c r="I1366" s="22">
        <v>21.8</v>
      </c>
      <c r="K1366" s="22" t="s">
        <v>5835</v>
      </c>
      <c r="N1366" s="25" t="s">
        <v>5835</v>
      </c>
      <c r="O1366" s="25" t="s">
        <v>5835</v>
      </c>
      <c r="R1366" s="22" t="s">
        <v>6202</v>
      </c>
    </row>
    <row r="1367" spans="3:18" ht="16">
      <c r="C1367" s="19" t="s">
        <v>1109</v>
      </c>
      <c r="D1367" s="20" t="s">
        <v>3032</v>
      </c>
      <c r="E1367" s="21" t="s">
        <v>6313</v>
      </c>
      <c r="F1367" s="21" t="s">
        <v>6314</v>
      </c>
      <c r="G1367" s="22" t="s">
        <v>5958</v>
      </c>
      <c r="H1367" s="22" t="s">
        <v>5835</v>
      </c>
      <c r="I1367" s="22">
        <v>71.2</v>
      </c>
      <c r="K1367" s="22" t="s">
        <v>5835</v>
      </c>
      <c r="N1367" s="25" t="s">
        <v>7246</v>
      </c>
      <c r="O1367" s="25" t="s">
        <v>5835</v>
      </c>
      <c r="R1367" s="22" t="s">
        <v>5958</v>
      </c>
    </row>
    <row r="1368" spans="3:18" ht="16">
      <c r="C1368" s="19" t="s">
        <v>1114</v>
      </c>
      <c r="D1368" s="20" t="s">
        <v>3037</v>
      </c>
      <c r="E1368" s="21" t="s">
        <v>6257</v>
      </c>
      <c r="F1368" s="21" t="s">
        <v>10</v>
      </c>
      <c r="G1368" s="22" t="s">
        <v>5978</v>
      </c>
      <c r="H1368" s="22" t="s">
        <v>7828</v>
      </c>
      <c r="I1368" s="22">
        <v>471</v>
      </c>
      <c r="K1368" s="22" t="s">
        <v>5835</v>
      </c>
      <c r="N1368" s="25" t="s">
        <v>7247</v>
      </c>
      <c r="O1368" s="25" t="s">
        <v>5835</v>
      </c>
      <c r="R1368" s="22" t="s">
        <v>5978</v>
      </c>
    </row>
    <row r="1369" spans="3:18" ht="16">
      <c r="C1369" s="19" t="s">
        <v>1117</v>
      </c>
      <c r="D1369" s="20" t="s">
        <v>3040</v>
      </c>
      <c r="E1369" s="21" t="s">
        <v>6228</v>
      </c>
      <c r="F1369" s="21" t="s">
        <v>8</v>
      </c>
      <c r="G1369" s="22" t="s">
        <v>5962</v>
      </c>
      <c r="H1369" s="22" t="s">
        <v>7828</v>
      </c>
      <c r="I1369" s="22">
        <v>66.400000000000006</v>
      </c>
      <c r="K1369" s="22" t="s">
        <v>5835</v>
      </c>
      <c r="N1369" s="25" t="s">
        <v>7248</v>
      </c>
      <c r="O1369" s="25" t="s">
        <v>5835</v>
      </c>
      <c r="R1369" s="22" t="s">
        <v>5962</v>
      </c>
    </row>
    <row r="1370" spans="3:18" ht="16">
      <c r="C1370" s="19" t="s">
        <v>1118</v>
      </c>
      <c r="D1370" s="20" t="s">
        <v>3041</v>
      </c>
      <c r="E1370" s="21" t="s">
        <v>6199</v>
      </c>
      <c r="F1370" s="21" t="s">
        <v>6200</v>
      </c>
      <c r="G1370" s="22" t="s">
        <v>5881</v>
      </c>
      <c r="H1370" s="22" t="s">
        <v>5835</v>
      </c>
      <c r="I1370" s="22">
        <v>10.3</v>
      </c>
      <c r="K1370" s="22" t="s">
        <v>5835</v>
      </c>
      <c r="N1370" s="25" t="s">
        <v>7249</v>
      </c>
      <c r="O1370" s="25" t="s">
        <v>5835</v>
      </c>
      <c r="R1370" s="22" t="s">
        <v>5881</v>
      </c>
    </row>
    <row r="1371" spans="3:18" ht="16">
      <c r="C1371" s="19" t="s">
        <v>1119</v>
      </c>
      <c r="D1371" s="20" t="s">
        <v>3042</v>
      </c>
      <c r="E1371" s="21" t="s">
        <v>6257</v>
      </c>
      <c r="F1371" s="21" t="s">
        <v>10</v>
      </c>
      <c r="G1371" s="22" t="s">
        <v>5928</v>
      </c>
      <c r="H1371" s="22" t="s">
        <v>5835</v>
      </c>
      <c r="I1371" s="22">
        <v>15.9</v>
      </c>
      <c r="K1371" s="22" t="s">
        <v>5835</v>
      </c>
      <c r="N1371" s="25" t="s">
        <v>7250</v>
      </c>
      <c r="O1371" s="25" t="s">
        <v>5835</v>
      </c>
      <c r="R1371" s="22" t="s">
        <v>5928</v>
      </c>
    </row>
    <row r="1372" spans="3:18" ht="16">
      <c r="C1372" s="19" t="s">
        <v>1120</v>
      </c>
      <c r="D1372" s="20" t="s">
        <v>3043</v>
      </c>
      <c r="E1372" s="21" t="s">
        <v>6204</v>
      </c>
      <c r="F1372" s="21" t="s">
        <v>6080</v>
      </c>
      <c r="G1372" s="22" t="s">
        <v>5991</v>
      </c>
      <c r="H1372" s="22" t="s">
        <v>5835</v>
      </c>
      <c r="I1372" s="22">
        <v>57</v>
      </c>
      <c r="K1372" s="22" t="s">
        <v>5835</v>
      </c>
      <c r="N1372" s="25" t="s">
        <v>7251</v>
      </c>
      <c r="O1372" s="25" t="s">
        <v>5835</v>
      </c>
      <c r="R1372" s="22" t="s">
        <v>5991</v>
      </c>
    </row>
    <row r="1373" spans="3:18" ht="16">
      <c r="C1373" s="19" t="s">
        <v>1123</v>
      </c>
      <c r="D1373" s="20" t="s">
        <v>3046</v>
      </c>
      <c r="E1373" s="21" t="s">
        <v>6209</v>
      </c>
      <c r="F1373" s="21" t="s">
        <v>5913</v>
      </c>
      <c r="G1373" s="22" t="s">
        <v>5962</v>
      </c>
      <c r="H1373" s="22" t="s">
        <v>7828</v>
      </c>
      <c r="I1373" s="22">
        <v>276.7</v>
      </c>
      <c r="K1373" s="22" t="s">
        <v>5835</v>
      </c>
      <c r="N1373" s="25" t="s">
        <v>7252</v>
      </c>
      <c r="O1373" s="25" t="s">
        <v>5835</v>
      </c>
      <c r="R1373" s="22" t="s">
        <v>5962</v>
      </c>
    </row>
    <row r="1374" spans="3:18" ht="16">
      <c r="C1374" s="19" t="s">
        <v>1124</v>
      </c>
      <c r="D1374" s="20" t="s">
        <v>3047</v>
      </c>
      <c r="E1374" s="21" t="s">
        <v>6252</v>
      </c>
      <c r="F1374" s="21" t="s">
        <v>6080</v>
      </c>
      <c r="G1374" s="22" t="s">
        <v>7825</v>
      </c>
      <c r="H1374" s="22" t="s">
        <v>5835</v>
      </c>
      <c r="I1374" s="22">
        <v>26.1</v>
      </c>
      <c r="K1374" s="22" t="s">
        <v>5835</v>
      </c>
      <c r="N1374" s="25" t="s">
        <v>7253</v>
      </c>
      <c r="O1374" s="25" t="s">
        <v>5835</v>
      </c>
      <c r="R1374" s="22" t="s">
        <v>6202</v>
      </c>
    </row>
    <row r="1375" spans="3:18" ht="16">
      <c r="C1375" s="19" t="s">
        <v>1126</v>
      </c>
      <c r="D1375" s="20" t="s">
        <v>3049</v>
      </c>
      <c r="E1375" s="21" t="s">
        <v>6230</v>
      </c>
      <c r="F1375" s="21" t="s">
        <v>6231</v>
      </c>
      <c r="G1375" s="22" t="s">
        <v>5962</v>
      </c>
      <c r="H1375" s="22" t="s">
        <v>7828</v>
      </c>
      <c r="I1375" s="22">
        <v>177.8</v>
      </c>
      <c r="K1375" s="22" t="s">
        <v>5835</v>
      </c>
      <c r="N1375" s="25" t="s">
        <v>7254</v>
      </c>
      <c r="O1375" s="25" t="s">
        <v>5835</v>
      </c>
      <c r="R1375" s="22" t="s">
        <v>5962</v>
      </c>
    </row>
    <row r="1376" spans="3:18" ht="16">
      <c r="C1376" s="19" t="s">
        <v>1128</v>
      </c>
      <c r="D1376" s="20" t="s">
        <v>3051</v>
      </c>
      <c r="E1376" s="21" t="s">
        <v>6297</v>
      </c>
      <c r="F1376" s="21" t="s">
        <v>6200</v>
      </c>
      <c r="G1376" s="22" t="s">
        <v>5949</v>
      </c>
      <c r="H1376" s="22" t="s">
        <v>5835</v>
      </c>
      <c r="I1376" s="22">
        <v>21.2</v>
      </c>
      <c r="K1376" s="22" t="s">
        <v>5835</v>
      </c>
      <c r="N1376" s="25" t="s">
        <v>7255</v>
      </c>
      <c r="O1376" s="25" t="s">
        <v>5835</v>
      </c>
      <c r="R1376" s="22" t="s">
        <v>5949</v>
      </c>
    </row>
    <row r="1377" spans="3:18" ht="16">
      <c r="C1377" s="19" t="s">
        <v>1131</v>
      </c>
      <c r="D1377" s="20" t="s">
        <v>3054</v>
      </c>
      <c r="E1377" s="21" t="s">
        <v>6054</v>
      </c>
      <c r="F1377" s="21" t="s">
        <v>6055</v>
      </c>
      <c r="G1377" s="22" t="s">
        <v>5970</v>
      </c>
      <c r="H1377" s="22" t="s">
        <v>5835</v>
      </c>
      <c r="I1377" s="22">
        <v>208.5</v>
      </c>
      <c r="K1377" s="22" t="s">
        <v>5835</v>
      </c>
      <c r="N1377" s="25" t="s">
        <v>7256</v>
      </c>
      <c r="O1377" s="25" t="s">
        <v>5835</v>
      </c>
      <c r="R1377" s="22" t="s">
        <v>5970</v>
      </c>
    </row>
    <row r="1378" spans="3:18" ht="16">
      <c r="C1378" s="19" t="s">
        <v>1132</v>
      </c>
      <c r="D1378" s="20" t="s">
        <v>3055</v>
      </c>
      <c r="E1378" s="21" t="s">
        <v>6054</v>
      </c>
      <c r="F1378" s="21" t="s">
        <v>6055</v>
      </c>
      <c r="G1378" s="22" t="s">
        <v>5865</v>
      </c>
      <c r="H1378" s="22" t="s">
        <v>5835</v>
      </c>
      <c r="I1378" s="22">
        <v>13</v>
      </c>
      <c r="K1378" s="22" t="s">
        <v>5835</v>
      </c>
      <c r="N1378" s="25" t="s">
        <v>7257</v>
      </c>
      <c r="O1378" s="25" t="s">
        <v>5835</v>
      </c>
      <c r="R1378" s="22" t="s">
        <v>5865</v>
      </c>
    </row>
    <row r="1379" spans="3:18" ht="16">
      <c r="C1379" s="19" t="s">
        <v>1133</v>
      </c>
      <c r="D1379" s="20" t="s">
        <v>3056</v>
      </c>
      <c r="E1379" s="21" t="s">
        <v>6054</v>
      </c>
      <c r="F1379" s="21" t="s">
        <v>6055</v>
      </c>
      <c r="G1379" s="22" t="s">
        <v>5865</v>
      </c>
      <c r="H1379" s="22" t="s">
        <v>5835</v>
      </c>
      <c r="I1379" s="22">
        <v>34.799999999999997</v>
      </c>
      <c r="K1379" s="22" t="s">
        <v>5835</v>
      </c>
      <c r="N1379" s="25" t="s">
        <v>7258</v>
      </c>
      <c r="O1379" s="25" t="s">
        <v>5835</v>
      </c>
      <c r="R1379" s="22" t="s">
        <v>5865</v>
      </c>
    </row>
    <row r="1380" spans="3:18" ht="16">
      <c r="C1380" s="19" t="s">
        <v>1134</v>
      </c>
      <c r="D1380" s="20" t="s">
        <v>3057</v>
      </c>
      <c r="E1380" s="21" t="s">
        <v>6054</v>
      </c>
      <c r="F1380" s="21" t="s">
        <v>6055</v>
      </c>
      <c r="G1380" s="22" t="s">
        <v>5865</v>
      </c>
      <c r="H1380" s="22" t="s">
        <v>5835</v>
      </c>
      <c r="I1380" s="22">
        <v>20.8</v>
      </c>
      <c r="K1380" s="22" t="s">
        <v>5835</v>
      </c>
      <c r="N1380" s="25" t="s">
        <v>7259</v>
      </c>
      <c r="O1380" s="25" t="s">
        <v>5835</v>
      </c>
      <c r="R1380" s="22" t="s">
        <v>5865</v>
      </c>
    </row>
    <row r="1381" spans="3:18" ht="16">
      <c r="C1381" s="19" t="s">
        <v>1135</v>
      </c>
      <c r="D1381" s="20" t="s">
        <v>3058</v>
      </c>
      <c r="E1381" s="21" t="s">
        <v>6054</v>
      </c>
      <c r="F1381" s="21" t="s">
        <v>6055</v>
      </c>
      <c r="G1381" s="22" t="s">
        <v>5865</v>
      </c>
      <c r="H1381" s="22" t="s">
        <v>5835</v>
      </c>
      <c r="I1381" s="22">
        <v>19.8</v>
      </c>
      <c r="K1381" s="22" t="s">
        <v>5835</v>
      </c>
      <c r="N1381" s="25" t="s">
        <v>7260</v>
      </c>
      <c r="O1381" s="25" t="s">
        <v>5835</v>
      </c>
      <c r="R1381" s="22" t="s">
        <v>5865</v>
      </c>
    </row>
    <row r="1382" spans="3:18" ht="16">
      <c r="C1382" s="19" t="s">
        <v>1136</v>
      </c>
      <c r="D1382" s="20" t="s">
        <v>3059</v>
      </c>
      <c r="E1382" s="21" t="s">
        <v>6054</v>
      </c>
      <c r="F1382" s="21" t="s">
        <v>6055</v>
      </c>
      <c r="G1382" s="22" t="s">
        <v>5865</v>
      </c>
      <c r="H1382" s="22" t="s">
        <v>5835</v>
      </c>
      <c r="I1382" s="22">
        <v>12.3</v>
      </c>
      <c r="K1382" s="22" t="s">
        <v>5835</v>
      </c>
      <c r="N1382" s="25" t="s">
        <v>7261</v>
      </c>
      <c r="O1382" s="25" t="s">
        <v>5835</v>
      </c>
      <c r="R1382" s="22" t="s">
        <v>5865</v>
      </c>
    </row>
    <row r="1383" spans="3:18" ht="16">
      <c r="C1383" s="19" t="s">
        <v>1137</v>
      </c>
      <c r="D1383" s="20" t="s">
        <v>3060</v>
      </c>
      <c r="E1383" s="21" t="s">
        <v>6313</v>
      </c>
      <c r="F1383" s="21" t="s">
        <v>6314</v>
      </c>
      <c r="G1383" s="22" t="s">
        <v>5958</v>
      </c>
      <c r="H1383" s="22" t="s">
        <v>5835</v>
      </c>
      <c r="I1383" s="22">
        <v>13.2</v>
      </c>
      <c r="K1383" s="22" t="s">
        <v>5835</v>
      </c>
      <c r="N1383" s="25" t="s">
        <v>7262</v>
      </c>
      <c r="O1383" s="25" t="s">
        <v>5835</v>
      </c>
      <c r="R1383" s="22" t="s">
        <v>5958</v>
      </c>
    </row>
    <row r="1384" spans="3:18" ht="16">
      <c r="C1384" s="19" t="s">
        <v>1138</v>
      </c>
      <c r="D1384" s="20" t="s">
        <v>3061</v>
      </c>
      <c r="E1384" s="21" t="s">
        <v>6521</v>
      </c>
      <c r="F1384" s="21" t="s">
        <v>6314</v>
      </c>
      <c r="G1384" s="22" t="s">
        <v>5958</v>
      </c>
      <c r="H1384" s="22" t="s">
        <v>5835</v>
      </c>
      <c r="I1384" s="22">
        <v>18.600000000000001</v>
      </c>
      <c r="K1384" s="22" t="s">
        <v>5835</v>
      </c>
      <c r="N1384" s="25" t="s">
        <v>7263</v>
      </c>
      <c r="O1384" s="25" t="s">
        <v>5835</v>
      </c>
      <c r="R1384" s="22" t="s">
        <v>5958</v>
      </c>
    </row>
    <row r="1385" spans="3:18" ht="16">
      <c r="C1385" s="19" t="s">
        <v>1140</v>
      </c>
      <c r="D1385" s="20" t="s">
        <v>3063</v>
      </c>
      <c r="E1385" s="21" t="s">
        <v>6313</v>
      </c>
      <c r="F1385" s="21" t="s">
        <v>6314</v>
      </c>
      <c r="G1385" s="22" t="s">
        <v>7825</v>
      </c>
      <c r="H1385" s="22" t="s">
        <v>5835</v>
      </c>
      <c r="I1385" s="22">
        <v>4.2</v>
      </c>
      <c r="K1385" s="22" t="s">
        <v>5835</v>
      </c>
      <c r="N1385" s="25" t="s">
        <v>7264</v>
      </c>
      <c r="O1385" s="25" t="s">
        <v>5835</v>
      </c>
      <c r="R1385" s="22" t="s">
        <v>6202</v>
      </c>
    </row>
    <row r="1386" spans="3:18" ht="16">
      <c r="C1386" s="19" t="s">
        <v>1141</v>
      </c>
      <c r="D1386" s="20" t="s">
        <v>3064</v>
      </c>
      <c r="E1386" s="21" t="s">
        <v>5923</v>
      </c>
      <c r="F1386" s="21" t="s">
        <v>5831</v>
      </c>
      <c r="G1386" s="22" t="s">
        <v>5840</v>
      </c>
      <c r="H1386" s="22" t="s">
        <v>5835</v>
      </c>
      <c r="I1386" s="22">
        <v>58.1</v>
      </c>
      <c r="K1386" s="22" t="s">
        <v>5835</v>
      </c>
      <c r="N1386" s="25" t="s">
        <v>7265</v>
      </c>
      <c r="O1386" s="25" t="s">
        <v>5835</v>
      </c>
      <c r="R1386" s="22" t="s">
        <v>5840</v>
      </c>
    </row>
    <row r="1387" spans="3:18" ht="16">
      <c r="C1387" s="19" t="s">
        <v>1142</v>
      </c>
      <c r="D1387" s="20" t="s">
        <v>3065</v>
      </c>
      <c r="E1387" s="21" t="s">
        <v>6313</v>
      </c>
      <c r="F1387" s="21" t="s">
        <v>6314</v>
      </c>
      <c r="G1387" s="22" t="s">
        <v>5958</v>
      </c>
      <c r="H1387" s="22" t="s">
        <v>5835</v>
      </c>
      <c r="I1387" s="22">
        <v>32.1</v>
      </c>
      <c r="K1387" s="22" t="s">
        <v>5835</v>
      </c>
      <c r="N1387" s="25" t="s">
        <v>7266</v>
      </c>
      <c r="O1387" s="25" t="s">
        <v>5835</v>
      </c>
      <c r="R1387" s="22" t="s">
        <v>5958</v>
      </c>
    </row>
    <row r="1388" spans="3:18" ht="16">
      <c r="C1388" s="19" t="s">
        <v>1143</v>
      </c>
      <c r="D1388" s="20" t="s">
        <v>3066</v>
      </c>
      <c r="E1388" s="21" t="s">
        <v>6313</v>
      </c>
      <c r="F1388" s="21" t="s">
        <v>6314</v>
      </c>
      <c r="G1388" s="22" t="s">
        <v>5958</v>
      </c>
      <c r="H1388" s="22" t="s">
        <v>5835</v>
      </c>
      <c r="I1388" s="22">
        <v>22.6</v>
      </c>
      <c r="K1388" s="22" t="s">
        <v>5835</v>
      </c>
      <c r="N1388" s="25" t="s">
        <v>7267</v>
      </c>
      <c r="O1388" s="25" t="s">
        <v>5835</v>
      </c>
      <c r="R1388" s="22" t="s">
        <v>5958</v>
      </c>
    </row>
    <row r="1389" spans="3:18" ht="16">
      <c r="C1389" s="19" t="s">
        <v>1144</v>
      </c>
      <c r="D1389" s="20" t="s">
        <v>3067</v>
      </c>
      <c r="E1389" s="21" t="s">
        <v>6521</v>
      </c>
      <c r="F1389" s="21" t="s">
        <v>6314</v>
      </c>
      <c r="G1389" s="22" t="s">
        <v>7825</v>
      </c>
      <c r="H1389" s="22" t="s">
        <v>5835</v>
      </c>
      <c r="I1389" s="22">
        <v>7.3</v>
      </c>
      <c r="K1389" s="22" t="s">
        <v>5835</v>
      </c>
      <c r="N1389" s="25" t="s">
        <v>7268</v>
      </c>
      <c r="O1389" s="25" t="s">
        <v>5835</v>
      </c>
      <c r="R1389" s="22" t="s">
        <v>6202</v>
      </c>
    </row>
    <row r="1390" spans="3:18" ht="16">
      <c r="C1390" s="19" t="s">
        <v>1145</v>
      </c>
      <c r="D1390" s="20" t="s">
        <v>3068</v>
      </c>
      <c r="E1390" s="21" t="s">
        <v>6313</v>
      </c>
      <c r="F1390" s="21" t="s">
        <v>6314</v>
      </c>
      <c r="G1390" s="22" t="s">
        <v>5958</v>
      </c>
      <c r="H1390" s="22" t="s">
        <v>5835</v>
      </c>
      <c r="I1390" s="22">
        <v>16</v>
      </c>
      <c r="K1390" s="22" t="s">
        <v>5835</v>
      </c>
      <c r="N1390" s="25" t="s">
        <v>7269</v>
      </c>
      <c r="O1390" s="25" t="s">
        <v>5835</v>
      </c>
      <c r="R1390" s="22" t="s">
        <v>5958</v>
      </c>
    </row>
    <row r="1391" spans="3:18" ht="16">
      <c r="C1391" s="19" t="s">
        <v>1146</v>
      </c>
      <c r="D1391" s="20" t="s">
        <v>3069</v>
      </c>
      <c r="E1391" s="21" t="s">
        <v>5923</v>
      </c>
      <c r="F1391" s="21" t="s">
        <v>5831</v>
      </c>
      <c r="G1391" s="22" t="s">
        <v>5840</v>
      </c>
      <c r="H1391" s="22" t="s">
        <v>5835</v>
      </c>
      <c r="I1391" s="22">
        <v>195.2</v>
      </c>
      <c r="K1391" s="22" t="s">
        <v>5835</v>
      </c>
      <c r="N1391" s="25" t="s">
        <v>6950</v>
      </c>
      <c r="O1391" s="25" t="s">
        <v>5835</v>
      </c>
      <c r="R1391" s="22" t="s">
        <v>5840</v>
      </c>
    </row>
    <row r="1392" spans="3:18" ht="16">
      <c r="C1392" s="19" t="s">
        <v>1148</v>
      </c>
      <c r="D1392" s="20" t="s">
        <v>3071</v>
      </c>
      <c r="E1392" s="21" t="s">
        <v>6497</v>
      </c>
      <c r="F1392" s="21" t="s">
        <v>6200</v>
      </c>
      <c r="G1392" s="22" t="s">
        <v>5985</v>
      </c>
      <c r="H1392" s="22" t="s">
        <v>5835</v>
      </c>
      <c r="I1392" s="22">
        <v>7.5</v>
      </c>
      <c r="K1392" s="22" t="s">
        <v>5835</v>
      </c>
      <c r="N1392" s="25" t="s">
        <v>7270</v>
      </c>
      <c r="O1392" s="25" t="s">
        <v>5835</v>
      </c>
      <c r="R1392" s="22" t="s">
        <v>5985</v>
      </c>
    </row>
    <row r="1393" spans="3:18" ht="16">
      <c r="C1393" s="19" t="s">
        <v>1150</v>
      </c>
      <c r="D1393" s="20" t="s">
        <v>3073</v>
      </c>
      <c r="E1393" s="21" t="s">
        <v>6277</v>
      </c>
      <c r="F1393" s="21" t="s">
        <v>17</v>
      </c>
      <c r="G1393" s="22" t="s">
        <v>5873</v>
      </c>
      <c r="H1393" s="22" t="s">
        <v>5835</v>
      </c>
      <c r="I1393" s="22">
        <v>11.7</v>
      </c>
      <c r="K1393" s="22" t="s">
        <v>5835</v>
      </c>
      <c r="N1393" s="25" t="s">
        <v>7271</v>
      </c>
      <c r="O1393" s="25" t="s">
        <v>5835</v>
      </c>
      <c r="R1393" s="22" t="s">
        <v>5873</v>
      </c>
    </row>
    <row r="1394" spans="3:18" ht="16">
      <c r="C1394" s="19" t="s">
        <v>1152</v>
      </c>
      <c r="D1394" s="20" t="s">
        <v>3075</v>
      </c>
      <c r="E1394" s="21" t="s">
        <v>6166</v>
      </c>
      <c r="F1394" s="21" t="s">
        <v>6080</v>
      </c>
      <c r="G1394" s="22" t="s">
        <v>5995</v>
      </c>
      <c r="H1394" s="22" t="s">
        <v>5835</v>
      </c>
      <c r="I1394" s="22">
        <v>16.600000000000001</v>
      </c>
      <c r="K1394" s="22" t="s">
        <v>5835</v>
      </c>
      <c r="N1394" s="25" t="s">
        <v>7272</v>
      </c>
      <c r="O1394" s="25" t="s">
        <v>5835</v>
      </c>
      <c r="R1394" s="22" t="s">
        <v>5995</v>
      </c>
    </row>
    <row r="1395" spans="3:18" ht="16">
      <c r="C1395" s="19" t="s">
        <v>1153</v>
      </c>
      <c r="D1395" s="20" t="s">
        <v>3076</v>
      </c>
      <c r="E1395" s="21" t="s">
        <v>6219</v>
      </c>
      <c r="F1395" s="21" t="s">
        <v>17</v>
      </c>
      <c r="G1395" s="22" t="s">
        <v>7825</v>
      </c>
      <c r="H1395" s="22" t="s">
        <v>5835</v>
      </c>
      <c r="I1395" s="22">
        <v>6.4</v>
      </c>
      <c r="K1395" s="22" t="s">
        <v>5835</v>
      </c>
      <c r="N1395" s="25" t="s">
        <v>5835</v>
      </c>
      <c r="O1395" s="25" t="s">
        <v>5835</v>
      </c>
      <c r="R1395" s="22" t="s">
        <v>6202</v>
      </c>
    </row>
    <row r="1396" spans="3:18" ht="16">
      <c r="C1396" s="19" t="s">
        <v>1154</v>
      </c>
      <c r="D1396" s="20" t="s">
        <v>3077</v>
      </c>
      <c r="E1396" s="21" t="s">
        <v>6199</v>
      </c>
      <c r="F1396" s="21" t="s">
        <v>6200</v>
      </c>
      <c r="G1396" s="22" t="s">
        <v>5881</v>
      </c>
      <c r="H1396" s="22" t="s">
        <v>5835</v>
      </c>
      <c r="I1396" s="22">
        <v>11.1</v>
      </c>
      <c r="K1396" s="22" t="s">
        <v>5835</v>
      </c>
      <c r="N1396" s="25" t="s">
        <v>7273</v>
      </c>
      <c r="O1396" s="25" t="s">
        <v>5835</v>
      </c>
      <c r="R1396" s="22" t="s">
        <v>5881</v>
      </c>
    </row>
    <row r="1397" spans="3:18" ht="16">
      <c r="C1397" s="19" t="s">
        <v>1156</v>
      </c>
      <c r="D1397" s="20" t="s">
        <v>3079</v>
      </c>
      <c r="E1397" s="21" t="s">
        <v>6257</v>
      </c>
      <c r="F1397" s="21" t="s">
        <v>10</v>
      </c>
      <c r="G1397" s="22" t="s">
        <v>7825</v>
      </c>
      <c r="H1397" s="22" t="s">
        <v>5835</v>
      </c>
      <c r="I1397" s="22">
        <v>71.7</v>
      </c>
      <c r="K1397" s="22" t="s">
        <v>5835</v>
      </c>
      <c r="N1397" s="25" t="s">
        <v>7274</v>
      </c>
      <c r="O1397" s="25" t="s">
        <v>5835</v>
      </c>
      <c r="R1397" s="22" t="s">
        <v>6202</v>
      </c>
    </row>
    <row r="1398" spans="3:18" ht="16">
      <c r="C1398" s="19" t="s">
        <v>1159</v>
      </c>
      <c r="D1398" s="20" t="s">
        <v>3082</v>
      </c>
      <c r="E1398" s="21" t="s">
        <v>6297</v>
      </c>
      <c r="F1398" s="21" t="s">
        <v>6200</v>
      </c>
      <c r="G1398" s="22" t="s">
        <v>5949</v>
      </c>
      <c r="H1398" s="22" t="s">
        <v>5835</v>
      </c>
      <c r="I1398" s="22">
        <v>14.3</v>
      </c>
      <c r="K1398" s="22" t="s">
        <v>5835</v>
      </c>
      <c r="N1398" s="25" t="s">
        <v>7275</v>
      </c>
      <c r="O1398" s="25" t="s">
        <v>5835</v>
      </c>
      <c r="R1398" s="22" t="s">
        <v>5949</v>
      </c>
    </row>
    <row r="1399" spans="3:18" ht="16">
      <c r="C1399" s="19" t="s">
        <v>1160</v>
      </c>
      <c r="D1399" s="20" t="s">
        <v>3083</v>
      </c>
      <c r="E1399" s="21" t="s">
        <v>6280</v>
      </c>
      <c r="F1399" s="21" t="s">
        <v>6281</v>
      </c>
      <c r="G1399" s="22" t="s">
        <v>7825</v>
      </c>
      <c r="H1399" s="22" t="s">
        <v>7828</v>
      </c>
      <c r="I1399" s="22">
        <v>19.2</v>
      </c>
      <c r="K1399" s="22" t="s">
        <v>5835</v>
      </c>
      <c r="N1399" s="25" t="s">
        <v>7276</v>
      </c>
      <c r="O1399" s="25" t="s">
        <v>5835</v>
      </c>
      <c r="R1399" s="22" t="s">
        <v>6202</v>
      </c>
    </row>
    <row r="1400" spans="3:18" ht="16">
      <c r="C1400" s="19" t="s">
        <v>1162</v>
      </c>
      <c r="D1400" s="20" t="s">
        <v>3085</v>
      </c>
      <c r="E1400" s="21" t="s">
        <v>6521</v>
      </c>
      <c r="F1400" s="21" t="s">
        <v>6314</v>
      </c>
      <c r="G1400" s="22" t="s">
        <v>5958</v>
      </c>
      <c r="H1400" s="22" t="s">
        <v>5835</v>
      </c>
      <c r="I1400" s="22">
        <v>66.3</v>
      </c>
      <c r="K1400" s="22" t="s">
        <v>5835</v>
      </c>
      <c r="N1400" s="25" t="s">
        <v>7277</v>
      </c>
      <c r="O1400" s="25" t="s">
        <v>5835</v>
      </c>
      <c r="R1400" s="22" t="s">
        <v>5958</v>
      </c>
    </row>
    <row r="1401" spans="3:18" ht="16">
      <c r="C1401" s="19" t="s">
        <v>1164</v>
      </c>
      <c r="D1401" s="20" t="s">
        <v>3087</v>
      </c>
      <c r="E1401" s="21" t="s">
        <v>6257</v>
      </c>
      <c r="F1401" s="21" t="s">
        <v>10</v>
      </c>
      <c r="G1401" s="22" t="s">
        <v>5941</v>
      </c>
      <c r="H1401" s="22" t="s">
        <v>5835</v>
      </c>
      <c r="I1401" s="22">
        <v>12.9</v>
      </c>
      <c r="K1401" s="22" t="s">
        <v>5835</v>
      </c>
      <c r="N1401" s="25" t="s">
        <v>7278</v>
      </c>
      <c r="O1401" s="25" t="s">
        <v>5835</v>
      </c>
      <c r="R1401" s="22" t="s">
        <v>5941</v>
      </c>
    </row>
    <row r="1402" spans="3:18" ht="16">
      <c r="C1402" s="19" t="s">
        <v>1165</v>
      </c>
      <c r="D1402" s="20" t="s">
        <v>3088</v>
      </c>
      <c r="E1402" s="21" t="s">
        <v>6257</v>
      </c>
      <c r="F1402" s="21" t="s">
        <v>10</v>
      </c>
      <c r="G1402" s="22" t="s">
        <v>5988</v>
      </c>
      <c r="H1402" s="22" t="s">
        <v>7828</v>
      </c>
      <c r="I1402" s="22">
        <v>1948.6</v>
      </c>
      <c r="K1402" s="22" t="s">
        <v>5835</v>
      </c>
      <c r="N1402" s="25" t="s">
        <v>7279</v>
      </c>
      <c r="O1402" s="25" t="s">
        <v>5835</v>
      </c>
      <c r="R1402" s="22" t="s">
        <v>5988</v>
      </c>
    </row>
    <row r="1403" spans="3:18" ht="16">
      <c r="C1403" s="19" t="s">
        <v>1166</v>
      </c>
      <c r="D1403" s="20" t="s">
        <v>3089</v>
      </c>
      <c r="E1403" s="21" t="s">
        <v>5926</v>
      </c>
      <c r="F1403" s="21" t="s">
        <v>5927</v>
      </c>
      <c r="G1403" s="22" t="s">
        <v>5843</v>
      </c>
      <c r="H1403" s="22" t="s">
        <v>5835</v>
      </c>
      <c r="I1403" s="22">
        <v>5.9</v>
      </c>
      <c r="K1403" s="22" t="s">
        <v>5835</v>
      </c>
      <c r="N1403" s="25" t="s">
        <v>7280</v>
      </c>
      <c r="O1403" s="25" t="s">
        <v>5835</v>
      </c>
      <c r="R1403" s="22" t="s">
        <v>5843</v>
      </c>
    </row>
    <row r="1404" spans="3:18" ht="16">
      <c r="C1404" s="19" t="s">
        <v>1167</v>
      </c>
      <c r="D1404" s="20" t="s">
        <v>7281</v>
      </c>
      <c r="E1404" s="21" t="s">
        <v>6521</v>
      </c>
      <c r="F1404" s="21" t="s">
        <v>6314</v>
      </c>
      <c r="G1404" s="22" t="s">
        <v>5958</v>
      </c>
      <c r="H1404" s="22" t="s">
        <v>5835</v>
      </c>
      <c r="I1404" s="22">
        <v>108.9</v>
      </c>
      <c r="K1404" s="22" t="s">
        <v>5835</v>
      </c>
      <c r="N1404" s="25" t="s">
        <v>7282</v>
      </c>
      <c r="O1404" s="25" t="s">
        <v>5835</v>
      </c>
      <c r="R1404" s="22" t="s">
        <v>5958</v>
      </c>
    </row>
    <row r="1405" spans="3:18" ht="16">
      <c r="C1405" s="19" t="s">
        <v>1171</v>
      </c>
      <c r="D1405" s="20" t="s">
        <v>3093</v>
      </c>
      <c r="E1405" s="21" t="s">
        <v>6521</v>
      </c>
      <c r="F1405" s="21" t="s">
        <v>6314</v>
      </c>
      <c r="G1405" s="22" t="s">
        <v>5964</v>
      </c>
      <c r="H1405" s="22" t="s">
        <v>7828</v>
      </c>
      <c r="I1405" s="22">
        <v>106.4</v>
      </c>
      <c r="K1405" s="22" t="s">
        <v>5835</v>
      </c>
      <c r="N1405" s="25" t="s">
        <v>7283</v>
      </c>
      <c r="O1405" s="25" t="s">
        <v>5835</v>
      </c>
      <c r="R1405" s="22" t="s">
        <v>5964</v>
      </c>
    </row>
    <row r="1406" spans="3:18" ht="16">
      <c r="C1406" s="19" t="s">
        <v>1173</v>
      </c>
      <c r="D1406" s="20" t="s">
        <v>3095</v>
      </c>
      <c r="E1406" s="21" t="s">
        <v>6233</v>
      </c>
      <c r="F1406" s="21" t="s">
        <v>5928</v>
      </c>
      <c r="G1406" s="22" t="s">
        <v>5928</v>
      </c>
      <c r="H1406" s="22" t="s">
        <v>7828</v>
      </c>
      <c r="I1406" s="22">
        <v>221.7</v>
      </c>
      <c r="K1406" s="22" t="s">
        <v>5835</v>
      </c>
      <c r="N1406" s="25" t="s">
        <v>7284</v>
      </c>
      <c r="O1406" s="25" t="s">
        <v>5835</v>
      </c>
      <c r="R1406" s="22" t="s">
        <v>5928</v>
      </c>
    </row>
    <row r="1407" spans="3:18" ht="16">
      <c r="C1407" s="19" t="s">
        <v>1174</v>
      </c>
      <c r="D1407" s="20" t="s">
        <v>3096</v>
      </c>
      <c r="E1407" s="21" t="s">
        <v>6208</v>
      </c>
      <c r="F1407" s="21" t="s">
        <v>17</v>
      </c>
      <c r="G1407" s="22" t="s">
        <v>5911</v>
      </c>
      <c r="H1407" s="22" t="s">
        <v>5835</v>
      </c>
      <c r="I1407" s="22">
        <v>9.8000000000000007</v>
      </c>
      <c r="K1407" s="22" t="s">
        <v>5835</v>
      </c>
      <c r="N1407" s="25" t="s">
        <v>7285</v>
      </c>
      <c r="O1407" s="25" t="s">
        <v>5835</v>
      </c>
      <c r="R1407" s="22" t="s">
        <v>5911</v>
      </c>
    </row>
    <row r="1408" spans="3:18" ht="16">
      <c r="C1408" s="19" t="s">
        <v>1176</v>
      </c>
      <c r="D1408" s="20" t="s">
        <v>3098</v>
      </c>
      <c r="E1408" s="21" t="s">
        <v>6203</v>
      </c>
      <c r="F1408" s="21" t="s">
        <v>8</v>
      </c>
      <c r="G1408" s="22" t="s">
        <v>5930</v>
      </c>
      <c r="H1408" s="22" t="s">
        <v>5835</v>
      </c>
      <c r="I1408" s="22">
        <v>38.200000000000003</v>
      </c>
      <c r="K1408" s="22" t="s">
        <v>5835</v>
      </c>
      <c r="N1408" s="25" t="s">
        <v>7286</v>
      </c>
      <c r="O1408" s="25" t="s">
        <v>5835</v>
      </c>
      <c r="R1408" s="22" t="s">
        <v>5930</v>
      </c>
    </row>
    <row r="1409" spans="3:18" ht="16">
      <c r="C1409" s="19" t="s">
        <v>1177</v>
      </c>
      <c r="D1409" s="20" t="s">
        <v>3099</v>
      </c>
      <c r="E1409" s="21" t="s">
        <v>6413</v>
      </c>
      <c r="F1409" s="21" t="s">
        <v>5852</v>
      </c>
      <c r="G1409" s="22" t="s">
        <v>5849</v>
      </c>
      <c r="H1409" s="22" t="s">
        <v>5835</v>
      </c>
      <c r="I1409" s="22">
        <v>8.6</v>
      </c>
      <c r="K1409" s="22" t="s">
        <v>5835</v>
      </c>
      <c r="N1409" s="25" t="s">
        <v>7287</v>
      </c>
      <c r="O1409" s="25" t="s">
        <v>5835</v>
      </c>
      <c r="R1409" s="22" t="s">
        <v>5849</v>
      </c>
    </row>
    <row r="1410" spans="3:18" ht="16">
      <c r="C1410" s="19" t="s">
        <v>1178</v>
      </c>
      <c r="D1410" s="20" t="s">
        <v>3100</v>
      </c>
      <c r="E1410" s="21" t="s">
        <v>6257</v>
      </c>
      <c r="F1410" s="21" t="s">
        <v>10</v>
      </c>
      <c r="G1410" s="22" t="s">
        <v>5947</v>
      </c>
      <c r="H1410" s="22" t="s">
        <v>5835</v>
      </c>
      <c r="I1410" s="22">
        <v>11.3</v>
      </c>
      <c r="K1410" s="22" t="s">
        <v>5835</v>
      </c>
      <c r="N1410" s="25" t="s">
        <v>7288</v>
      </c>
      <c r="O1410" s="25" t="s">
        <v>5835</v>
      </c>
      <c r="R1410" s="22" t="s">
        <v>5947</v>
      </c>
    </row>
    <row r="1411" spans="3:18" ht="16">
      <c r="C1411" s="19" t="s">
        <v>1180</v>
      </c>
      <c r="D1411" s="20" t="s">
        <v>3102</v>
      </c>
      <c r="E1411" s="21" t="s">
        <v>6319</v>
      </c>
      <c r="F1411" s="21" t="s">
        <v>17</v>
      </c>
      <c r="G1411" s="22" t="s">
        <v>5855</v>
      </c>
      <c r="H1411" s="22" t="s">
        <v>5835</v>
      </c>
      <c r="I1411" s="22">
        <v>71.900000000000006</v>
      </c>
      <c r="K1411" s="22" t="s">
        <v>5835</v>
      </c>
      <c r="N1411" s="25" t="s">
        <v>7289</v>
      </c>
      <c r="O1411" s="25" t="s">
        <v>5835</v>
      </c>
      <c r="R1411" s="22" t="s">
        <v>5855</v>
      </c>
    </row>
    <row r="1412" spans="3:18" ht="16">
      <c r="C1412" s="19" t="s">
        <v>1181</v>
      </c>
      <c r="D1412" s="20" t="s">
        <v>3103</v>
      </c>
      <c r="E1412" s="21" t="s">
        <v>6313</v>
      </c>
      <c r="F1412" s="21" t="s">
        <v>6314</v>
      </c>
      <c r="G1412" s="22" t="s">
        <v>5958</v>
      </c>
      <c r="H1412" s="22" t="s">
        <v>5835</v>
      </c>
      <c r="I1412" s="22">
        <v>12.9</v>
      </c>
      <c r="K1412" s="22" t="s">
        <v>5835</v>
      </c>
      <c r="N1412" s="25" t="s">
        <v>7290</v>
      </c>
      <c r="O1412" s="25" t="s">
        <v>5835</v>
      </c>
      <c r="R1412" s="22" t="s">
        <v>5958</v>
      </c>
    </row>
    <row r="1413" spans="3:18" ht="16">
      <c r="C1413" s="19" t="s">
        <v>1182</v>
      </c>
      <c r="D1413" s="20" t="s">
        <v>3104</v>
      </c>
      <c r="E1413" s="21" t="s">
        <v>6074</v>
      </c>
      <c r="F1413" s="21" t="s">
        <v>6075</v>
      </c>
      <c r="G1413" s="22" t="s">
        <v>5889</v>
      </c>
      <c r="H1413" s="22" t="s">
        <v>5835</v>
      </c>
      <c r="I1413" s="22">
        <v>83.5</v>
      </c>
      <c r="K1413" s="22" t="s">
        <v>5835</v>
      </c>
      <c r="N1413" s="25" t="s">
        <v>7291</v>
      </c>
      <c r="O1413" s="25" t="s">
        <v>5835</v>
      </c>
      <c r="R1413" s="22" t="s">
        <v>5889</v>
      </c>
    </row>
    <row r="1414" spans="3:18" ht="16">
      <c r="C1414" s="19" t="s">
        <v>1183</v>
      </c>
      <c r="D1414" s="20" t="s">
        <v>7292</v>
      </c>
      <c r="E1414" s="21" t="s">
        <v>6257</v>
      </c>
      <c r="F1414" s="21" t="s">
        <v>10</v>
      </c>
      <c r="G1414" s="22" t="s">
        <v>7825</v>
      </c>
      <c r="H1414" s="22" t="s">
        <v>7828</v>
      </c>
      <c r="I1414" s="22">
        <v>172</v>
      </c>
      <c r="K1414" s="22" t="s">
        <v>5835</v>
      </c>
      <c r="N1414" s="25" t="s">
        <v>7293</v>
      </c>
      <c r="O1414" s="25" t="s">
        <v>5835</v>
      </c>
      <c r="R1414" s="22" t="s">
        <v>6202</v>
      </c>
    </row>
    <row r="1415" spans="3:18" ht="16">
      <c r="C1415" s="19" t="s">
        <v>1184</v>
      </c>
      <c r="D1415" s="20" t="s">
        <v>3105</v>
      </c>
      <c r="E1415" s="21" t="s">
        <v>6497</v>
      </c>
      <c r="F1415" s="21" t="s">
        <v>6200</v>
      </c>
      <c r="G1415" s="22" t="s">
        <v>5985</v>
      </c>
      <c r="H1415" s="22" t="s">
        <v>5835</v>
      </c>
      <c r="I1415" s="22">
        <v>22.9</v>
      </c>
      <c r="K1415" s="22" t="s">
        <v>5835</v>
      </c>
      <c r="N1415" s="25" t="s">
        <v>7294</v>
      </c>
      <c r="O1415" s="25" t="s">
        <v>5835</v>
      </c>
      <c r="R1415" s="22" t="s">
        <v>5985</v>
      </c>
    </row>
    <row r="1416" spans="3:18" ht="16">
      <c r="C1416" s="19" t="s">
        <v>1185</v>
      </c>
      <c r="D1416" s="20" t="s">
        <v>3106</v>
      </c>
      <c r="E1416" s="21" t="s">
        <v>6521</v>
      </c>
      <c r="F1416" s="21" t="s">
        <v>17</v>
      </c>
      <c r="G1416" s="22" t="s">
        <v>5964</v>
      </c>
      <c r="H1416" s="22" t="s">
        <v>5835</v>
      </c>
      <c r="I1416" s="22">
        <v>20.6</v>
      </c>
      <c r="K1416" s="22" t="s">
        <v>5835</v>
      </c>
      <c r="N1416" s="25" t="s">
        <v>7295</v>
      </c>
      <c r="O1416" s="25" t="s">
        <v>5835</v>
      </c>
      <c r="R1416" s="22" t="s">
        <v>5964</v>
      </c>
    </row>
    <row r="1417" spans="3:18" ht="16">
      <c r="C1417" s="19" t="s">
        <v>1186</v>
      </c>
      <c r="D1417" s="20" t="s">
        <v>3107</v>
      </c>
      <c r="E1417" s="21" t="s">
        <v>5923</v>
      </c>
      <c r="F1417" s="21" t="s">
        <v>5831</v>
      </c>
      <c r="G1417" s="22" t="s">
        <v>5840</v>
      </c>
      <c r="H1417" s="22" t="s">
        <v>5835</v>
      </c>
      <c r="I1417" s="22">
        <v>25.8</v>
      </c>
      <c r="K1417" s="22" t="s">
        <v>5835</v>
      </c>
      <c r="N1417" s="25" t="s">
        <v>7296</v>
      </c>
      <c r="O1417" s="25" t="s">
        <v>5835</v>
      </c>
      <c r="R1417" s="22" t="s">
        <v>5840</v>
      </c>
    </row>
    <row r="1418" spans="3:18" ht="16">
      <c r="C1418" s="19" t="s">
        <v>1187</v>
      </c>
      <c r="D1418" s="20" t="s">
        <v>3108</v>
      </c>
      <c r="E1418" s="21" t="s">
        <v>6025</v>
      </c>
      <c r="F1418" s="21" t="s">
        <v>17</v>
      </c>
      <c r="G1418" s="22" t="s">
        <v>5918</v>
      </c>
      <c r="H1418" s="22" t="s">
        <v>5835</v>
      </c>
      <c r="I1418" s="22">
        <v>21.7</v>
      </c>
      <c r="K1418" s="22" t="s">
        <v>5835</v>
      </c>
      <c r="N1418" s="25" t="s">
        <v>7297</v>
      </c>
      <c r="O1418" s="25" t="s">
        <v>5835</v>
      </c>
      <c r="R1418" s="22" t="s">
        <v>5918</v>
      </c>
    </row>
    <row r="1419" spans="3:18" ht="16">
      <c r="C1419" s="19" t="s">
        <v>1188</v>
      </c>
      <c r="D1419" s="20" t="s">
        <v>3109</v>
      </c>
      <c r="E1419" s="21" t="s">
        <v>6274</v>
      </c>
      <c r="F1419" s="21" t="s">
        <v>17</v>
      </c>
      <c r="G1419" s="22" t="s">
        <v>5943</v>
      </c>
      <c r="H1419" s="22" t="s">
        <v>5835</v>
      </c>
      <c r="I1419" s="22">
        <v>88.5</v>
      </c>
      <c r="K1419" s="22" t="s">
        <v>5835</v>
      </c>
      <c r="N1419" s="25" t="s">
        <v>7298</v>
      </c>
      <c r="O1419" s="25" t="s">
        <v>5835</v>
      </c>
      <c r="R1419" s="22" t="s">
        <v>5943</v>
      </c>
    </row>
    <row r="1420" spans="3:18" ht="16">
      <c r="C1420" s="19" t="s">
        <v>1189</v>
      </c>
      <c r="D1420" s="20" t="s">
        <v>3110</v>
      </c>
      <c r="E1420" s="21" t="s">
        <v>6222</v>
      </c>
      <c r="F1420" s="21" t="s">
        <v>8</v>
      </c>
      <c r="G1420" s="22" t="s">
        <v>14</v>
      </c>
      <c r="H1420" s="22" t="s">
        <v>5835</v>
      </c>
      <c r="I1420" s="22">
        <v>10.199999999999999</v>
      </c>
      <c r="K1420" s="22" t="s">
        <v>5835</v>
      </c>
      <c r="N1420" s="25" t="s">
        <v>7299</v>
      </c>
      <c r="O1420" s="25" t="s">
        <v>5835</v>
      </c>
      <c r="R1420" s="22" t="s">
        <v>14</v>
      </c>
    </row>
    <row r="1421" spans="3:18" ht="16">
      <c r="C1421" s="19" t="s">
        <v>1190</v>
      </c>
      <c r="D1421" s="20" t="s">
        <v>7300</v>
      </c>
      <c r="E1421" s="21" t="s">
        <v>6166</v>
      </c>
      <c r="F1421" s="21" t="s">
        <v>6080</v>
      </c>
      <c r="G1421" s="22" t="s">
        <v>7825</v>
      </c>
      <c r="H1421" s="22" t="s">
        <v>5835</v>
      </c>
      <c r="I1421" s="22">
        <v>8.3000000000000007</v>
      </c>
      <c r="K1421" s="22" t="s">
        <v>5835</v>
      </c>
      <c r="N1421" s="25" t="s">
        <v>7301</v>
      </c>
      <c r="O1421" s="25" t="s">
        <v>5835</v>
      </c>
      <c r="R1421" s="22" t="s">
        <v>6202</v>
      </c>
    </row>
    <row r="1422" spans="3:18" ht="16">
      <c r="C1422" s="19" t="s">
        <v>1191</v>
      </c>
      <c r="D1422" s="20" t="s">
        <v>3111</v>
      </c>
      <c r="E1422" s="21" t="s">
        <v>6203</v>
      </c>
      <c r="F1422" s="21" t="s">
        <v>8</v>
      </c>
      <c r="G1422" s="22" t="s">
        <v>5904</v>
      </c>
      <c r="H1422" s="22" t="s">
        <v>7828</v>
      </c>
      <c r="I1422" s="22">
        <v>1712.5</v>
      </c>
      <c r="K1422" s="22" t="s">
        <v>5835</v>
      </c>
      <c r="N1422" s="25" t="s">
        <v>24</v>
      </c>
      <c r="O1422" s="25" t="s">
        <v>5835</v>
      </c>
      <c r="R1422" s="22" t="s">
        <v>5904</v>
      </c>
    </row>
    <row r="1423" spans="3:18" ht="16">
      <c r="C1423" s="19" t="s">
        <v>1192</v>
      </c>
      <c r="D1423" s="20" t="s">
        <v>3112</v>
      </c>
      <c r="E1423" s="21" t="s">
        <v>6209</v>
      </c>
      <c r="F1423" s="21" t="s">
        <v>5913</v>
      </c>
      <c r="G1423" s="22" t="s">
        <v>5913</v>
      </c>
      <c r="H1423" s="22" t="s">
        <v>5835</v>
      </c>
      <c r="I1423" s="22">
        <v>3</v>
      </c>
      <c r="K1423" s="22" t="s">
        <v>5835</v>
      </c>
      <c r="N1423" s="25" t="s">
        <v>7302</v>
      </c>
      <c r="O1423" s="25" t="s">
        <v>5835</v>
      </c>
      <c r="R1423" s="22" t="s">
        <v>5913</v>
      </c>
    </row>
    <row r="1424" spans="3:18" ht="16">
      <c r="C1424" s="19" t="s">
        <v>1193</v>
      </c>
      <c r="D1424" s="20" t="s">
        <v>3113</v>
      </c>
      <c r="E1424" s="21" t="s">
        <v>6257</v>
      </c>
      <c r="F1424" s="21" t="s">
        <v>10</v>
      </c>
      <c r="G1424" s="22" t="s">
        <v>5928</v>
      </c>
      <c r="H1424" s="22" t="s">
        <v>5835</v>
      </c>
      <c r="I1424" s="22">
        <v>83.7</v>
      </c>
      <c r="K1424" s="22" t="s">
        <v>5835</v>
      </c>
      <c r="N1424" s="25" t="s">
        <v>7303</v>
      </c>
      <c r="O1424" s="25" t="s">
        <v>5835</v>
      </c>
      <c r="R1424" s="22" t="s">
        <v>5928</v>
      </c>
    </row>
    <row r="1425" spans="3:18" ht="16">
      <c r="C1425" s="19" t="s">
        <v>1194</v>
      </c>
      <c r="D1425" s="20" t="s">
        <v>3114</v>
      </c>
      <c r="E1425" s="21" t="s">
        <v>6209</v>
      </c>
      <c r="F1425" s="21" t="s">
        <v>5913</v>
      </c>
      <c r="G1425" s="22" t="s">
        <v>5913</v>
      </c>
      <c r="H1425" s="22" t="s">
        <v>5835</v>
      </c>
      <c r="I1425" s="22">
        <v>19</v>
      </c>
      <c r="K1425" s="22" t="s">
        <v>5835</v>
      </c>
      <c r="N1425" s="25" t="s">
        <v>7304</v>
      </c>
      <c r="O1425" s="25" t="s">
        <v>5835</v>
      </c>
      <c r="R1425" s="22" t="s">
        <v>5913</v>
      </c>
    </row>
    <row r="1426" spans="3:18" ht="16">
      <c r="C1426" s="19" t="s">
        <v>1195</v>
      </c>
      <c r="D1426" s="20" t="s">
        <v>3115</v>
      </c>
      <c r="E1426" s="21" t="s">
        <v>6208</v>
      </c>
      <c r="F1426" s="21" t="s">
        <v>17</v>
      </c>
      <c r="G1426" s="22" t="s">
        <v>5911</v>
      </c>
      <c r="H1426" s="22" t="s">
        <v>5835</v>
      </c>
      <c r="I1426" s="22">
        <v>12.9</v>
      </c>
      <c r="K1426" s="22" t="s">
        <v>5835</v>
      </c>
      <c r="N1426" s="25" t="s">
        <v>7305</v>
      </c>
      <c r="O1426" s="25" t="s">
        <v>5835</v>
      </c>
      <c r="R1426" s="22" t="s">
        <v>5911</v>
      </c>
    </row>
    <row r="1427" spans="3:18" ht="16">
      <c r="C1427" s="19" t="s">
        <v>1196</v>
      </c>
      <c r="D1427" s="20" t="s">
        <v>3116</v>
      </c>
      <c r="E1427" s="21" t="s">
        <v>6166</v>
      </c>
      <c r="F1427" s="21" t="s">
        <v>6080</v>
      </c>
      <c r="G1427" s="22" t="s">
        <v>5915</v>
      </c>
      <c r="H1427" s="22" t="s">
        <v>5835</v>
      </c>
      <c r="I1427" s="22">
        <v>25.9</v>
      </c>
      <c r="K1427" s="22" t="s">
        <v>5835</v>
      </c>
      <c r="N1427" s="25" t="s">
        <v>7306</v>
      </c>
      <c r="O1427" s="25" t="s">
        <v>5835</v>
      </c>
      <c r="R1427" s="22" t="s">
        <v>5915</v>
      </c>
    </row>
    <row r="1428" spans="3:18" ht="16">
      <c r="C1428" s="19" t="s">
        <v>1197</v>
      </c>
      <c r="D1428" s="20" t="s">
        <v>3117</v>
      </c>
      <c r="E1428" s="21" t="s">
        <v>6413</v>
      </c>
      <c r="F1428" s="21" t="s">
        <v>5852</v>
      </c>
      <c r="G1428" s="22" t="s">
        <v>5849</v>
      </c>
      <c r="H1428" s="22" t="s">
        <v>5835</v>
      </c>
      <c r="I1428" s="22">
        <v>12.7</v>
      </c>
      <c r="K1428" s="22" t="s">
        <v>5835</v>
      </c>
      <c r="N1428" s="25" t="s">
        <v>7307</v>
      </c>
      <c r="O1428" s="25" t="s">
        <v>5835</v>
      </c>
      <c r="R1428" s="22" t="s">
        <v>5849</v>
      </c>
    </row>
    <row r="1429" spans="3:18" ht="16">
      <c r="C1429" s="19" t="s">
        <v>1198</v>
      </c>
      <c r="D1429" s="20" t="s">
        <v>3118</v>
      </c>
      <c r="E1429" s="21" t="s">
        <v>6505</v>
      </c>
      <c r="F1429" s="21" t="s">
        <v>6200</v>
      </c>
      <c r="G1429" s="22" t="s">
        <v>5985</v>
      </c>
      <c r="H1429" s="22" t="s">
        <v>7828</v>
      </c>
      <c r="I1429" s="22">
        <v>216.6</v>
      </c>
      <c r="K1429" s="22" t="s">
        <v>5835</v>
      </c>
      <c r="N1429" s="25" t="s">
        <v>7308</v>
      </c>
      <c r="O1429" s="25" t="s">
        <v>5835</v>
      </c>
      <c r="R1429" s="22" t="s">
        <v>5985</v>
      </c>
    </row>
    <row r="1430" spans="3:18" ht="16">
      <c r="C1430" s="19" t="s">
        <v>1199</v>
      </c>
      <c r="D1430" s="20" t="s">
        <v>3119</v>
      </c>
      <c r="E1430" s="21" t="s">
        <v>6274</v>
      </c>
      <c r="F1430" s="21" t="s">
        <v>17</v>
      </c>
      <c r="G1430" s="22" t="s">
        <v>5943</v>
      </c>
      <c r="H1430" s="22" t="s">
        <v>5835</v>
      </c>
      <c r="I1430" s="22">
        <v>45.5</v>
      </c>
      <c r="K1430" s="22" t="s">
        <v>5835</v>
      </c>
      <c r="N1430" s="25" t="s">
        <v>7309</v>
      </c>
      <c r="O1430" s="25" t="s">
        <v>5835</v>
      </c>
      <c r="R1430" s="22" t="s">
        <v>5943</v>
      </c>
    </row>
    <row r="1431" spans="3:18" ht="16">
      <c r="C1431" s="19" t="s">
        <v>1200</v>
      </c>
      <c r="D1431" s="20" t="s">
        <v>3120</v>
      </c>
      <c r="E1431" s="21" t="s">
        <v>6304</v>
      </c>
      <c r="F1431" s="21" t="s">
        <v>17</v>
      </c>
      <c r="G1431" s="22" t="s">
        <v>5928</v>
      </c>
      <c r="H1431" s="22" t="s">
        <v>5835</v>
      </c>
      <c r="I1431" s="22">
        <v>23.5</v>
      </c>
      <c r="K1431" s="22" t="s">
        <v>5835</v>
      </c>
      <c r="N1431" s="25" t="s">
        <v>7310</v>
      </c>
      <c r="O1431" s="25" t="s">
        <v>5835</v>
      </c>
      <c r="R1431" s="22" t="s">
        <v>5928</v>
      </c>
    </row>
    <row r="1432" spans="3:18" ht="16">
      <c r="C1432" s="19" t="s">
        <v>1202</v>
      </c>
      <c r="D1432" s="20" t="s">
        <v>3122</v>
      </c>
      <c r="E1432" s="21" t="s">
        <v>6067</v>
      </c>
      <c r="F1432" s="21" t="s">
        <v>17</v>
      </c>
      <c r="G1432" s="22" t="s">
        <v>5873</v>
      </c>
      <c r="H1432" s="22" t="s">
        <v>5835</v>
      </c>
      <c r="I1432" s="22">
        <v>51.3</v>
      </c>
      <c r="K1432" s="22" t="s">
        <v>5835</v>
      </c>
      <c r="N1432" s="25" t="s">
        <v>7311</v>
      </c>
      <c r="O1432" s="25" t="s">
        <v>5835</v>
      </c>
      <c r="R1432" s="22" t="s">
        <v>5873</v>
      </c>
    </row>
    <row r="1433" spans="3:18" ht="16">
      <c r="C1433" s="19" t="s">
        <v>1203</v>
      </c>
      <c r="D1433" s="20" t="s">
        <v>3123</v>
      </c>
      <c r="E1433" s="21" t="s">
        <v>6074</v>
      </c>
      <c r="F1433" s="21" t="s">
        <v>6075</v>
      </c>
      <c r="G1433" s="22" t="s">
        <v>5882</v>
      </c>
      <c r="H1433" s="22" t="s">
        <v>5835</v>
      </c>
      <c r="I1433" s="22">
        <v>10.4</v>
      </c>
      <c r="K1433" s="22" t="s">
        <v>5835</v>
      </c>
      <c r="N1433" s="25" t="s">
        <v>7312</v>
      </c>
      <c r="O1433" s="25" t="s">
        <v>5835</v>
      </c>
      <c r="R1433" s="22" t="s">
        <v>5882</v>
      </c>
    </row>
    <row r="1434" spans="3:18" ht="16">
      <c r="C1434" s="19" t="s">
        <v>1204</v>
      </c>
      <c r="D1434" s="20" t="s">
        <v>3124</v>
      </c>
      <c r="E1434" s="21" t="s">
        <v>6313</v>
      </c>
      <c r="F1434" s="21" t="s">
        <v>6314</v>
      </c>
      <c r="G1434" s="22" t="s">
        <v>5958</v>
      </c>
      <c r="H1434" s="22" t="s">
        <v>5835</v>
      </c>
      <c r="I1434" s="22">
        <v>93.3</v>
      </c>
      <c r="K1434" s="22" t="s">
        <v>5835</v>
      </c>
      <c r="N1434" s="25" t="s">
        <v>7313</v>
      </c>
      <c r="O1434" s="25" t="s">
        <v>5835</v>
      </c>
      <c r="R1434" s="22" t="s">
        <v>5958</v>
      </c>
    </row>
    <row r="1435" spans="3:18" ht="16">
      <c r="C1435" s="19" t="s">
        <v>1205</v>
      </c>
      <c r="D1435" s="20" t="s">
        <v>3125</v>
      </c>
      <c r="E1435" s="21" t="s">
        <v>6237</v>
      </c>
      <c r="F1435" s="21" t="s">
        <v>6231</v>
      </c>
      <c r="G1435" s="22" t="s">
        <v>5933</v>
      </c>
      <c r="H1435" s="22" t="s">
        <v>5835</v>
      </c>
      <c r="I1435" s="22">
        <v>26.2</v>
      </c>
      <c r="K1435" s="22" t="s">
        <v>5835</v>
      </c>
      <c r="N1435" s="25" t="s">
        <v>7314</v>
      </c>
      <c r="O1435" s="25" t="s">
        <v>5835</v>
      </c>
      <c r="R1435" s="22" t="s">
        <v>5933</v>
      </c>
    </row>
    <row r="1436" spans="3:18" ht="16">
      <c r="C1436" s="19" t="s">
        <v>1206</v>
      </c>
      <c r="D1436" s="20" t="s">
        <v>3126</v>
      </c>
      <c r="E1436" s="21" t="s">
        <v>6199</v>
      </c>
      <c r="F1436" s="21" t="s">
        <v>6200</v>
      </c>
      <c r="G1436" s="22" t="s">
        <v>5930</v>
      </c>
      <c r="H1436" s="22" t="s">
        <v>5835</v>
      </c>
      <c r="I1436" s="22">
        <v>119.8</v>
      </c>
      <c r="K1436" s="22" t="s">
        <v>5835</v>
      </c>
      <c r="N1436" s="25" t="s">
        <v>7315</v>
      </c>
      <c r="O1436" s="25" t="s">
        <v>5835</v>
      </c>
      <c r="R1436" s="22" t="s">
        <v>5930</v>
      </c>
    </row>
    <row r="1437" spans="3:18" ht="16">
      <c r="C1437" s="19" t="s">
        <v>1207</v>
      </c>
      <c r="D1437" s="20" t="s">
        <v>3127</v>
      </c>
      <c r="E1437" s="21" t="s">
        <v>6243</v>
      </c>
      <c r="F1437" s="21" t="s">
        <v>17</v>
      </c>
      <c r="G1437" s="22" t="s">
        <v>5873</v>
      </c>
      <c r="H1437" s="22" t="s">
        <v>5835</v>
      </c>
      <c r="I1437" s="22">
        <v>34.200000000000003</v>
      </c>
      <c r="K1437" s="22" t="s">
        <v>5835</v>
      </c>
      <c r="N1437" s="25" t="s">
        <v>7316</v>
      </c>
      <c r="O1437" s="25" t="s">
        <v>5835</v>
      </c>
      <c r="R1437" s="22" t="s">
        <v>5873</v>
      </c>
    </row>
    <row r="1438" spans="3:18" ht="16">
      <c r="C1438" s="19" t="s">
        <v>1208</v>
      </c>
      <c r="D1438" s="20" t="s">
        <v>3128</v>
      </c>
      <c r="E1438" s="21" t="s">
        <v>6293</v>
      </c>
      <c r="F1438" s="21" t="s">
        <v>6200</v>
      </c>
      <c r="G1438" s="22" t="s">
        <v>5875</v>
      </c>
      <c r="H1438" s="22" t="s">
        <v>5835</v>
      </c>
      <c r="I1438" s="22">
        <v>23</v>
      </c>
      <c r="K1438" s="22" t="s">
        <v>5835</v>
      </c>
      <c r="N1438" s="25" t="s">
        <v>7317</v>
      </c>
      <c r="O1438" s="25" t="s">
        <v>5835</v>
      </c>
      <c r="R1438" s="22" t="s">
        <v>5875</v>
      </c>
    </row>
    <row r="1439" spans="3:18" ht="16">
      <c r="C1439" s="19" t="s">
        <v>1210</v>
      </c>
      <c r="D1439" s="20" t="s">
        <v>3130</v>
      </c>
      <c r="E1439" s="21" t="s">
        <v>6252</v>
      </c>
      <c r="F1439" s="21" t="s">
        <v>6080</v>
      </c>
      <c r="G1439" s="22" t="s">
        <v>5915</v>
      </c>
      <c r="H1439" s="22" t="s">
        <v>5835</v>
      </c>
      <c r="I1439" s="22">
        <v>21.2</v>
      </c>
      <c r="K1439" s="22" t="s">
        <v>5835</v>
      </c>
      <c r="N1439" s="25" t="s">
        <v>7318</v>
      </c>
      <c r="O1439" s="25" t="s">
        <v>5835</v>
      </c>
      <c r="R1439" s="22" t="s">
        <v>5915</v>
      </c>
    </row>
    <row r="1440" spans="3:18" ht="16">
      <c r="C1440" s="19" t="s">
        <v>1211</v>
      </c>
      <c r="D1440" s="20" t="s">
        <v>3131</v>
      </c>
      <c r="E1440" s="21" t="s">
        <v>6208</v>
      </c>
      <c r="F1440" s="21" t="s">
        <v>17</v>
      </c>
      <c r="G1440" s="22" t="s">
        <v>5911</v>
      </c>
      <c r="H1440" s="22" t="s">
        <v>7828</v>
      </c>
      <c r="I1440" s="22">
        <v>223.2</v>
      </c>
      <c r="K1440" s="22" t="s">
        <v>5835</v>
      </c>
      <c r="N1440" s="25" t="s">
        <v>7319</v>
      </c>
      <c r="O1440" s="25" t="s">
        <v>5835</v>
      </c>
      <c r="R1440" s="22" t="s">
        <v>5911</v>
      </c>
    </row>
    <row r="1441" spans="3:18" ht="16">
      <c r="C1441" s="19" t="s">
        <v>1212</v>
      </c>
      <c r="D1441" s="20" t="s">
        <v>3132</v>
      </c>
      <c r="E1441" s="21" t="s">
        <v>6230</v>
      </c>
      <c r="F1441" s="21" t="s">
        <v>6231</v>
      </c>
      <c r="G1441" s="22" t="s">
        <v>5935</v>
      </c>
      <c r="H1441" s="22" t="s">
        <v>7828</v>
      </c>
      <c r="I1441" s="22">
        <v>145.30000000000001</v>
      </c>
      <c r="K1441" s="22" t="s">
        <v>5835</v>
      </c>
      <c r="N1441" s="25" t="s">
        <v>7320</v>
      </c>
      <c r="O1441" s="25" t="s">
        <v>5835</v>
      </c>
      <c r="R1441" s="22" t="s">
        <v>5935</v>
      </c>
    </row>
    <row r="1442" spans="3:18" ht="16">
      <c r="C1442" s="19" t="s">
        <v>1213</v>
      </c>
      <c r="D1442" s="20" t="s">
        <v>3133</v>
      </c>
      <c r="E1442" s="21" t="s">
        <v>5968</v>
      </c>
      <c r="F1442" s="21" t="s">
        <v>5969</v>
      </c>
      <c r="G1442" s="22" t="s">
        <v>5881</v>
      </c>
      <c r="H1442" s="22" t="s">
        <v>5835</v>
      </c>
      <c r="I1442" s="22">
        <v>17.600000000000001</v>
      </c>
      <c r="K1442" s="22" t="s">
        <v>5835</v>
      </c>
      <c r="N1442" s="25" t="s">
        <v>7321</v>
      </c>
      <c r="O1442" s="25" t="s">
        <v>5835</v>
      </c>
      <c r="R1442" s="22" t="s">
        <v>5881</v>
      </c>
    </row>
    <row r="1443" spans="3:18" ht="16">
      <c r="C1443" s="19" t="s">
        <v>1214</v>
      </c>
      <c r="D1443" s="20" t="s">
        <v>3134</v>
      </c>
      <c r="E1443" s="21" t="s">
        <v>6166</v>
      </c>
      <c r="F1443" s="21" t="s">
        <v>6080</v>
      </c>
      <c r="G1443" s="22" t="s">
        <v>7825</v>
      </c>
      <c r="H1443" s="22" t="s">
        <v>5835</v>
      </c>
      <c r="I1443" s="22">
        <v>35.299999999999997</v>
      </c>
      <c r="K1443" s="22" t="s">
        <v>5835</v>
      </c>
      <c r="N1443" s="25" t="s">
        <v>7322</v>
      </c>
      <c r="O1443" s="25" t="s">
        <v>5835</v>
      </c>
      <c r="R1443" s="22" t="s">
        <v>6202</v>
      </c>
    </row>
    <row r="1444" spans="3:18" ht="16">
      <c r="C1444" s="19" t="s">
        <v>1215</v>
      </c>
      <c r="D1444" s="20" t="s">
        <v>3135</v>
      </c>
      <c r="E1444" s="21" t="s">
        <v>5923</v>
      </c>
      <c r="F1444" s="21" t="s">
        <v>5831</v>
      </c>
      <c r="G1444" s="22" t="s">
        <v>5840</v>
      </c>
      <c r="H1444" s="22" t="s">
        <v>5835</v>
      </c>
      <c r="I1444" s="22">
        <v>21.8</v>
      </c>
      <c r="K1444" s="22" t="s">
        <v>5835</v>
      </c>
      <c r="N1444" s="25" t="s">
        <v>7323</v>
      </c>
      <c r="O1444" s="25" t="s">
        <v>5835</v>
      </c>
      <c r="R1444" s="22" t="s">
        <v>5840</v>
      </c>
    </row>
    <row r="1445" spans="3:18" ht="16">
      <c r="C1445" s="19" t="s">
        <v>1216</v>
      </c>
      <c r="D1445" s="20" t="s">
        <v>3136</v>
      </c>
      <c r="E1445" s="21" t="s">
        <v>6067</v>
      </c>
      <c r="F1445" s="21" t="s">
        <v>17</v>
      </c>
      <c r="G1445" s="22" t="s">
        <v>5920</v>
      </c>
      <c r="H1445" s="22" t="s">
        <v>5835</v>
      </c>
      <c r="I1445" s="22">
        <v>70</v>
      </c>
      <c r="K1445" s="22" t="s">
        <v>5835</v>
      </c>
      <c r="N1445" s="25" t="s">
        <v>7324</v>
      </c>
      <c r="O1445" s="25" t="s">
        <v>5835</v>
      </c>
      <c r="R1445" s="22" t="s">
        <v>5920</v>
      </c>
    </row>
    <row r="1446" spans="3:18" ht="16">
      <c r="C1446" s="19" t="s">
        <v>1217</v>
      </c>
      <c r="D1446" s="20" t="s">
        <v>3137</v>
      </c>
      <c r="E1446" s="21" t="s">
        <v>6067</v>
      </c>
      <c r="F1446" s="21" t="s">
        <v>17</v>
      </c>
      <c r="G1446" s="22" t="s">
        <v>7825</v>
      </c>
      <c r="H1446" s="22" t="s">
        <v>5835</v>
      </c>
      <c r="I1446" s="22">
        <v>7.9</v>
      </c>
      <c r="K1446" s="22" t="s">
        <v>5835</v>
      </c>
      <c r="N1446" s="25" t="s">
        <v>7325</v>
      </c>
      <c r="O1446" s="25" t="s">
        <v>5835</v>
      </c>
      <c r="R1446" s="22" t="s">
        <v>6202</v>
      </c>
    </row>
    <row r="1447" spans="3:18" ht="16">
      <c r="C1447" s="19" t="s">
        <v>1218</v>
      </c>
      <c r="D1447" s="20" t="s">
        <v>3138</v>
      </c>
      <c r="E1447" s="21" t="s">
        <v>6208</v>
      </c>
      <c r="F1447" s="21" t="s">
        <v>17</v>
      </c>
      <c r="G1447" s="22" t="s">
        <v>5911</v>
      </c>
      <c r="H1447" s="22" t="s">
        <v>5835</v>
      </c>
      <c r="I1447" s="22">
        <v>18</v>
      </c>
      <c r="K1447" s="22" t="s">
        <v>5835</v>
      </c>
      <c r="N1447" s="25" t="s">
        <v>7326</v>
      </c>
      <c r="O1447" s="25" t="s">
        <v>5835</v>
      </c>
      <c r="R1447" s="22" t="s">
        <v>5911</v>
      </c>
    </row>
    <row r="1448" spans="3:18" ht="16">
      <c r="C1448" s="19" t="s">
        <v>1219</v>
      </c>
      <c r="D1448" s="20" t="s">
        <v>3139</v>
      </c>
      <c r="E1448" s="21" t="s">
        <v>6243</v>
      </c>
      <c r="F1448" s="21" t="s">
        <v>17</v>
      </c>
      <c r="G1448" s="22" t="s">
        <v>5873</v>
      </c>
      <c r="H1448" s="22" t="s">
        <v>5835</v>
      </c>
      <c r="I1448" s="22">
        <v>53.9</v>
      </c>
      <c r="K1448" s="22" t="s">
        <v>5835</v>
      </c>
      <c r="N1448" s="25" t="s">
        <v>7327</v>
      </c>
      <c r="O1448" s="25" t="s">
        <v>5835</v>
      </c>
      <c r="R1448" s="22" t="s">
        <v>5873</v>
      </c>
    </row>
    <row r="1449" spans="3:18" ht="16">
      <c r="C1449" s="19" t="s">
        <v>1220</v>
      </c>
      <c r="D1449" s="20" t="s">
        <v>3140</v>
      </c>
      <c r="E1449" s="21" t="s">
        <v>6257</v>
      </c>
      <c r="F1449" s="21" t="s">
        <v>10</v>
      </c>
      <c r="G1449" s="22" t="s">
        <v>7825</v>
      </c>
      <c r="H1449" s="22" t="s">
        <v>5835</v>
      </c>
      <c r="I1449" s="22">
        <v>6.1</v>
      </c>
      <c r="K1449" s="22" t="s">
        <v>5835</v>
      </c>
      <c r="N1449" s="25" t="s">
        <v>7328</v>
      </c>
      <c r="O1449" s="25" t="s">
        <v>5835</v>
      </c>
      <c r="R1449" s="22" t="s">
        <v>6202</v>
      </c>
    </row>
    <row r="1450" spans="3:18" ht="16">
      <c r="C1450" s="19" t="s">
        <v>1223</v>
      </c>
      <c r="D1450" s="20" t="s">
        <v>3143</v>
      </c>
      <c r="E1450" s="21" t="s">
        <v>6304</v>
      </c>
      <c r="F1450" s="21" t="s">
        <v>17</v>
      </c>
      <c r="G1450" s="22" t="s">
        <v>5906</v>
      </c>
      <c r="H1450" s="22" t="s">
        <v>7828</v>
      </c>
      <c r="I1450" s="22">
        <v>62.3</v>
      </c>
      <c r="K1450" s="22" t="s">
        <v>5835</v>
      </c>
      <c r="N1450" s="25" t="s">
        <v>7329</v>
      </c>
      <c r="O1450" s="25" t="s">
        <v>5835</v>
      </c>
      <c r="R1450" s="22" t="s">
        <v>5906</v>
      </c>
    </row>
    <row r="1451" spans="3:18" ht="16">
      <c r="C1451" s="19" t="s">
        <v>1224</v>
      </c>
      <c r="D1451" s="20" t="s">
        <v>3144</v>
      </c>
      <c r="E1451" s="21" t="s">
        <v>6274</v>
      </c>
      <c r="F1451" s="21" t="s">
        <v>17</v>
      </c>
      <c r="G1451" s="22" t="s">
        <v>5943</v>
      </c>
      <c r="H1451" s="22" t="s">
        <v>5835</v>
      </c>
      <c r="I1451" s="22">
        <v>39.5</v>
      </c>
      <c r="K1451" s="22" t="s">
        <v>5835</v>
      </c>
      <c r="N1451" s="25" t="s">
        <v>7330</v>
      </c>
      <c r="O1451" s="25" t="s">
        <v>5835</v>
      </c>
      <c r="R1451" s="22" t="s">
        <v>5943</v>
      </c>
    </row>
    <row r="1452" spans="3:18" ht="16">
      <c r="C1452" s="19" t="s">
        <v>1225</v>
      </c>
      <c r="D1452" s="20" t="s">
        <v>3145</v>
      </c>
      <c r="E1452" s="21" t="s">
        <v>6664</v>
      </c>
      <c r="F1452" s="21" t="s">
        <v>6314</v>
      </c>
      <c r="G1452" s="22" t="s">
        <v>5997</v>
      </c>
      <c r="H1452" s="22" t="s">
        <v>5835</v>
      </c>
      <c r="I1452" s="22">
        <v>157.69999999999999</v>
      </c>
      <c r="K1452" s="22" t="s">
        <v>5835</v>
      </c>
      <c r="N1452" s="25" t="s">
        <v>7331</v>
      </c>
      <c r="O1452" s="25" t="s">
        <v>5835</v>
      </c>
      <c r="R1452" s="22" t="s">
        <v>5997</v>
      </c>
    </row>
    <row r="1453" spans="3:18" ht="16">
      <c r="C1453" s="19" t="s">
        <v>1226</v>
      </c>
      <c r="D1453" s="20" t="s">
        <v>3146</v>
      </c>
      <c r="E1453" s="21" t="s">
        <v>5968</v>
      </c>
      <c r="F1453" s="21" t="s">
        <v>5969</v>
      </c>
      <c r="G1453" s="22" t="s">
        <v>7827</v>
      </c>
      <c r="H1453" s="22" t="s">
        <v>5835</v>
      </c>
      <c r="I1453" s="22">
        <v>0</v>
      </c>
      <c r="K1453" s="22" t="s">
        <v>5835</v>
      </c>
      <c r="N1453" s="25" t="s">
        <v>7332</v>
      </c>
      <c r="O1453" s="25" t="s">
        <v>5835</v>
      </c>
      <c r="R1453" s="22" t="s">
        <v>5940</v>
      </c>
    </row>
    <row r="1454" spans="3:18" ht="16">
      <c r="C1454" s="19" t="s">
        <v>1227</v>
      </c>
      <c r="D1454" s="20" t="s">
        <v>3147</v>
      </c>
      <c r="E1454" s="21" t="s">
        <v>6293</v>
      </c>
      <c r="F1454" s="21" t="s">
        <v>8</v>
      </c>
      <c r="G1454" s="22" t="s">
        <v>5993</v>
      </c>
      <c r="H1454" s="22" t="s">
        <v>7828</v>
      </c>
      <c r="I1454" s="22">
        <v>627.70000000000005</v>
      </c>
      <c r="K1454" s="22" t="s">
        <v>5835</v>
      </c>
      <c r="N1454" s="25" t="s">
        <v>7333</v>
      </c>
      <c r="O1454" s="25" t="s">
        <v>5835</v>
      </c>
      <c r="R1454" s="22" t="s">
        <v>5993</v>
      </c>
    </row>
    <row r="1455" spans="3:18" ht="16">
      <c r="C1455" s="19" t="s">
        <v>1229</v>
      </c>
      <c r="D1455" s="20" t="s">
        <v>3149</v>
      </c>
      <c r="E1455" s="21" t="s">
        <v>6257</v>
      </c>
      <c r="F1455" s="21" t="s">
        <v>10</v>
      </c>
      <c r="G1455" s="22" t="s">
        <v>5947</v>
      </c>
      <c r="H1455" s="22" t="s">
        <v>5835</v>
      </c>
      <c r="I1455" s="22">
        <v>7.7</v>
      </c>
      <c r="K1455" s="22" t="s">
        <v>5835</v>
      </c>
      <c r="N1455" s="25" t="s">
        <v>7334</v>
      </c>
      <c r="O1455" s="25" t="s">
        <v>5835</v>
      </c>
      <c r="R1455" s="22" t="s">
        <v>5947</v>
      </c>
    </row>
    <row r="1456" spans="3:18" ht="16">
      <c r="C1456" s="19" t="s">
        <v>1230</v>
      </c>
      <c r="D1456" s="20" t="s">
        <v>3150</v>
      </c>
      <c r="E1456" s="21" t="s">
        <v>6067</v>
      </c>
      <c r="F1456" s="21" t="s">
        <v>17</v>
      </c>
      <c r="G1456" s="22" t="s">
        <v>5920</v>
      </c>
      <c r="H1456" s="22" t="s">
        <v>5835</v>
      </c>
      <c r="I1456" s="22">
        <v>8.3000000000000007</v>
      </c>
      <c r="K1456" s="22" t="s">
        <v>5835</v>
      </c>
      <c r="N1456" s="25" t="s">
        <v>7335</v>
      </c>
      <c r="O1456" s="25" t="s">
        <v>5835</v>
      </c>
      <c r="R1456" s="22" t="s">
        <v>5920</v>
      </c>
    </row>
    <row r="1457" spans="3:18" ht="16">
      <c r="C1457" s="19" t="s">
        <v>1231</v>
      </c>
      <c r="D1457" s="20" t="s">
        <v>3151</v>
      </c>
      <c r="E1457" s="21" t="s">
        <v>6280</v>
      </c>
      <c r="F1457" s="21" t="s">
        <v>6281</v>
      </c>
      <c r="G1457" s="22" t="s">
        <v>5906</v>
      </c>
      <c r="H1457" s="22" t="s">
        <v>5835</v>
      </c>
      <c r="I1457" s="22">
        <v>46.1</v>
      </c>
      <c r="K1457" s="22" t="s">
        <v>5835</v>
      </c>
      <c r="N1457" s="25" t="s">
        <v>7336</v>
      </c>
      <c r="O1457" s="25" t="s">
        <v>5835</v>
      </c>
      <c r="R1457" s="22" t="s">
        <v>5906</v>
      </c>
    </row>
    <row r="1458" spans="3:18" ht="16">
      <c r="C1458" s="19" t="s">
        <v>1232</v>
      </c>
      <c r="D1458" s="20" t="s">
        <v>3152</v>
      </c>
      <c r="E1458" s="21" t="s">
        <v>6358</v>
      </c>
      <c r="F1458" s="21" t="s">
        <v>6281</v>
      </c>
      <c r="G1458" s="22" t="s">
        <v>5945</v>
      </c>
      <c r="H1458" s="22" t="s">
        <v>5835</v>
      </c>
      <c r="I1458" s="22">
        <v>27.3</v>
      </c>
      <c r="K1458" s="22" t="s">
        <v>5835</v>
      </c>
      <c r="N1458" s="25" t="s">
        <v>7337</v>
      </c>
      <c r="O1458" s="25" t="s">
        <v>5835</v>
      </c>
      <c r="R1458" s="22" t="s">
        <v>5945</v>
      </c>
    </row>
    <row r="1459" spans="3:18" ht="16">
      <c r="C1459" s="19" t="s">
        <v>1233</v>
      </c>
      <c r="D1459" s="20" t="s">
        <v>3153</v>
      </c>
      <c r="E1459" s="21" t="s">
        <v>6254</v>
      </c>
      <c r="F1459" s="21" t="s">
        <v>8</v>
      </c>
      <c r="G1459" s="22" t="s">
        <v>5935</v>
      </c>
      <c r="H1459" s="22" t="s">
        <v>5835</v>
      </c>
      <c r="I1459" s="22">
        <v>33.799999999999997</v>
      </c>
      <c r="K1459" s="22" t="s">
        <v>5835</v>
      </c>
      <c r="N1459" s="25" t="s">
        <v>7338</v>
      </c>
      <c r="O1459" s="25" t="s">
        <v>5835</v>
      </c>
      <c r="R1459" s="22" t="s">
        <v>5935</v>
      </c>
    </row>
    <row r="1460" spans="3:18" ht="16">
      <c r="C1460" s="19" t="s">
        <v>1234</v>
      </c>
      <c r="D1460" s="20" t="s">
        <v>3154</v>
      </c>
      <c r="E1460" s="21" t="s">
        <v>6274</v>
      </c>
      <c r="F1460" s="21" t="s">
        <v>17</v>
      </c>
      <c r="G1460" s="22" t="s">
        <v>5935</v>
      </c>
      <c r="H1460" s="22" t="s">
        <v>5835</v>
      </c>
      <c r="I1460" s="22">
        <v>25.2</v>
      </c>
      <c r="K1460" s="22" t="s">
        <v>5835</v>
      </c>
      <c r="N1460" s="25" t="s">
        <v>7339</v>
      </c>
      <c r="O1460" s="25" t="s">
        <v>5835</v>
      </c>
      <c r="R1460" s="22" t="s">
        <v>5935</v>
      </c>
    </row>
    <row r="1461" spans="3:18" ht="16">
      <c r="C1461" s="19" t="s">
        <v>1235</v>
      </c>
      <c r="D1461" s="20" t="s">
        <v>3155</v>
      </c>
      <c r="E1461" s="21" t="s">
        <v>5923</v>
      </c>
      <c r="F1461" s="21" t="s">
        <v>5831</v>
      </c>
      <c r="G1461" s="22" t="s">
        <v>5840</v>
      </c>
      <c r="H1461" s="22" t="s">
        <v>7828</v>
      </c>
      <c r="I1461" s="22">
        <v>268.5</v>
      </c>
      <c r="K1461" s="22" t="s">
        <v>5835</v>
      </c>
      <c r="N1461" s="25">
        <v>0</v>
      </c>
      <c r="O1461" s="25" t="s">
        <v>5835</v>
      </c>
      <c r="R1461" s="22" t="s">
        <v>5840</v>
      </c>
    </row>
    <row r="1462" spans="3:18" ht="16">
      <c r="C1462" s="19" t="s">
        <v>1236</v>
      </c>
      <c r="D1462" s="20" t="s">
        <v>3156</v>
      </c>
      <c r="E1462" s="21" t="s">
        <v>5923</v>
      </c>
      <c r="F1462" s="21" t="s">
        <v>5831</v>
      </c>
      <c r="G1462" s="22" t="s">
        <v>5840</v>
      </c>
      <c r="H1462" s="22" t="s">
        <v>5835</v>
      </c>
      <c r="I1462" s="22">
        <v>66.900000000000006</v>
      </c>
      <c r="K1462" s="22" t="s">
        <v>5835</v>
      </c>
      <c r="N1462" s="25" t="s">
        <v>7340</v>
      </c>
      <c r="O1462" s="25" t="s">
        <v>5835</v>
      </c>
      <c r="R1462" s="22" t="s">
        <v>5840</v>
      </c>
    </row>
    <row r="1463" spans="3:18" ht="16">
      <c r="C1463" s="19" t="s">
        <v>1237</v>
      </c>
      <c r="D1463" s="20" t="s">
        <v>3157</v>
      </c>
      <c r="E1463" s="21" t="s">
        <v>5923</v>
      </c>
      <c r="F1463" s="21" t="s">
        <v>5831</v>
      </c>
      <c r="G1463" s="22" t="s">
        <v>5840</v>
      </c>
      <c r="H1463" s="22" t="s">
        <v>5835</v>
      </c>
      <c r="I1463" s="22">
        <v>66.099999999999994</v>
      </c>
      <c r="K1463" s="22" t="s">
        <v>5835</v>
      </c>
      <c r="N1463" s="25" t="s">
        <v>7341</v>
      </c>
      <c r="O1463" s="25" t="s">
        <v>5835</v>
      </c>
      <c r="R1463" s="22" t="s">
        <v>5840</v>
      </c>
    </row>
    <row r="1464" spans="3:18" ht="16">
      <c r="C1464" s="19" t="s">
        <v>1238</v>
      </c>
      <c r="D1464" s="20" t="s">
        <v>3158</v>
      </c>
      <c r="E1464" s="21" t="s">
        <v>5923</v>
      </c>
      <c r="F1464" s="21" t="s">
        <v>5831</v>
      </c>
      <c r="G1464" s="22" t="s">
        <v>5840</v>
      </c>
      <c r="H1464" s="22" t="s">
        <v>5835</v>
      </c>
      <c r="I1464" s="22">
        <v>42.4</v>
      </c>
      <c r="K1464" s="22" t="s">
        <v>5835</v>
      </c>
      <c r="N1464" s="25" t="s">
        <v>7342</v>
      </c>
      <c r="O1464" s="25" t="s">
        <v>5835</v>
      </c>
      <c r="R1464" s="22" t="s">
        <v>5840</v>
      </c>
    </row>
    <row r="1465" spans="3:18" ht="16">
      <c r="C1465" s="19" t="s">
        <v>1240</v>
      </c>
      <c r="D1465" s="20" t="s">
        <v>3160</v>
      </c>
      <c r="E1465" s="21" t="s">
        <v>5923</v>
      </c>
      <c r="F1465" s="21" t="s">
        <v>5831</v>
      </c>
      <c r="G1465" s="22" t="s">
        <v>5840</v>
      </c>
      <c r="H1465" s="22" t="s">
        <v>5835</v>
      </c>
      <c r="I1465" s="22">
        <v>7</v>
      </c>
      <c r="K1465" s="22" t="s">
        <v>5835</v>
      </c>
      <c r="N1465" s="25" t="s">
        <v>7343</v>
      </c>
      <c r="O1465" s="25" t="s">
        <v>5835</v>
      </c>
      <c r="R1465" s="22" t="s">
        <v>5840</v>
      </c>
    </row>
    <row r="1466" spans="3:18" ht="16">
      <c r="C1466" s="19" t="s">
        <v>1242</v>
      </c>
      <c r="D1466" s="20" t="s">
        <v>3162</v>
      </c>
      <c r="E1466" s="21" t="s">
        <v>5923</v>
      </c>
      <c r="F1466" s="21" t="s">
        <v>5831</v>
      </c>
      <c r="G1466" s="22" t="s">
        <v>5840</v>
      </c>
      <c r="H1466" s="22" t="s">
        <v>5835</v>
      </c>
      <c r="I1466" s="22">
        <v>47.5</v>
      </c>
      <c r="K1466" s="22" t="s">
        <v>5835</v>
      </c>
      <c r="N1466" s="25" t="s">
        <v>7344</v>
      </c>
      <c r="O1466" s="25" t="s">
        <v>5835</v>
      </c>
      <c r="R1466" s="22" t="s">
        <v>5840</v>
      </c>
    </row>
    <row r="1467" spans="3:18" ht="16">
      <c r="C1467" s="19" t="s">
        <v>1245</v>
      </c>
      <c r="D1467" s="20" t="s">
        <v>3165</v>
      </c>
      <c r="E1467" s="21" t="s">
        <v>5923</v>
      </c>
      <c r="F1467" s="21" t="s">
        <v>5831</v>
      </c>
      <c r="G1467" s="22" t="s">
        <v>5840</v>
      </c>
      <c r="H1467" s="22" t="s">
        <v>5835</v>
      </c>
      <c r="I1467" s="22">
        <v>46.3</v>
      </c>
      <c r="K1467" s="22" t="s">
        <v>5835</v>
      </c>
      <c r="N1467" s="25" t="s">
        <v>7345</v>
      </c>
      <c r="O1467" s="25" t="s">
        <v>5835</v>
      </c>
      <c r="R1467" s="22" t="s">
        <v>5840</v>
      </c>
    </row>
    <row r="1468" spans="3:18" ht="16">
      <c r="C1468" s="19" t="s">
        <v>1247</v>
      </c>
      <c r="D1468" s="20" t="s">
        <v>3167</v>
      </c>
      <c r="E1468" s="21" t="s">
        <v>5923</v>
      </c>
      <c r="F1468" s="21" t="s">
        <v>5831</v>
      </c>
      <c r="G1468" s="22" t="s">
        <v>5840</v>
      </c>
      <c r="H1468" s="22" t="s">
        <v>5835</v>
      </c>
      <c r="I1468" s="22">
        <v>30.6</v>
      </c>
      <c r="K1468" s="22" t="s">
        <v>5835</v>
      </c>
      <c r="N1468" s="25" t="s">
        <v>7346</v>
      </c>
      <c r="O1468" s="25" t="s">
        <v>5835</v>
      </c>
      <c r="R1468" s="22" t="s">
        <v>5840</v>
      </c>
    </row>
    <row r="1469" spans="3:18" ht="16">
      <c r="C1469" s="19" t="s">
        <v>1248</v>
      </c>
      <c r="D1469" s="20" t="s">
        <v>3168</v>
      </c>
      <c r="E1469" s="21" t="s">
        <v>5968</v>
      </c>
      <c r="F1469" s="21" t="s">
        <v>5969</v>
      </c>
      <c r="G1469" s="22" t="s">
        <v>5840</v>
      </c>
      <c r="H1469" s="22" t="s">
        <v>7828</v>
      </c>
      <c r="I1469" s="22">
        <v>263</v>
      </c>
      <c r="K1469" s="22" t="s">
        <v>5835</v>
      </c>
      <c r="N1469" s="25" t="s">
        <v>7347</v>
      </c>
      <c r="O1469" s="25" t="s">
        <v>5835</v>
      </c>
      <c r="R1469" s="22" t="s">
        <v>5840</v>
      </c>
    </row>
    <row r="1470" spans="3:18" ht="16">
      <c r="C1470" s="19" t="s">
        <v>1252</v>
      </c>
      <c r="D1470" s="20" t="s">
        <v>3172</v>
      </c>
      <c r="E1470" s="21" t="s">
        <v>6254</v>
      </c>
      <c r="F1470" s="21" t="s">
        <v>8</v>
      </c>
      <c r="G1470" s="22" t="s">
        <v>12</v>
      </c>
      <c r="H1470" s="22" t="s">
        <v>7828</v>
      </c>
      <c r="I1470" s="22">
        <v>597.70000000000005</v>
      </c>
      <c r="K1470" s="22" t="s">
        <v>5835</v>
      </c>
      <c r="N1470" s="25" t="s">
        <v>7348</v>
      </c>
      <c r="O1470" s="25" t="s">
        <v>5835</v>
      </c>
      <c r="R1470" s="22" t="s">
        <v>12</v>
      </c>
    </row>
    <row r="1471" spans="3:18" ht="16">
      <c r="C1471" s="19" t="s">
        <v>1254</v>
      </c>
      <c r="D1471" s="20" t="s">
        <v>3174</v>
      </c>
      <c r="E1471" s="21" t="s">
        <v>6054</v>
      </c>
      <c r="F1471" s="21" t="s">
        <v>6055</v>
      </c>
      <c r="G1471" s="22" t="s">
        <v>5865</v>
      </c>
      <c r="H1471" s="22" t="s">
        <v>5835</v>
      </c>
      <c r="I1471" s="22">
        <v>8.6</v>
      </c>
      <c r="K1471" s="22" t="s">
        <v>5835</v>
      </c>
      <c r="N1471" s="25" t="s">
        <v>7349</v>
      </c>
      <c r="O1471" s="25" t="s">
        <v>5835</v>
      </c>
      <c r="R1471" s="22" t="s">
        <v>5865</v>
      </c>
    </row>
    <row r="1472" spans="3:18" ht="16">
      <c r="C1472" s="19" t="s">
        <v>1257</v>
      </c>
      <c r="D1472" s="20" t="s">
        <v>3176</v>
      </c>
      <c r="E1472" s="21" t="s">
        <v>5923</v>
      </c>
      <c r="F1472" s="21" t="s">
        <v>5835</v>
      </c>
      <c r="G1472" s="22" t="s">
        <v>7827</v>
      </c>
      <c r="H1472" s="22" t="s">
        <v>5835</v>
      </c>
      <c r="I1472" s="22">
        <v>14.5</v>
      </c>
      <c r="K1472" s="22" t="s">
        <v>5835</v>
      </c>
      <c r="N1472" s="25" t="s">
        <v>5835</v>
      </c>
      <c r="O1472" s="25" t="s">
        <v>5835</v>
      </c>
      <c r="R1472" s="22" t="s">
        <v>5940</v>
      </c>
    </row>
    <row r="1473" spans="3:18" ht="16">
      <c r="C1473" s="19" t="s">
        <v>1258</v>
      </c>
      <c r="D1473" s="20" t="s">
        <v>3177</v>
      </c>
      <c r="E1473" s="21" t="s">
        <v>6001</v>
      </c>
      <c r="F1473" s="21" t="s">
        <v>5966</v>
      </c>
      <c r="G1473" s="22" t="s">
        <v>5853</v>
      </c>
      <c r="H1473" s="22" t="s">
        <v>5835</v>
      </c>
      <c r="I1473" s="22">
        <v>24.1</v>
      </c>
      <c r="K1473" s="22" t="s">
        <v>5835</v>
      </c>
      <c r="N1473" s="25" t="s">
        <v>7350</v>
      </c>
      <c r="O1473" s="25" t="s">
        <v>5835</v>
      </c>
      <c r="R1473" s="22" t="s">
        <v>5853</v>
      </c>
    </row>
    <row r="1474" spans="3:18" ht="16">
      <c r="C1474" s="19" t="s">
        <v>1259</v>
      </c>
      <c r="D1474" s="20" t="s">
        <v>3178</v>
      </c>
      <c r="E1474" s="21" t="s">
        <v>6001</v>
      </c>
      <c r="F1474" s="21" t="s">
        <v>5966</v>
      </c>
      <c r="G1474" s="22" t="s">
        <v>5853</v>
      </c>
      <c r="H1474" s="22" t="s">
        <v>5835</v>
      </c>
      <c r="I1474" s="22">
        <v>21.3</v>
      </c>
      <c r="K1474" s="22" t="s">
        <v>5835</v>
      </c>
      <c r="N1474" s="25" t="s">
        <v>7351</v>
      </c>
      <c r="O1474" s="25" t="s">
        <v>5835</v>
      </c>
      <c r="R1474" s="22" t="s">
        <v>5853</v>
      </c>
    </row>
    <row r="1475" spans="3:18" ht="16">
      <c r="C1475" s="19" t="s">
        <v>1260</v>
      </c>
      <c r="D1475" s="20" t="s">
        <v>3179</v>
      </c>
      <c r="E1475" s="21" t="s">
        <v>5968</v>
      </c>
      <c r="F1475" s="21" t="s">
        <v>5969</v>
      </c>
      <c r="G1475" s="22" t="s">
        <v>5853</v>
      </c>
      <c r="H1475" s="22" t="s">
        <v>5835</v>
      </c>
      <c r="I1475" s="22">
        <v>40.799999999999997</v>
      </c>
      <c r="K1475" s="22" t="s">
        <v>5835</v>
      </c>
      <c r="N1475" s="25" t="s">
        <v>7352</v>
      </c>
      <c r="O1475" s="25" t="s">
        <v>5835</v>
      </c>
      <c r="R1475" s="22" t="s">
        <v>5853</v>
      </c>
    </row>
    <row r="1476" spans="3:18" ht="16">
      <c r="C1476" s="19" t="s">
        <v>1263</v>
      </c>
      <c r="D1476" s="20" t="s">
        <v>3182</v>
      </c>
      <c r="E1476" s="21" t="s">
        <v>6001</v>
      </c>
      <c r="F1476" s="21" t="s">
        <v>5966</v>
      </c>
      <c r="G1476" s="22" t="s">
        <v>5853</v>
      </c>
      <c r="H1476" s="22" t="s">
        <v>5835</v>
      </c>
      <c r="I1476" s="22">
        <v>108.5</v>
      </c>
      <c r="K1476" s="22" t="s">
        <v>5835</v>
      </c>
      <c r="N1476" s="25" t="s">
        <v>7353</v>
      </c>
      <c r="O1476" s="25" t="s">
        <v>5835</v>
      </c>
      <c r="R1476" s="22" t="s">
        <v>5853</v>
      </c>
    </row>
    <row r="1477" spans="3:18" ht="16">
      <c r="C1477" s="19" t="s">
        <v>1264</v>
      </c>
      <c r="D1477" s="20" t="s">
        <v>3183</v>
      </c>
      <c r="E1477" s="21" t="s">
        <v>6413</v>
      </c>
      <c r="F1477" s="21" t="s">
        <v>5852</v>
      </c>
      <c r="G1477" s="22" t="s">
        <v>5849</v>
      </c>
      <c r="H1477" s="22" t="s">
        <v>5835</v>
      </c>
      <c r="I1477" s="22">
        <v>6.9</v>
      </c>
      <c r="K1477" s="22" t="s">
        <v>5835</v>
      </c>
      <c r="N1477" s="25" t="s">
        <v>7354</v>
      </c>
      <c r="O1477" s="25" t="s">
        <v>5835</v>
      </c>
      <c r="R1477" s="22" t="s">
        <v>5849</v>
      </c>
    </row>
    <row r="1478" spans="3:18" ht="16">
      <c r="C1478" s="19" t="s">
        <v>1265</v>
      </c>
      <c r="D1478" s="20" t="s">
        <v>3184</v>
      </c>
      <c r="E1478" s="21" t="s">
        <v>6413</v>
      </c>
      <c r="F1478" s="21" t="s">
        <v>5852</v>
      </c>
      <c r="G1478" s="22" t="s">
        <v>5849</v>
      </c>
      <c r="H1478" s="22" t="s">
        <v>5835</v>
      </c>
      <c r="I1478" s="22">
        <v>12.1</v>
      </c>
      <c r="K1478" s="22" t="s">
        <v>5835</v>
      </c>
      <c r="N1478" s="25" t="s">
        <v>7355</v>
      </c>
      <c r="O1478" s="25" t="s">
        <v>5835</v>
      </c>
      <c r="R1478" s="22" t="s">
        <v>5849</v>
      </c>
    </row>
    <row r="1479" spans="3:18" ht="16">
      <c r="C1479" s="19" t="s">
        <v>1266</v>
      </c>
      <c r="D1479" s="20" t="s">
        <v>3185</v>
      </c>
      <c r="E1479" s="21" t="s">
        <v>6413</v>
      </c>
      <c r="F1479" s="21" t="s">
        <v>5852</v>
      </c>
      <c r="G1479" s="22" t="s">
        <v>5849</v>
      </c>
      <c r="H1479" s="22" t="s">
        <v>5835</v>
      </c>
      <c r="I1479" s="22">
        <v>10.5</v>
      </c>
      <c r="K1479" s="22" t="s">
        <v>5835</v>
      </c>
      <c r="N1479" s="25" t="s">
        <v>7356</v>
      </c>
      <c r="O1479" s="25" t="s">
        <v>5835</v>
      </c>
      <c r="R1479" s="22" t="s">
        <v>5849</v>
      </c>
    </row>
    <row r="1480" spans="3:18" ht="16">
      <c r="C1480" s="19" t="s">
        <v>1268</v>
      </c>
      <c r="D1480" s="20" t="s">
        <v>3187</v>
      </c>
      <c r="E1480" s="21" t="s">
        <v>6440</v>
      </c>
      <c r="F1480" s="21" t="s">
        <v>5835</v>
      </c>
      <c r="G1480" s="22" t="s">
        <v>5974</v>
      </c>
      <c r="H1480" s="22" t="s">
        <v>5835</v>
      </c>
      <c r="I1480" s="22">
        <v>52.7</v>
      </c>
      <c r="K1480" s="22" t="s">
        <v>5835</v>
      </c>
      <c r="N1480" s="25" t="s">
        <v>7357</v>
      </c>
      <c r="O1480" s="25" t="s">
        <v>5835</v>
      </c>
      <c r="R1480" s="22" t="s">
        <v>5974</v>
      </c>
    </row>
    <row r="1481" spans="3:18" ht="16">
      <c r="C1481" s="19" t="s">
        <v>1271</v>
      </c>
      <c r="D1481" s="20" t="s">
        <v>3190</v>
      </c>
      <c r="E1481" s="21" t="s">
        <v>6432</v>
      </c>
      <c r="F1481" s="21" t="s">
        <v>5835</v>
      </c>
      <c r="G1481" s="22" t="s">
        <v>5974</v>
      </c>
      <c r="H1481" s="22" t="s">
        <v>5835</v>
      </c>
      <c r="I1481" s="22">
        <v>10.5</v>
      </c>
      <c r="K1481" s="22" t="s">
        <v>5835</v>
      </c>
      <c r="N1481" s="25" t="s">
        <v>7358</v>
      </c>
      <c r="O1481" s="25" t="s">
        <v>5835</v>
      </c>
      <c r="R1481" s="22" t="s">
        <v>5974</v>
      </c>
    </row>
    <row r="1482" spans="3:18" ht="16">
      <c r="C1482" s="19" t="s">
        <v>1273</v>
      </c>
      <c r="D1482" s="20" t="s">
        <v>3192</v>
      </c>
      <c r="E1482" s="21" t="s">
        <v>5980</v>
      </c>
      <c r="F1482" s="21" t="s">
        <v>5852</v>
      </c>
      <c r="G1482" s="22" t="s">
        <v>5964</v>
      </c>
      <c r="H1482" s="22" t="s">
        <v>5835</v>
      </c>
      <c r="I1482" s="22">
        <v>42.9</v>
      </c>
      <c r="K1482" s="22" t="s">
        <v>5835</v>
      </c>
      <c r="N1482" s="25" t="s">
        <v>7359</v>
      </c>
      <c r="O1482" s="25" t="s">
        <v>5835</v>
      </c>
      <c r="R1482" s="22" t="s">
        <v>5964</v>
      </c>
    </row>
    <row r="1483" spans="3:18" ht="16">
      <c r="C1483" s="19" t="s">
        <v>1274</v>
      </c>
      <c r="D1483" s="20" t="s">
        <v>3193</v>
      </c>
      <c r="E1483" s="21" t="s">
        <v>5980</v>
      </c>
      <c r="F1483" s="21" t="s">
        <v>5852</v>
      </c>
      <c r="G1483" s="22" t="s">
        <v>5964</v>
      </c>
      <c r="H1483" s="22" t="s">
        <v>7828</v>
      </c>
      <c r="I1483" s="22">
        <v>457.6</v>
      </c>
      <c r="K1483" s="22" t="s">
        <v>5835</v>
      </c>
      <c r="N1483" s="25" t="s">
        <v>7360</v>
      </c>
      <c r="O1483" s="25" t="s">
        <v>5835</v>
      </c>
      <c r="R1483" s="22" t="s">
        <v>5964</v>
      </c>
    </row>
    <row r="1484" spans="3:18" ht="16">
      <c r="C1484" s="19" t="s">
        <v>1275</v>
      </c>
      <c r="D1484" s="20" t="s">
        <v>3194</v>
      </c>
      <c r="E1484" s="21" t="s">
        <v>5980</v>
      </c>
      <c r="F1484" s="21" t="s">
        <v>5852</v>
      </c>
      <c r="G1484" s="22" t="s">
        <v>5964</v>
      </c>
      <c r="H1484" s="22" t="s">
        <v>7828</v>
      </c>
      <c r="I1484" s="22">
        <v>531.79999999999995</v>
      </c>
      <c r="K1484" s="22" t="s">
        <v>5835</v>
      </c>
      <c r="N1484" s="25" t="s">
        <v>7361</v>
      </c>
      <c r="O1484" s="25" t="s">
        <v>5835</v>
      </c>
      <c r="R1484" s="22" t="s">
        <v>5964</v>
      </c>
    </row>
    <row r="1485" spans="3:18" ht="16">
      <c r="C1485" s="19" t="s">
        <v>1276</v>
      </c>
      <c r="D1485" s="20" t="s">
        <v>3195</v>
      </c>
      <c r="E1485" s="21" t="s">
        <v>5980</v>
      </c>
      <c r="F1485" s="21" t="s">
        <v>5852</v>
      </c>
      <c r="G1485" s="22" t="s">
        <v>5849</v>
      </c>
      <c r="H1485" s="22" t="s">
        <v>5835</v>
      </c>
      <c r="I1485" s="22">
        <v>29.6</v>
      </c>
      <c r="K1485" s="22" t="s">
        <v>5835</v>
      </c>
      <c r="N1485" s="25" t="s">
        <v>7362</v>
      </c>
      <c r="O1485" s="25" t="s">
        <v>5835</v>
      </c>
      <c r="R1485" s="22" t="s">
        <v>5849</v>
      </c>
    </row>
    <row r="1486" spans="3:18" ht="16">
      <c r="C1486" s="19" t="s">
        <v>1280</v>
      </c>
      <c r="D1486" s="20" t="s">
        <v>3199</v>
      </c>
      <c r="E1486" s="21" t="s">
        <v>6440</v>
      </c>
      <c r="F1486" s="21" t="s">
        <v>5835</v>
      </c>
      <c r="G1486" s="22" t="s">
        <v>5974</v>
      </c>
      <c r="H1486" s="22" t="s">
        <v>5835</v>
      </c>
      <c r="I1486" s="22">
        <v>42.3</v>
      </c>
      <c r="K1486" s="22" t="s">
        <v>5835</v>
      </c>
      <c r="N1486" s="25" t="s">
        <v>7363</v>
      </c>
      <c r="O1486" s="25" t="s">
        <v>5835</v>
      </c>
      <c r="R1486" s="22" t="s">
        <v>5974</v>
      </c>
    </row>
    <row r="1487" spans="3:18" ht="16">
      <c r="C1487" s="19" t="s">
        <v>1281</v>
      </c>
      <c r="D1487" s="20" t="s">
        <v>3200</v>
      </c>
      <c r="E1487" s="21" t="s">
        <v>6440</v>
      </c>
      <c r="F1487" s="21" t="s">
        <v>5835</v>
      </c>
      <c r="G1487" s="22" t="s">
        <v>5974</v>
      </c>
      <c r="H1487" s="22" t="s">
        <v>5835</v>
      </c>
      <c r="I1487" s="22">
        <v>73.3</v>
      </c>
      <c r="K1487" s="22" t="s">
        <v>5835</v>
      </c>
      <c r="N1487" s="25" t="s">
        <v>7364</v>
      </c>
      <c r="O1487" s="25" t="s">
        <v>5835</v>
      </c>
      <c r="R1487" s="22" t="s">
        <v>5974</v>
      </c>
    </row>
    <row r="1488" spans="3:18" ht="16">
      <c r="C1488" s="19" t="s">
        <v>1282</v>
      </c>
      <c r="D1488" s="20" t="s">
        <v>3201</v>
      </c>
      <c r="E1488" s="21" t="s">
        <v>6440</v>
      </c>
      <c r="F1488" s="21" t="s">
        <v>5835</v>
      </c>
      <c r="G1488" s="22" t="s">
        <v>5974</v>
      </c>
      <c r="H1488" s="22" t="s">
        <v>5835</v>
      </c>
      <c r="I1488" s="22">
        <v>47.7</v>
      </c>
      <c r="K1488" s="22" t="s">
        <v>5835</v>
      </c>
      <c r="N1488" s="25" t="s">
        <v>7365</v>
      </c>
      <c r="O1488" s="25" t="s">
        <v>5835</v>
      </c>
      <c r="R1488" s="22" t="s">
        <v>5974</v>
      </c>
    </row>
    <row r="1489" spans="3:18" ht="16">
      <c r="C1489" s="19" t="s">
        <v>1283</v>
      </c>
      <c r="D1489" s="20" t="s">
        <v>3202</v>
      </c>
      <c r="E1489" s="21" t="s">
        <v>6440</v>
      </c>
      <c r="F1489" s="21" t="s">
        <v>5835</v>
      </c>
      <c r="G1489" s="22" t="s">
        <v>5974</v>
      </c>
      <c r="H1489" s="22" t="s">
        <v>5835</v>
      </c>
      <c r="I1489" s="22">
        <v>64.7</v>
      </c>
      <c r="K1489" s="22" t="s">
        <v>5835</v>
      </c>
      <c r="N1489" s="25" t="s">
        <v>7366</v>
      </c>
      <c r="O1489" s="25" t="s">
        <v>5835</v>
      </c>
      <c r="R1489" s="22" t="s">
        <v>5974</v>
      </c>
    </row>
    <row r="1490" spans="3:18" ht="16">
      <c r="C1490" s="19" t="s">
        <v>1284</v>
      </c>
      <c r="D1490" s="20" t="s">
        <v>3203</v>
      </c>
      <c r="E1490" s="21" t="s">
        <v>6440</v>
      </c>
      <c r="F1490" s="21" t="s">
        <v>5835</v>
      </c>
      <c r="G1490" s="22" t="s">
        <v>5974</v>
      </c>
      <c r="H1490" s="22" t="s">
        <v>7828</v>
      </c>
      <c r="I1490" s="22">
        <v>263</v>
      </c>
      <c r="K1490" s="22" t="s">
        <v>5835</v>
      </c>
      <c r="N1490" s="25" t="s">
        <v>7367</v>
      </c>
      <c r="O1490" s="25" t="s">
        <v>5835</v>
      </c>
      <c r="R1490" s="22" t="s">
        <v>5974</v>
      </c>
    </row>
    <row r="1491" spans="3:18" ht="16">
      <c r="C1491" s="19" t="s">
        <v>1286</v>
      </c>
      <c r="D1491" s="20" t="s">
        <v>3205</v>
      </c>
      <c r="E1491" s="21" t="s">
        <v>6440</v>
      </c>
      <c r="F1491" s="21" t="s">
        <v>5835</v>
      </c>
      <c r="G1491" s="22" t="s">
        <v>5974</v>
      </c>
      <c r="H1491" s="22" t="s">
        <v>5835</v>
      </c>
      <c r="I1491" s="22">
        <v>44.2</v>
      </c>
      <c r="K1491" s="22" t="s">
        <v>5835</v>
      </c>
      <c r="N1491" s="25" t="s">
        <v>7368</v>
      </c>
      <c r="O1491" s="25" t="s">
        <v>5835</v>
      </c>
      <c r="R1491" s="22" t="s">
        <v>5974</v>
      </c>
    </row>
    <row r="1492" spans="3:18" ht="16">
      <c r="C1492" s="19" t="s">
        <v>1287</v>
      </c>
      <c r="D1492" s="20" t="s">
        <v>3206</v>
      </c>
      <c r="E1492" s="21" t="s">
        <v>5968</v>
      </c>
      <c r="F1492" s="21" t="s">
        <v>5969</v>
      </c>
      <c r="G1492" s="22" t="s">
        <v>7827</v>
      </c>
      <c r="H1492" s="22" t="s">
        <v>5835</v>
      </c>
      <c r="I1492" s="22">
        <v>43.5</v>
      </c>
      <c r="K1492" s="22" t="s">
        <v>5835</v>
      </c>
      <c r="N1492" s="25" t="s">
        <v>7369</v>
      </c>
      <c r="O1492" s="25" t="s">
        <v>5835</v>
      </c>
      <c r="R1492" s="22" t="s">
        <v>5940</v>
      </c>
    </row>
    <row r="1493" spans="3:18" ht="16">
      <c r="C1493" s="19" t="s">
        <v>1288</v>
      </c>
      <c r="D1493" s="20" t="s">
        <v>3207</v>
      </c>
      <c r="E1493" s="21" t="s">
        <v>6257</v>
      </c>
      <c r="F1493" s="21" t="s">
        <v>10</v>
      </c>
      <c r="G1493" s="22" t="s">
        <v>5915</v>
      </c>
      <c r="H1493" s="22" t="s">
        <v>5835</v>
      </c>
      <c r="I1493" s="22">
        <v>6.7</v>
      </c>
      <c r="K1493" s="22" t="s">
        <v>5835</v>
      </c>
      <c r="N1493" s="25" t="s">
        <v>7370</v>
      </c>
      <c r="O1493" s="25" t="s">
        <v>5835</v>
      </c>
      <c r="R1493" s="22" t="s">
        <v>5915</v>
      </c>
    </row>
    <row r="1494" spans="3:18" ht="16">
      <c r="C1494" s="19" t="s">
        <v>1289</v>
      </c>
      <c r="D1494" s="20" t="s">
        <v>3208</v>
      </c>
      <c r="E1494" s="21" t="s">
        <v>6257</v>
      </c>
      <c r="F1494" s="21" t="s">
        <v>10</v>
      </c>
      <c r="G1494" s="22" t="s">
        <v>5978</v>
      </c>
      <c r="H1494" s="22" t="s">
        <v>7828</v>
      </c>
      <c r="I1494" s="22">
        <v>128.30000000000001</v>
      </c>
      <c r="K1494" s="22" t="s">
        <v>5835</v>
      </c>
      <c r="N1494" s="25" t="s">
        <v>7371</v>
      </c>
      <c r="O1494" s="25" t="s">
        <v>5835</v>
      </c>
      <c r="R1494" s="22" t="s">
        <v>5978</v>
      </c>
    </row>
    <row r="1495" spans="3:18" ht="16">
      <c r="C1495" s="19" t="s">
        <v>1291</v>
      </c>
      <c r="D1495" s="20" t="s">
        <v>3210</v>
      </c>
      <c r="E1495" s="21" t="s">
        <v>6025</v>
      </c>
      <c r="F1495" s="21" t="s">
        <v>17</v>
      </c>
      <c r="G1495" s="22" t="s">
        <v>5855</v>
      </c>
      <c r="H1495" s="22" t="s">
        <v>5835</v>
      </c>
      <c r="I1495" s="22">
        <v>7.1</v>
      </c>
      <c r="K1495" s="22" t="s">
        <v>5835</v>
      </c>
      <c r="N1495" s="25" t="s">
        <v>7372</v>
      </c>
      <c r="O1495" s="25" t="s">
        <v>5835</v>
      </c>
      <c r="R1495" s="22" t="s">
        <v>5855</v>
      </c>
    </row>
    <row r="1496" spans="3:18" ht="16">
      <c r="C1496" s="19" t="s">
        <v>1292</v>
      </c>
      <c r="D1496" s="20" t="s">
        <v>3211</v>
      </c>
      <c r="E1496" s="21" t="s">
        <v>6664</v>
      </c>
      <c r="F1496" s="21" t="s">
        <v>6314</v>
      </c>
      <c r="G1496" s="22" t="s">
        <v>5997</v>
      </c>
      <c r="H1496" s="22" t="s">
        <v>5835</v>
      </c>
      <c r="I1496" s="22">
        <v>53.1</v>
      </c>
      <c r="K1496" s="22" t="s">
        <v>5835</v>
      </c>
      <c r="N1496" s="25" t="s">
        <v>7373</v>
      </c>
      <c r="O1496" s="25" t="s">
        <v>5835</v>
      </c>
      <c r="R1496" s="22" t="s">
        <v>5997</v>
      </c>
    </row>
    <row r="1497" spans="3:18" ht="16">
      <c r="C1497" s="19" t="s">
        <v>1294</v>
      </c>
      <c r="D1497" s="20" t="s">
        <v>3213</v>
      </c>
      <c r="E1497" s="21" t="s">
        <v>6471</v>
      </c>
      <c r="F1497" s="21" t="s">
        <v>6231</v>
      </c>
      <c r="G1497" s="22" t="s">
        <v>5933</v>
      </c>
      <c r="H1497" s="22" t="s">
        <v>5835</v>
      </c>
      <c r="I1497" s="22">
        <v>12.7</v>
      </c>
      <c r="K1497" s="22" t="s">
        <v>5835</v>
      </c>
      <c r="N1497" s="25" t="s">
        <v>7374</v>
      </c>
      <c r="O1497" s="25" t="s">
        <v>5835</v>
      </c>
      <c r="R1497" s="22" t="s">
        <v>5933</v>
      </c>
    </row>
    <row r="1498" spans="3:18" ht="16">
      <c r="C1498" s="19" t="s">
        <v>1295</v>
      </c>
      <c r="D1498" s="20" t="s">
        <v>3214</v>
      </c>
      <c r="E1498" s="21" t="s">
        <v>6208</v>
      </c>
      <c r="F1498" s="21" t="s">
        <v>17</v>
      </c>
      <c r="G1498" s="22" t="s">
        <v>7825</v>
      </c>
      <c r="H1498" s="22" t="s">
        <v>5835</v>
      </c>
      <c r="I1498" s="22">
        <v>16.600000000000001</v>
      </c>
      <c r="K1498" s="22" t="s">
        <v>5835</v>
      </c>
      <c r="N1498" s="25" t="s">
        <v>7375</v>
      </c>
      <c r="O1498" s="25" t="s">
        <v>5835</v>
      </c>
      <c r="R1498" s="22" t="s">
        <v>6202</v>
      </c>
    </row>
    <row r="1499" spans="3:18" ht="16">
      <c r="C1499" s="19" t="s">
        <v>1299</v>
      </c>
      <c r="D1499" s="20" t="s">
        <v>3218</v>
      </c>
      <c r="E1499" s="21" t="s">
        <v>6237</v>
      </c>
      <c r="F1499" s="21" t="s">
        <v>6231</v>
      </c>
      <c r="G1499" s="22" t="s">
        <v>5933</v>
      </c>
      <c r="H1499" s="22" t="s">
        <v>5835</v>
      </c>
      <c r="I1499" s="22">
        <v>12.7</v>
      </c>
      <c r="K1499" s="22" t="s">
        <v>5835</v>
      </c>
      <c r="N1499" s="25" t="s">
        <v>7376</v>
      </c>
      <c r="O1499" s="25" t="s">
        <v>5835</v>
      </c>
      <c r="R1499" s="22" t="s">
        <v>5933</v>
      </c>
    </row>
    <row r="1500" spans="3:18" ht="16">
      <c r="C1500" s="19" t="s">
        <v>1301</v>
      </c>
      <c r="D1500" s="20" t="s">
        <v>3220</v>
      </c>
      <c r="E1500" s="21" t="s">
        <v>6277</v>
      </c>
      <c r="F1500" s="21" t="s">
        <v>17</v>
      </c>
      <c r="G1500" s="22" t="s">
        <v>5995</v>
      </c>
      <c r="H1500" s="22" t="s">
        <v>7828</v>
      </c>
      <c r="I1500" s="22">
        <v>681.7</v>
      </c>
      <c r="K1500" s="22" t="s">
        <v>5835</v>
      </c>
      <c r="N1500" s="25" t="s">
        <v>6811</v>
      </c>
      <c r="O1500" s="25" t="s">
        <v>5835</v>
      </c>
      <c r="R1500" s="22" t="s">
        <v>5995</v>
      </c>
    </row>
    <row r="1501" spans="3:18" ht="16">
      <c r="C1501" s="19" t="s">
        <v>1302</v>
      </c>
      <c r="D1501" s="20" t="s">
        <v>3221</v>
      </c>
      <c r="E1501" s="21" t="s">
        <v>6254</v>
      </c>
      <c r="F1501" s="21" t="s">
        <v>8</v>
      </c>
      <c r="G1501" s="22" t="s">
        <v>12</v>
      </c>
      <c r="H1501" s="22" t="s">
        <v>5835</v>
      </c>
      <c r="I1501" s="22">
        <v>39.1</v>
      </c>
      <c r="K1501" s="22" t="s">
        <v>5835</v>
      </c>
      <c r="N1501" s="25" t="s">
        <v>7377</v>
      </c>
      <c r="O1501" s="25" t="s">
        <v>5835</v>
      </c>
      <c r="R1501" s="22" t="s">
        <v>12</v>
      </c>
    </row>
    <row r="1502" spans="3:18" ht="16">
      <c r="C1502" s="19" t="s">
        <v>1303</v>
      </c>
      <c r="D1502" s="20" t="s">
        <v>3222</v>
      </c>
      <c r="E1502" s="21" t="s">
        <v>6237</v>
      </c>
      <c r="F1502" s="21" t="s">
        <v>6231</v>
      </c>
      <c r="G1502" s="22" t="s">
        <v>5933</v>
      </c>
      <c r="H1502" s="22" t="s">
        <v>5835</v>
      </c>
      <c r="I1502" s="22">
        <v>33.1</v>
      </c>
      <c r="K1502" s="22" t="s">
        <v>5835</v>
      </c>
      <c r="N1502" s="25" t="s">
        <v>7378</v>
      </c>
      <c r="O1502" s="25" t="s">
        <v>5835</v>
      </c>
      <c r="R1502" s="22" t="s">
        <v>5933</v>
      </c>
    </row>
    <row r="1503" spans="3:18" ht="16">
      <c r="C1503" s="19" t="s">
        <v>1304</v>
      </c>
      <c r="D1503" s="20" t="s">
        <v>3223</v>
      </c>
      <c r="E1503" s="21" t="s">
        <v>6230</v>
      </c>
      <c r="F1503" s="21" t="s">
        <v>6231</v>
      </c>
      <c r="G1503" s="22" t="s">
        <v>5902</v>
      </c>
      <c r="H1503" s="22" t="s">
        <v>5835</v>
      </c>
      <c r="I1503" s="22">
        <v>58.4</v>
      </c>
      <c r="K1503" s="22" t="s">
        <v>5835</v>
      </c>
      <c r="N1503" s="25" t="s">
        <v>7379</v>
      </c>
      <c r="O1503" s="25" t="s">
        <v>5835</v>
      </c>
      <c r="R1503" s="22" t="s">
        <v>5902</v>
      </c>
    </row>
    <row r="1504" spans="3:18" ht="16">
      <c r="C1504" s="19" t="s">
        <v>1305</v>
      </c>
      <c r="D1504" s="20" t="s">
        <v>3224</v>
      </c>
      <c r="E1504" s="21" t="s">
        <v>6254</v>
      </c>
      <c r="F1504" s="21" t="s">
        <v>8</v>
      </c>
      <c r="G1504" s="22" t="s">
        <v>5875</v>
      </c>
      <c r="H1504" s="22" t="s">
        <v>5835</v>
      </c>
      <c r="I1504" s="22">
        <v>155.69999999999999</v>
      </c>
      <c r="K1504" s="22" t="s">
        <v>5835</v>
      </c>
      <c r="N1504" s="25" t="s">
        <v>7380</v>
      </c>
      <c r="O1504" s="25" t="s">
        <v>5835</v>
      </c>
      <c r="R1504" s="22" t="s">
        <v>5875</v>
      </c>
    </row>
    <row r="1505" spans="3:18" ht="16">
      <c r="C1505" s="19" t="s">
        <v>1306</v>
      </c>
      <c r="D1505" s="20" t="s">
        <v>3225</v>
      </c>
      <c r="E1505" s="21" t="s">
        <v>6067</v>
      </c>
      <c r="F1505" s="21" t="s">
        <v>17</v>
      </c>
      <c r="G1505" s="22" t="s">
        <v>5920</v>
      </c>
      <c r="H1505" s="22" t="s">
        <v>5835</v>
      </c>
      <c r="I1505" s="22">
        <v>27.7</v>
      </c>
      <c r="K1505" s="22" t="s">
        <v>5835</v>
      </c>
      <c r="N1505" s="25" t="s">
        <v>7381</v>
      </c>
      <c r="O1505" s="25" t="s">
        <v>5835</v>
      </c>
      <c r="R1505" s="22" t="s">
        <v>5920</v>
      </c>
    </row>
    <row r="1506" spans="3:18" ht="16">
      <c r="C1506" s="19" t="s">
        <v>1307</v>
      </c>
      <c r="D1506" s="20" t="s">
        <v>3226</v>
      </c>
      <c r="E1506" s="21" t="s">
        <v>6219</v>
      </c>
      <c r="F1506" s="21" t="s">
        <v>17</v>
      </c>
      <c r="G1506" s="22" t="s">
        <v>5918</v>
      </c>
      <c r="H1506" s="22" t="s">
        <v>5835</v>
      </c>
      <c r="I1506" s="22">
        <v>20.9</v>
      </c>
      <c r="K1506" s="22" t="s">
        <v>5835</v>
      </c>
      <c r="N1506" s="25" t="s">
        <v>7382</v>
      </c>
      <c r="O1506" s="25" t="s">
        <v>5835</v>
      </c>
      <c r="R1506" s="22" t="s">
        <v>5918</v>
      </c>
    </row>
    <row r="1507" spans="3:18" ht="16">
      <c r="C1507" s="19" t="s">
        <v>1309</v>
      </c>
      <c r="D1507" s="20" t="s">
        <v>3228</v>
      </c>
      <c r="E1507" s="21" t="s">
        <v>6257</v>
      </c>
      <c r="F1507" s="21" t="s">
        <v>10</v>
      </c>
      <c r="G1507" s="22" t="s">
        <v>5937</v>
      </c>
      <c r="H1507" s="22" t="s">
        <v>5835</v>
      </c>
      <c r="I1507" s="22">
        <v>18.100000000000001</v>
      </c>
      <c r="K1507" s="22" t="s">
        <v>5835</v>
      </c>
      <c r="N1507" s="25" t="s">
        <v>7383</v>
      </c>
      <c r="O1507" s="25" t="s">
        <v>5835</v>
      </c>
      <c r="R1507" s="22" t="s">
        <v>5937</v>
      </c>
    </row>
    <row r="1508" spans="3:18" ht="16">
      <c r="C1508" s="19" t="s">
        <v>1310</v>
      </c>
      <c r="D1508" s="20" t="s">
        <v>3229</v>
      </c>
      <c r="E1508" s="21" t="s">
        <v>6074</v>
      </c>
      <c r="F1508" s="21" t="s">
        <v>6075</v>
      </c>
      <c r="G1508" s="22" t="s">
        <v>5884</v>
      </c>
      <c r="H1508" s="22" t="s">
        <v>5835</v>
      </c>
      <c r="I1508" s="22">
        <v>18.5</v>
      </c>
      <c r="K1508" s="22" t="s">
        <v>5835</v>
      </c>
      <c r="N1508" s="25" t="s">
        <v>7384</v>
      </c>
      <c r="O1508" s="25" t="s">
        <v>5835</v>
      </c>
      <c r="R1508" s="22" t="s">
        <v>5884</v>
      </c>
    </row>
    <row r="1509" spans="3:18" ht="16">
      <c r="C1509" s="19" t="s">
        <v>1312</v>
      </c>
      <c r="D1509" s="20" t="s">
        <v>3231</v>
      </c>
      <c r="E1509" s="21" t="s">
        <v>6067</v>
      </c>
      <c r="F1509" s="21" t="s">
        <v>17</v>
      </c>
      <c r="G1509" s="22" t="s">
        <v>5918</v>
      </c>
      <c r="H1509" s="22" t="s">
        <v>5835</v>
      </c>
      <c r="I1509" s="22">
        <v>15.3</v>
      </c>
      <c r="K1509" s="22" t="s">
        <v>5835</v>
      </c>
      <c r="N1509" s="25" t="s">
        <v>7385</v>
      </c>
      <c r="O1509" s="25" t="s">
        <v>5835</v>
      </c>
      <c r="R1509" s="22" t="s">
        <v>5918</v>
      </c>
    </row>
    <row r="1510" spans="3:18" ht="16">
      <c r="C1510" s="19" t="s">
        <v>1314</v>
      </c>
      <c r="D1510" s="20" t="s">
        <v>3233</v>
      </c>
      <c r="E1510" s="21" t="s">
        <v>6257</v>
      </c>
      <c r="F1510" s="21" t="s">
        <v>10</v>
      </c>
      <c r="G1510" s="22" t="s">
        <v>5988</v>
      </c>
      <c r="H1510" s="22" t="s">
        <v>7828</v>
      </c>
      <c r="I1510" s="22">
        <v>134.30000000000001</v>
      </c>
      <c r="K1510" s="22" t="s">
        <v>5835</v>
      </c>
      <c r="N1510" s="25" t="s">
        <v>7386</v>
      </c>
      <c r="O1510" s="25" t="s">
        <v>5835</v>
      </c>
      <c r="R1510" s="22" t="s">
        <v>5988</v>
      </c>
    </row>
    <row r="1511" spans="3:18" ht="16">
      <c r="C1511" s="19" t="s">
        <v>1316</v>
      </c>
      <c r="D1511" s="20" t="s">
        <v>3235</v>
      </c>
      <c r="E1511" s="21" t="s">
        <v>6313</v>
      </c>
      <c r="F1511" s="21" t="s">
        <v>6314</v>
      </c>
      <c r="G1511" s="22" t="s">
        <v>5958</v>
      </c>
      <c r="H1511" s="22" t="s">
        <v>7828</v>
      </c>
      <c r="I1511" s="22">
        <v>21.7</v>
      </c>
      <c r="K1511" s="22" t="s">
        <v>5835</v>
      </c>
      <c r="N1511" s="25" t="s">
        <v>7387</v>
      </c>
      <c r="O1511" s="25" t="s">
        <v>5835</v>
      </c>
      <c r="R1511" s="22" t="s">
        <v>5958</v>
      </c>
    </row>
    <row r="1512" spans="3:18" ht="16">
      <c r="C1512" s="19" t="s">
        <v>1319</v>
      </c>
      <c r="D1512" s="20" t="s">
        <v>3238</v>
      </c>
      <c r="E1512" s="21" t="s">
        <v>6226</v>
      </c>
      <c r="F1512" s="21" t="s">
        <v>5913</v>
      </c>
      <c r="G1512" s="22" t="s">
        <v>5949</v>
      </c>
      <c r="H1512" s="22" t="s">
        <v>5835</v>
      </c>
      <c r="I1512" s="22">
        <v>93.8</v>
      </c>
      <c r="K1512" s="22" t="s">
        <v>5835</v>
      </c>
      <c r="N1512" s="25" t="s">
        <v>7388</v>
      </c>
      <c r="O1512" s="25" t="s">
        <v>5835</v>
      </c>
      <c r="R1512" s="22" t="s">
        <v>5949</v>
      </c>
    </row>
    <row r="1513" spans="3:18" ht="16">
      <c r="C1513" s="19" t="s">
        <v>1320</v>
      </c>
      <c r="D1513" s="20" t="s">
        <v>3239</v>
      </c>
      <c r="E1513" s="21" t="s">
        <v>6237</v>
      </c>
      <c r="F1513" s="21" t="s">
        <v>6231</v>
      </c>
      <c r="G1513" s="22" t="s">
        <v>7825</v>
      </c>
      <c r="H1513" s="22" t="s">
        <v>5835</v>
      </c>
      <c r="I1513" s="22">
        <v>8.1999999999999993</v>
      </c>
      <c r="K1513" s="22" t="s">
        <v>5835</v>
      </c>
      <c r="N1513" s="25" t="s">
        <v>7389</v>
      </c>
      <c r="O1513" s="25" t="s">
        <v>5835</v>
      </c>
      <c r="R1513" s="22" t="s">
        <v>6202</v>
      </c>
    </row>
    <row r="1514" spans="3:18" ht="16">
      <c r="C1514" s="19" t="s">
        <v>1321</v>
      </c>
      <c r="D1514" s="20" t="s">
        <v>3240</v>
      </c>
      <c r="E1514" s="21" t="s">
        <v>6222</v>
      </c>
      <c r="F1514" s="21" t="s">
        <v>8</v>
      </c>
      <c r="G1514" s="22" t="s">
        <v>5913</v>
      </c>
      <c r="H1514" s="22" t="s">
        <v>7828</v>
      </c>
      <c r="I1514" s="22">
        <v>164.1</v>
      </c>
      <c r="K1514" s="22" t="s">
        <v>5835</v>
      </c>
      <c r="N1514" s="25" t="s">
        <v>7390</v>
      </c>
      <c r="O1514" s="25" t="s">
        <v>5835</v>
      </c>
      <c r="R1514" s="22" t="s">
        <v>5913</v>
      </c>
    </row>
    <row r="1515" spans="3:18" ht="16">
      <c r="C1515" s="19" t="s">
        <v>1322</v>
      </c>
      <c r="D1515" s="20" t="s">
        <v>3241</v>
      </c>
      <c r="E1515" s="21" t="s">
        <v>6222</v>
      </c>
      <c r="F1515" s="21" t="s">
        <v>8</v>
      </c>
      <c r="G1515" s="22" t="s">
        <v>14</v>
      </c>
      <c r="H1515" s="22" t="s">
        <v>7828</v>
      </c>
      <c r="I1515" s="22">
        <v>407.4</v>
      </c>
      <c r="K1515" s="22" t="s">
        <v>5835</v>
      </c>
      <c r="N1515" s="25" t="s">
        <v>7391</v>
      </c>
      <c r="O1515" s="25" t="s">
        <v>5835</v>
      </c>
      <c r="R1515" s="22" t="s">
        <v>14</v>
      </c>
    </row>
    <row r="1516" spans="3:18" ht="16">
      <c r="C1516" s="19" t="s">
        <v>1323</v>
      </c>
      <c r="D1516" s="20" t="s">
        <v>3242</v>
      </c>
      <c r="E1516" s="21" t="s">
        <v>6313</v>
      </c>
      <c r="F1516" s="21" t="s">
        <v>6314</v>
      </c>
      <c r="G1516" s="22" t="s">
        <v>5958</v>
      </c>
      <c r="H1516" s="22" t="s">
        <v>7828</v>
      </c>
      <c r="I1516" s="22">
        <v>24.3</v>
      </c>
      <c r="K1516" s="22" t="s">
        <v>5835</v>
      </c>
      <c r="N1516" s="25" t="s">
        <v>7392</v>
      </c>
      <c r="O1516" s="25" t="s">
        <v>5835</v>
      </c>
      <c r="R1516" s="22" t="s">
        <v>5958</v>
      </c>
    </row>
    <row r="1517" spans="3:18" ht="16">
      <c r="C1517" s="19" t="s">
        <v>1324</v>
      </c>
      <c r="D1517" s="20" t="s">
        <v>3243</v>
      </c>
      <c r="E1517" s="21" t="s">
        <v>6304</v>
      </c>
      <c r="F1517" s="21" t="s">
        <v>17</v>
      </c>
      <c r="G1517" s="22" t="s">
        <v>5924</v>
      </c>
      <c r="H1517" s="22" t="s">
        <v>5835</v>
      </c>
      <c r="I1517" s="22">
        <v>34.299999999999997</v>
      </c>
      <c r="K1517" s="22" t="s">
        <v>5835</v>
      </c>
      <c r="N1517" s="25" t="s">
        <v>7393</v>
      </c>
      <c r="O1517" s="25" t="s">
        <v>5835</v>
      </c>
      <c r="R1517" s="22" t="s">
        <v>5924</v>
      </c>
    </row>
    <row r="1518" spans="3:18" ht="16">
      <c r="C1518" s="19" t="s">
        <v>1325</v>
      </c>
      <c r="D1518" s="20" t="s">
        <v>3244</v>
      </c>
      <c r="E1518" s="21" t="s">
        <v>6471</v>
      </c>
      <c r="F1518" s="21" t="s">
        <v>6231</v>
      </c>
      <c r="G1518" s="22" t="s">
        <v>5838</v>
      </c>
      <c r="H1518" s="22" t="s">
        <v>5835</v>
      </c>
      <c r="I1518" s="22">
        <v>15.9</v>
      </c>
      <c r="K1518" s="22" t="s">
        <v>5835</v>
      </c>
      <c r="N1518" s="25" t="s">
        <v>7394</v>
      </c>
      <c r="O1518" s="25" t="s">
        <v>5835</v>
      </c>
      <c r="R1518" s="22" t="s">
        <v>5838</v>
      </c>
    </row>
    <row r="1519" spans="3:18" ht="16">
      <c r="C1519" s="19" t="s">
        <v>1328</v>
      </c>
      <c r="D1519" s="20" t="s">
        <v>3247</v>
      </c>
      <c r="E1519" s="21" t="s">
        <v>6237</v>
      </c>
      <c r="F1519" s="21" t="s">
        <v>6231</v>
      </c>
      <c r="G1519" s="22" t="s">
        <v>5933</v>
      </c>
      <c r="H1519" s="22" t="s">
        <v>5835</v>
      </c>
      <c r="I1519" s="22">
        <v>11.4</v>
      </c>
      <c r="K1519" s="22" t="s">
        <v>5835</v>
      </c>
      <c r="N1519" s="25" t="s">
        <v>7395</v>
      </c>
      <c r="O1519" s="25" t="s">
        <v>5835</v>
      </c>
      <c r="R1519" s="22" t="s">
        <v>5933</v>
      </c>
    </row>
    <row r="1520" spans="3:18" ht="16">
      <c r="C1520" s="19" t="s">
        <v>1330</v>
      </c>
      <c r="D1520" s="20" t="s">
        <v>3249</v>
      </c>
      <c r="E1520" s="21" t="s">
        <v>6208</v>
      </c>
      <c r="F1520" s="21" t="s">
        <v>17</v>
      </c>
      <c r="G1520" s="22" t="s">
        <v>5911</v>
      </c>
      <c r="H1520" s="22" t="s">
        <v>5835</v>
      </c>
      <c r="I1520" s="22">
        <v>29.2</v>
      </c>
      <c r="K1520" s="22" t="s">
        <v>5835</v>
      </c>
      <c r="N1520" s="25" t="s">
        <v>7396</v>
      </c>
      <c r="O1520" s="25" t="s">
        <v>5835</v>
      </c>
      <c r="R1520" s="22" t="s">
        <v>5911</v>
      </c>
    </row>
    <row r="1521" spans="3:18" ht="16">
      <c r="C1521" s="19" t="s">
        <v>1331</v>
      </c>
      <c r="D1521" s="20" t="s">
        <v>3250</v>
      </c>
      <c r="E1521" s="21" t="s">
        <v>6067</v>
      </c>
      <c r="F1521" s="21" t="s">
        <v>17</v>
      </c>
      <c r="G1521" s="22" t="s">
        <v>5920</v>
      </c>
      <c r="H1521" s="22" t="s">
        <v>5835</v>
      </c>
      <c r="I1521" s="22">
        <v>13</v>
      </c>
      <c r="K1521" s="22" t="s">
        <v>5835</v>
      </c>
      <c r="N1521" s="25" t="s">
        <v>7397</v>
      </c>
      <c r="O1521" s="25" t="s">
        <v>5835</v>
      </c>
      <c r="R1521" s="22" t="s">
        <v>5920</v>
      </c>
    </row>
    <row r="1522" spans="3:18" ht="16">
      <c r="C1522" s="19" t="s">
        <v>1332</v>
      </c>
      <c r="D1522" s="20" t="s">
        <v>3251</v>
      </c>
      <c r="E1522" s="21" t="s">
        <v>6358</v>
      </c>
      <c r="F1522" s="21" t="s">
        <v>6281</v>
      </c>
      <c r="G1522" s="22" t="s">
        <v>5945</v>
      </c>
      <c r="H1522" s="22" t="s">
        <v>5835</v>
      </c>
      <c r="I1522" s="22">
        <v>13.8</v>
      </c>
      <c r="K1522" s="22" t="s">
        <v>5835</v>
      </c>
      <c r="N1522" s="25" t="s">
        <v>7398</v>
      </c>
      <c r="O1522" s="25" t="s">
        <v>5835</v>
      </c>
      <c r="R1522" s="22" t="s">
        <v>5945</v>
      </c>
    </row>
    <row r="1523" spans="3:18" ht="16">
      <c r="C1523" s="19" t="s">
        <v>1333</v>
      </c>
      <c r="D1523" s="20" t="s">
        <v>3252</v>
      </c>
      <c r="E1523" s="21" t="s">
        <v>6224</v>
      </c>
      <c r="F1523" s="21" t="s">
        <v>17</v>
      </c>
      <c r="G1523" s="22" t="s">
        <v>5924</v>
      </c>
      <c r="H1523" s="22" t="s">
        <v>5835</v>
      </c>
      <c r="I1523" s="22">
        <v>23.7</v>
      </c>
      <c r="K1523" s="22" t="s">
        <v>5835</v>
      </c>
      <c r="N1523" s="25" t="s">
        <v>7399</v>
      </c>
      <c r="O1523" s="25" t="s">
        <v>5835</v>
      </c>
      <c r="R1523" s="22" t="s">
        <v>5924</v>
      </c>
    </row>
    <row r="1524" spans="3:18" ht="16">
      <c r="C1524" s="19" t="s">
        <v>1334</v>
      </c>
      <c r="D1524" s="20" t="s">
        <v>3253</v>
      </c>
      <c r="E1524" s="21" t="s">
        <v>6313</v>
      </c>
      <c r="F1524" s="21" t="s">
        <v>6314</v>
      </c>
      <c r="G1524" s="22" t="s">
        <v>5913</v>
      </c>
      <c r="H1524" s="22" t="s">
        <v>5835</v>
      </c>
      <c r="I1524" s="22">
        <v>31.2</v>
      </c>
      <c r="K1524" s="22" t="s">
        <v>5835</v>
      </c>
      <c r="N1524" s="25" t="s">
        <v>7400</v>
      </c>
      <c r="O1524" s="25" t="s">
        <v>5835</v>
      </c>
      <c r="R1524" s="22" t="s">
        <v>5913</v>
      </c>
    </row>
    <row r="1525" spans="3:18" ht="16">
      <c r="C1525" s="19" t="s">
        <v>1338</v>
      </c>
      <c r="D1525" s="20" t="s">
        <v>3257</v>
      </c>
      <c r="E1525" s="21" t="s">
        <v>6497</v>
      </c>
      <c r="F1525" s="21" t="s">
        <v>6200</v>
      </c>
      <c r="G1525" s="22" t="s">
        <v>5949</v>
      </c>
      <c r="H1525" s="22" t="s">
        <v>5835</v>
      </c>
      <c r="I1525" s="22">
        <v>20.100000000000001</v>
      </c>
      <c r="K1525" s="22" t="s">
        <v>5835</v>
      </c>
      <c r="N1525" s="25" t="s">
        <v>7401</v>
      </c>
      <c r="O1525" s="25" t="s">
        <v>5835</v>
      </c>
      <c r="R1525" s="22" t="s">
        <v>5949</v>
      </c>
    </row>
    <row r="1526" spans="3:18" ht="16">
      <c r="C1526" s="19" t="s">
        <v>1340</v>
      </c>
      <c r="D1526" s="20" t="s">
        <v>3259</v>
      </c>
      <c r="E1526" s="21" t="s">
        <v>6664</v>
      </c>
      <c r="F1526" s="21" t="s">
        <v>6314</v>
      </c>
      <c r="G1526" s="22" t="s">
        <v>5997</v>
      </c>
      <c r="H1526" s="22" t="s">
        <v>5835</v>
      </c>
      <c r="I1526" s="22">
        <v>5.0999999999999996</v>
      </c>
      <c r="K1526" s="22" t="s">
        <v>5835</v>
      </c>
      <c r="N1526" s="25" t="s">
        <v>7402</v>
      </c>
      <c r="O1526" s="25" t="s">
        <v>5835</v>
      </c>
      <c r="R1526" s="22" t="s">
        <v>5997</v>
      </c>
    </row>
    <row r="1527" spans="3:18" ht="16">
      <c r="C1527" s="19" t="s">
        <v>1341</v>
      </c>
      <c r="D1527" s="20" t="s">
        <v>3260</v>
      </c>
      <c r="E1527" s="21" t="s">
        <v>6237</v>
      </c>
      <c r="F1527" s="21" t="s">
        <v>6231</v>
      </c>
      <c r="G1527" s="22" t="s">
        <v>7825</v>
      </c>
      <c r="H1527" s="22" t="s">
        <v>5835</v>
      </c>
      <c r="I1527" s="22">
        <v>47.7</v>
      </c>
      <c r="K1527" s="22" t="s">
        <v>5835</v>
      </c>
      <c r="N1527" s="25" t="s">
        <v>7403</v>
      </c>
      <c r="O1527" s="25" t="s">
        <v>5835</v>
      </c>
      <c r="R1527" s="22" t="s">
        <v>6202</v>
      </c>
    </row>
    <row r="1528" spans="3:18" ht="16">
      <c r="C1528" s="19" t="s">
        <v>1342</v>
      </c>
      <c r="D1528" s="20" t="s">
        <v>3261</v>
      </c>
      <c r="E1528" s="21" t="s">
        <v>5923</v>
      </c>
      <c r="F1528" s="21" t="s">
        <v>5831</v>
      </c>
      <c r="G1528" s="22" t="s">
        <v>5840</v>
      </c>
      <c r="H1528" s="22" t="s">
        <v>5835</v>
      </c>
      <c r="I1528" s="22">
        <v>35.5</v>
      </c>
      <c r="K1528" s="22" t="s">
        <v>5835</v>
      </c>
      <c r="N1528" s="25" t="s">
        <v>7345</v>
      </c>
      <c r="O1528" s="25" t="s">
        <v>5835</v>
      </c>
      <c r="R1528" s="22" t="s">
        <v>5840</v>
      </c>
    </row>
    <row r="1529" spans="3:18" ht="16">
      <c r="C1529" s="19" t="s">
        <v>1343</v>
      </c>
      <c r="D1529" s="20" t="s">
        <v>3262</v>
      </c>
      <c r="E1529" s="21" t="s">
        <v>6219</v>
      </c>
      <c r="F1529" s="21" t="s">
        <v>17</v>
      </c>
      <c r="G1529" s="22" t="s">
        <v>5918</v>
      </c>
      <c r="H1529" s="22" t="s">
        <v>5835</v>
      </c>
      <c r="I1529" s="22">
        <v>62.2</v>
      </c>
      <c r="K1529" s="22" t="s">
        <v>5835</v>
      </c>
      <c r="N1529" s="25" t="s">
        <v>7404</v>
      </c>
      <c r="O1529" s="25" t="s">
        <v>5835</v>
      </c>
      <c r="R1529" s="22" t="s">
        <v>5918</v>
      </c>
    </row>
    <row r="1530" spans="3:18" ht="16">
      <c r="C1530" s="19" t="s">
        <v>1344</v>
      </c>
      <c r="D1530" s="20" t="s">
        <v>3263</v>
      </c>
      <c r="E1530" s="21" t="s">
        <v>6219</v>
      </c>
      <c r="F1530" s="21" t="s">
        <v>17</v>
      </c>
      <c r="G1530" s="22" t="s">
        <v>5918</v>
      </c>
      <c r="H1530" s="22" t="s">
        <v>5835</v>
      </c>
      <c r="I1530" s="22">
        <v>10.3</v>
      </c>
      <c r="K1530" s="22" t="s">
        <v>5835</v>
      </c>
      <c r="N1530" s="25" t="s">
        <v>7405</v>
      </c>
      <c r="O1530" s="25" t="s">
        <v>5835</v>
      </c>
      <c r="R1530" s="22" t="s">
        <v>5918</v>
      </c>
    </row>
    <row r="1531" spans="3:18" ht="16">
      <c r="C1531" s="19" t="s">
        <v>1345</v>
      </c>
      <c r="D1531" s="20" t="s">
        <v>3264</v>
      </c>
      <c r="E1531" s="21" t="s">
        <v>6219</v>
      </c>
      <c r="F1531" s="21" t="s">
        <v>17</v>
      </c>
      <c r="G1531" s="22" t="s">
        <v>5918</v>
      </c>
      <c r="H1531" s="22" t="s">
        <v>5835</v>
      </c>
      <c r="I1531" s="22">
        <v>47.9</v>
      </c>
      <c r="K1531" s="22" t="s">
        <v>5835</v>
      </c>
      <c r="N1531" s="25" t="s">
        <v>7406</v>
      </c>
      <c r="O1531" s="25" t="s">
        <v>5835</v>
      </c>
      <c r="R1531" s="22" t="s">
        <v>5918</v>
      </c>
    </row>
    <row r="1532" spans="3:18" ht="16">
      <c r="C1532" s="19" t="s">
        <v>1348</v>
      </c>
      <c r="D1532" s="20" t="s">
        <v>3267</v>
      </c>
      <c r="E1532" s="21" t="s">
        <v>5968</v>
      </c>
      <c r="F1532" s="21" t="s">
        <v>5969</v>
      </c>
      <c r="G1532" s="22" t="s">
        <v>5869</v>
      </c>
      <c r="H1532" s="22" t="s">
        <v>5835</v>
      </c>
      <c r="I1532" s="22">
        <v>32.200000000000003</v>
      </c>
      <c r="K1532" s="22" t="s">
        <v>5835</v>
      </c>
      <c r="N1532" s="25" t="s">
        <v>7407</v>
      </c>
      <c r="O1532" s="25" t="s">
        <v>5835</v>
      </c>
      <c r="R1532" s="22" t="s">
        <v>5869</v>
      </c>
    </row>
    <row r="1533" spans="3:18" ht="16">
      <c r="C1533" s="19" t="s">
        <v>1349</v>
      </c>
      <c r="D1533" s="20" t="s">
        <v>3268</v>
      </c>
      <c r="E1533" s="21" t="s">
        <v>6664</v>
      </c>
      <c r="F1533" s="21" t="s">
        <v>6314</v>
      </c>
      <c r="G1533" s="22" t="s">
        <v>5997</v>
      </c>
      <c r="H1533" s="22" t="s">
        <v>5835</v>
      </c>
      <c r="I1533" s="22">
        <v>130.6</v>
      </c>
      <c r="K1533" s="22" t="s">
        <v>5835</v>
      </c>
      <c r="N1533" s="25" t="s">
        <v>7408</v>
      </c>
      <c r="O1533" s="25" t="s">
        <v>5835</v>
      </c>
      <c r="R1533" s="22" t="s">
        <v>5997</v>
      </c>
    </row>
    <row r="1534" spans="3:18" ht="16">
      <c r="C1534" s="19" t="s">
        <v>1350</v>
      </c>
      <c r="D1534" s="20" t="s">
        <v>3269</v>
      </c>
      <c r="E1534" s="21" t="s">
        <v>6228</v>
      </c>
      <c r="F1534" s="21" t="s">
        <v>8</v>
      </c>
      <c r="G1534" s="22" t="s">
        <v>5993</v>
      </c>
      <c r="H1534" s="22" t="s">
        <v>5835</v>
      </c>
      <c r="I1534" s="22">
        <v>119.4</v>
      </c>
      <c r="K1534" s="22" t="s">
        <v>5835</v>
      </c>
      <c r="N1534" s="25" t="s">
        <v>7409</v>
      </c>
      <c r="O1534" s="25" t="s">
        <v>5835</v>
      </c>
      <c r="R1534" s="22" t="s">
        <v>5993</v>
      </c>
    </row>
    <row r="1535" spans="3:18" ht="16">
      <c r="C1535" s="19" t="s">
        <v>1353</v>
      </c>
      <c r="D1535" s="20" t="s">
        <v>3272</v>
      </c>
      <c r="E1535" s="21" t="s">
        <v>6067</v>
      </c>
      <c r="F1535" s="21" t="s">
        <v>17</v>
      </c>
      <c r="G1535" s="22" t="s">
        <v>5920</v>
      </c>
      <c r="H1535" s="22" t="s">
        <v>5835</v>
      </c>
      <c r="I1535" s="22">
        <v>22.6</v>
      </c>
      <c r="K1535" s="22" t="s">
        <v>5835</v>
      </c>
      <c r="N1535" s="25" t="s">
        <v>6547</v>
      </c>
      <c r="O1535" s="25" t="s">
        <v>5835</v>
      </c>
      <c r="R1535" s="22" t="s">
        <v>5920</v>
      </c>
    </row>
    <row r="1536" spans="3:18" ht="16">
      <c r="C1536" s="19" t="s">
        <v>1354</v>
      </c>
      <c r="D1536" s="20" t="s">
        <v>3273</v>
      </c>
      <c r="E1536" s="21" t="s">
        <v>5923</v>
      </c>
      <c r="F1536" s="21" t="s">
        <v>5831</v>
      </c>
      <c r="G1536" s="22" t="s">
        <v>5840</v>
      </c>
      <c r="H1536" s="22" t="s">
        <v>5835</v>
      </c>
      <c r="I1536" s="22">
        <v>103.7</v>
      </c>
      <c r="K1536" s="22" t="s">
        <v>5835</v>
      </c>
      <c r="N1536" s="25" t="s">
        <v>7410</v>
      </c>
      <c r="O1536" s="25" t="s">
        <v>5835</v>
      </c>
      <c r="R1536" s="22" t="s">
        <v>5840</v>
      </c>
    </row>
    <row r="1537" spans="3:18" ht="16">
      <c r="C1537" s="19" t="s">
        <v>1355</v>
      </c>
      <c r="D1537" s="20" t="s">
        <v>3274</v>
      </c>
      <c r="E1537" s="21" t="s">
        <v>6230</v>
      </c>
      <c r="F1537" s="21" t="s">
        <v>6231</v>
      </c>
      <c r="G1537" s="22" t="s">
        <v>12</v>
      </c>
      <c r="H1537" s="22" t="s">
        <v>7828</v>
      </c>
      <c r="I1537" s="22">
        <v>384.3</v>
      </c>
      <c r="K1537" s="22" t="s">
        <v>5835</v>
      </c>
      <c r="N1537" s="25" t="s">
        <v>7411</v>
      </c>
      <c r="O1537" s="25" t="s">
        <v>5835</v>
      </c>
      <c r="R1537" s="22" t="s">
        <v>12</v>
      </c>
    </row>
    <row r="1538" spans="3:18" ht="16">
      <c r="C1538" s="19" t="s">
        <v>1356</v>
      </c>
      <c r="D1538" s="20" t="s">
        <v>3275</v>
      </c>
      <c r="E1538" s="21" t="s">
        <v>6252</v>
      </c>
      <c r="F1538" s="21" t="s">
        <v>6080</v>
      </c>
      <c r="G1538" s="22" t="s">
        <v>5915</v>
      </c>
      <c r="H1538" s="22" t="s">
        <v>5835</v>
      </c>
      <c r="I1538" s="22">
        <v>242.2</v>
      </c>
      <c r="K1538" s="22" t="s">
        <v>5835</v>
      </c>
      <c r="N1538" s="25" t="s">
        <v>7412</v>
      </c>
      <c r="O1538" s="25" t="s">
        <v>5835</v>
      </c>
      <c r="R1538" s="22" t="s">
        <v>5915</v>
      </c>
    </row>
    <row r="1539" spans="3:18" ht="16">
      <c r="C1539" s="19" t="s">
        <v>1358</v>
      </c>
      <c r="D1539" s="20" t="s">
        <v>3277</v>
      </c>
      <c r="E1539" s="21" t="s">
        <v>6067</v>
      </c>
      <c r="F1539" s="21" t="s">
        <v>17</v>
      </c>
      <c r="G1539" s="22" t="s">
        <v>5920</v>
      </c>
      <c r="H1539" s="22" t="s">
        <v>5835</v>
      </c>
      <c r="I1539" s="22">
        <v>64</v>
      </c>
      <c r="K1539" s="22" t="s">
        <v>5835</v>
      </c>
      <c r="N1539" s="25" t="s">
        <v>7413</v>
      </c>
      <c r="O1539" s="25" t="s">
        <v>5835</v>
      </c>
      <c r="R1539" s="22" t="s">
        <v>5920</v>
      </c>
    </row>
    <row r="1540" spans="3:18" ht="16">
      <c r="C1540" s="19" t="s">
        <v>1361</v>
      </c>
      <c r="D1540" s="20" t="s">
        <v>3280</v>
      </c>
      <c r="E1540" s="21" t="s">
        <v>6208</v>
      </c>
      <c r="F1540" s="21" t="s">
        <v>17</v>
      </c>
      <c r="G1540" s="22" t="s">
        <v>5911</v>
      </c>
      <c r="H1540" s="22" t="s">
        <v>5835</v>
      </c>
      <c r="I1540" s="22">
        <v>16.399999999999999</v>
      </c>
      <c r="K1540" s="22" t="s">
        <v>5835</v>
      </c>
      <c r="N1540" s="25" t="s">
        <v>7414</v>
      </c>
      <c r="O1540" s="25" t="s">
        <v>5835</v>
      </c>
      <c r="R1540" s="22" t="s">
        <v>5911</v>
      </c>
    </row>
    <row r="1541" spans="3:18" ht="16">
      <c r="C1541" s="19" t="s">
        <v>1362</v>
      </c>
      <c r="D1541" s="20" t="s">
        <v>3281</v>
      </c>
      <c r="E1541" s="21" t="s">
        <v>5980</v>
      </c>
      <c r="F1541" s="21" t="s">
        <v>5852</v>
      </c>
      <c r="G1541" s="22" t="s">
        <v>5879</v>
      </c>
      <c r="H1541" s="22" t="s">
        <v>5835</v>
      </c>
      <c r="I1541" s="22">
        <v>14</v>
      </c>
      <c r="K1541" s="22" t="s">
        <v>5835</v>
      </c>
      <c r="N1541" s="25" t="s">
        <v>7415</v>
      </c>
      <c r="O1541" s="25" t="s">
        <v>5835</v>
      </c>
      <c r="R1541" s="22" t="s">
        <v>5879</v>
      </c>
    </row>
    <row r="1542" spans="3:18" ht="16">
      <c r="C1542" s="19" t="s">
        <v>1365</v>
      </c>
      <c r="D1542" s="20" t="s">
        <v>3284</v>
      </c>
      <c r="E1542" s="21" t="s">
        <v>5923</v>
      </c>
      <c r="F1542" s="21" t="s">
        <v>10</v>
      </c>
      <c r="G1542" s="22" t="s">
        <v>5947</v>
      </c>
      <c r="H1542" s="22" t="s">
        <v>5835</v>
      </c>
      <c r="I1542" s="22">
        <v>54.1</v>
      </c>
      <c r="K1542" s="22" t="s">
        <v>5835</v>
      </c>
      <c r="N1542" s="25" t="s">
        <v>7416</v>
      </c>
      <c r="O1542" s="25" t="s">
        <v>5835</v>
      </c>
      <c r="R1542" s="22" t="s">
        <v>5947</v>
      </c>
    </row>
    <row r="1543" spans="3:18" ht="16">
      <c r="C1543" s="19" t="s">
        <v>1366</v>
      </c>
      <c r="D1543" s="20" t="s">
        <v>3285</v>
      </c>
      <c r="E1543" s="21" t="s">
        <v>5968</v>
      </c>
      <c r="F1543" s="21" t="s">
        <v>5969</v>
      </c>
      <c r="G1543" s="22" t="s">
        <v>7827</v>
      </c>
      <c r="H1543" s="22" t="s">
        <v>5835</v>
      </c>
      <c r="I1543" s="22">
        <v>61.7</v>
      </c>
      <c r="K1543" s="22" t="s">
        <v>5835</v>
      </c>
      <c r="N1543" s="25" t="s">
        <v>7417</v>
      </c>
      <c r="O1543" s="25" t="s">
        <v>5835</v>
      </c>
      <c r="R1543" s="22" t="s">
        <v>5940</v>
      </c>
    </row>
    <row r="1544" spans="3:18" ht="16">
      <c r="C1544" s="19" t="s">
        <v>1369</v>
      </c>
      <c r="D1544" s="20" t="s">
        <v>3288</v>
      </c>
      <c r="E1544" s="21" t="s">
        <v>6025</v>
      </c>
      <c r="F1544" s="21" t="s">
        <v>17</v>
      </c>
      <c r="G1544" s="22" t="s">
        <v>5855</v>
      </c>
      <c r="H1544" s="22" t="s">
        <v>5835</v>
      </c>
      <c r="I1544" s="22">
        <v>59.4</v>
      </c>
      <c r="K1544" s="22" t="s">
        <v>5835</v>
      </c>
      <c r="N1544" s="25" t="s">
        <v>7418</v>
      </c>
      <c r="O1544" s="25" t="s">
        <v>5835</v>
      </c>
      <c r="R1544" s="22" t="s">
        <v>5855</v>
      </c>
    </row>
    <row r="1545" spans="3:18" ht="16">
      <c r="C1545" s="19" t="s">
        <v>1370</v>
      </c>
      <c r="D1545" s="20" t="s">
        <v>3289</v>
      </c>
      <c r="E1545" s="21" t="s">
        <v>6219</v>
      </c>
      <c r="F1545" s="21" t="s">
        <v>17</v>
      </c>
      <c r="G1545" s="22" t="s">
        <v>5918</v>
      </c>
      <c r="H1545" s="22" t="s">
        <v>5835</v>
      </c>
      <c r="I1545" s="22">
        <v>14.2</v>
      </c>
      <c r="K1545" s="22" t="s">
        <v>5835</v>
      </c>
      <c r="N1545" s="25" t="s">
        <v>7419</v>
      </c>
      <c r="O1545" s="25" t="s">
        <v>5835</v>
      </c>
      <c r="R1545" s="22" t="s">
        <v>5918</v>
      </c>
    </row>
    <row r="1546" spans="3:18" ht="16">
      <c r="C1546" s="19" t="s">
        <v>1373</v>
      </c>
      <c r="D1546" s="20" t="s">
        <v>3292</v>
      </c>
      <c r="E1546" s="21" t="s">
        <v>6209</v>
      </c>
      <c r="F1546" s="21" t="s">
        <v>5913</v>
      </c>
      <c r="G1546" s="22" t="s">
        <v>5935</v>
      </c>
      <c r="H1546" s="22" t="s">
        <v>5835</v>
      </c>
      <c r="I1546" s="22">
        <v>34.4</v>
      </c>
      <c r="K1546" s="22" t="s">
        <v>5835</v>
      </c>
      <c r="N1546" s="25" t="s">
        <v>7420</v>
      </c>
      <c r="O1546" s="25" t="s">
        <v>5835</v>
      </c>
      <c r="R1546" s="22" t="s">
        <v>5935</v>
      </c>
    </row>
    <row r="1547" spans="3:18" ht="16">
      <c r="C1547" s="19" t="s">
        <v>1374</v>
      </c>
      <c r="D1547" s="20" t="s">
        <v>3293</v>
      </c>
      <c r="E1547" s="21" t="s">
        <v>6254</v>
      </c>
      <c r="F1547" s="21" t="s">
        <v>8</v>
      </c>
      <c r="G1547" s="22" t="s">
        <v>5935</v>
      </c>
      <c r="H1547" s="22" t="s">
        <v>5835</v>
      </c>
      <c r="I1547" s="22">
        <v>41.7</v>
      </c>
      <c r="K1547" s="22" t="s">
        <v>5835</v>
      </c>
      <c r="N1547" s="25" t="s">
        <v>7421</v>
      </c>
      <c r="O1547" s="25" t="s">
        <v>5835</v>
      </c>
      <c r="R1547" s="22" t="s">
        <v>5935</v>
      </c>
    </row>
    <row r="1548" spans="3:18" ht="16">
      <c r="C1548" s="19" t="s">
        <v>1376</v>
      </c>
      <c r="D1548" s="20" t="s">
        <v>3295</v>
      </c>
      <c r="E1548" s="21" t="s">
        <v>6208</v>
      </c>
      <c r="F1548" s="21" t="s">
        <v>17</v>
      </c>
      <c r="G1548" s="22" t="s">
        <v>5911</v>
      </c>
      <c r="H1548" s="22" t="s">
        <v>5835</v>
      </c>
      <c r="I1548" s="22">
        <v>5.8</v>
      </c>
      <c r="K1548" s="22" t="s">
        <v>5835</v>
      </c>
      <c r="N1548" s="25" t="s">
        <v>7422</v>
      </c>
      <c r="O1548" s="25" t="s">
        <v>5835</v>
      </c>
      <c r="R1548" s="22" t="s">
        <v>5911</v>
      </c>
    </row>
    <row r="1549" spans="3:18" ht="16">
      <c r="C1549" s="19" t="s">
        <v>1377</v>
      </c>
      <c r="D1549" s="20" t="s">
        <v>3296</v>
      </c>
      <c r="E1549" s="21" t="s">
        <v>5923</v>
      </c>
      <c r="F1549" s="21" t="s">
        <v>5831</v>
      </c>
      <c r="G1549" s="22" t="s">
        <v>5840</v>
      </c>
      <c r="H1549" s="22" t="s">
        <v>5835</v>
      </c>
      <c r="I1549" s="22">
        <v>48.3</v>
      </c>
      <c r="K1549" s="22" t="s">
        <v>5835</v>
      </c>
      <c r="N1549" s="25" t="s">
        <v>7423</v>
      </c>
      <c r="O1549" s="25" t="s">
        <v>5835</v>
      </c>
      <c r="R1549" s="22" t="s">
        <v>5840</v>
      </c>
    </row>
    <row r="1550" spans="3:18" ht="16">
      <c r="C1550" s="19" t="s">
        <v>1382</v>
      </c>
      <c r="D1550" s="20" t="s">
        <v>3301</v>
      </c>
      <c r="E1550" s="21" t="s">
        <v>6274</v>
      </c>
      <c r="F1550" s="21" t="s">
        <v>17</v>
      </c>
      <c r="G1550" s="22" t="s">
        <v>5935</v>
      </c>
      <c r="H1550" s="22" t="s">
        <v>5835</v>
      </c>
      <c r="I1550" s="22">
        <v>32.200000000000003</v>
      </c>
      <c r="K1550" s="22" t="s">
        <v>5835</v>
      </c>
      <c r="N1550" s="25" t="s">
        <v>7424</v>
      </c>
      <c r="O1550" s="25" t="s">
        <v>5835</v>
      </c>
      <c r="R1550" s="22" t="s">
        <v>5935</v>
      </c>
    </row>
    <row r="1551" spans="3:18" ht="16">
      <c r="C1551" s="19" t="s">
        <v>1383</v>
      </c>
      <c r="D1551" s="20" t="s">
        <v>3302</v>
      </c>
      <c r="E1551" s="21" t="s">
        <v>6313</v>
      </c>
      <c r="F1551" s="21" t="s">
        <v>6314</v>
      </c>
      <c r="G1551" s="22" t="s">
        <v>7825</v>
      </c>
      <c r="H1551" s="22" t="s">
        <v>5835</v>
      </c>
      <c r="I1551" s="22">
        <v>13.6</v>
      </c>
      <c r="K1551" s="22" t="s">
        <v>5835</v>
      </c>
      <c r="N1551" s="25" t="s">
        <v>7425</v>
      </c>
      <c r="O1551" s="25" t="s">
        <v>5835</v>
      </c>
      <c r="R1551" s="22" t="s">
        <v>6202</v>
      </c>
    </row>
    <row r="1552" spans="3:18" ht="16">
      <c r="C1552" s="19" t="s">
        <v>1384</v>
      </c>
      <c r="D1552" s="20" t="s">
        <v>3303</v>
      </c>
      <c r="E1552" s="21" t="s">
        <v>5923</v>
      </c>
      <c r="F1552" s="21" t="s">
        <v>5831</v>
      </c>
      <c r="G1552" s="22" t="s">
        <v>5840</v>
      </c>
      <c r="H1552" s="22" t="s">
        <v>5835</v>
      </c>
      <c r="I1552" s="22">
        <v>25.2</v>
      </c>
      <c r="K1552" s="22" t="s">
        <v>5835</v>
      </c>
      <c r="N1552" s="25" t="s">
        <v>7426</v>
      </c>
      <c r="O1552" s="25" t="s">
        <v>5835</v>
      </c>
      <c r="R1552" s="22" t="s">
        <v>5840</v>
      </c>
    </row>
    <row r="1553" spans="3:18" ht="16">
      <c r="C1553" s="19" t="s">
        <v>1385</v>
      </c>
      <c r="D1553" s="20" t="s">
        <v>3304</v>
      </c>
      <c r="E1553" s="21" t="s">
        <v>6226</v>
      </c>
      <c r="F1553" s="21" t="s">
        <v>5913</v>
      </c>
      <c r="G1553" s="22" t="s">
        <v>7825</v>
      </c>
      <c r="H1553" s="22" t="s">
        <v>5835</v>
      </c>
      <c r="I1553" s="22">
        <v>27.2</v>
      </c>
      <c r="K1553" s="22" t="s">
        <v>5835</v>
      </c>
      <c r="N1553" s="25" t="s">
        <v>7427</v>
      </c>
      <c r="O1553" s="25" t="s">
        <v>5835</v>
      </c>
      <c r="R1553" s="22" t="s">
        <v>6202</v>
      </c>
    </row>
    <row r="1554" spans="3:18" ht="16">
      <c r="C1554" s="19" t="s">
        <v>1386</v>
      </c>
      <c r="D1554" s="20" t="s">
        <v>3305</v>
      </c>
      <c r="E1554" s="21" t="s">
        <v>6313</v>
      </c>
      <c r="F1554" s="21" t="s">
        <v>6314</v>
      </c>
      <c r="G1554" s="22" t="s">
        <v>5958</v>
      </c>
      <c r="H1554" s="22" t="s">
        <v>5835</v>
      </c>
      <c r="I1554" s="22">
        <v>58.8</v>
      </c>
      <c r="K1554" s="22" t="s">
        <v>5835</v>
      </c>
      <c r="N1554" s="25" t="s">
        <v>7428</v>
      </c>
      <c r="O1554" s="25" t="s">
        <v>5835</v>
      </c>
      <c r="R1554" s="22" t="s">
        <v>5958</v>
      </c>
    </row>
    <row r="1555" spans="3:18" ht="16">
      <c r="C1555" s="19" t="s">
        <v>1387</v>
      </c>
      <c r="D1555" s="20" t="s">
        <v>7429</v>
      </c>
      <c r="E1555" s="21" t="s">
        <v>6250</v>
      </c>
      <c r="F1555" s="21" t="s">
        <v>6200</v>
      </c>
      <c r="G1555" s="22" t="s">
        <v>5881</v>
      </c>
      <c r="H1555" s="22" t="s">
        <v>5835</v>
      </c>
      <c r="I1555" s="22">
        <v>12.5</v>
      </c>
      <c r="K1555" s="22" t="s">
        <v>5835</v>
      </c>
      <c r="N1555" s="25" t="s">
        <v>7430</v>
      </c>
      <c r="O1555" s="25" t="s">
        <v>5835</v>
      </c>
      <c r="R1555" s="22" t="s">
        <v>5881</v>
      </c>
    </row>
    <row r="1556" spans="3:18" ht="16">
      <c r="C1556" s="19" t="s">
        <v>1388</v>
      </c>
      <c r="D1556" s="20" t="s">
        <v>3306</v>
      </c>
      <c r="E1556" s="21" t="s">
        <v>6230</v>
      </c>
      <c r="F1556" s="21" t="s">
        <v>6231</v>
      </c>
      <c r="G1556" s="22" t="s">
        <v>14</v>
      </c>
      <c r="H1556" s="22" t="s">
        <v>7828</v>
      </c>
      <c r="I1556" s="22">
        <v>1007.9</v>
      </c>
      <c r="K1556" s="22" t="s">
        <v>5835</v>
      </c>
      <c r="N1556" s="25" t="s">
        <v>7431</v>
      </c>
      <c r="O1556" s="25" t="s">
        <v>5835</v>
      </c>
      <c r="R1556" s="22" t="s">
        <v>14</v>
      </c>
    </row>
    <row r="1557" spans="3:18" ht="16">
      <c r="C1557" s="19" t="s">
        <v>1392</v>
      </c>
      <c r="D1557" s="20" t="s">
        <v>3310</v>
      </c>
      <c r="E1557" s="21" t="s">
        <v>6471</v>
      </c>
      <c r="F1557" s="21" t="s">
        <v>6231</v>
      </c>
      <c r="G1557" s="22" t="s">
        <v>5933</v>
      </c>
      <c r="H1557" s="22" t="s">
        <v>7828</v>
      </c>
      <c r="I1557" s="22">
        <v>72.599999999999994</v>
      </c>
      <c r="K1557" s="22" t="s">
        <v>5835</v>
      </c>
      <c r="N1557" s="25" t="s">
        <v>7432</v>
      </c>
      <c r="O1557" s="25" t="s">
        <v>5835</v>
      </c>
      <c r="R1557" s="22" t="s">
        <v>5933</v>
      </c>
    </row>
    <row r="1558" spans="3:18" ht="16">
      <c r="C1558" s="19" t="s">
        <v>1393</v>
      </c>
      <c r="D1558" s="20" t="s">
        <v>3311</v>
      </c>
      <c r="E1558" s="21" t="s">
        <v>6204</v>
      </c>
      <c r="F1558" s="21" t="s">
        <v>6080</v>
      </c>
      <c r="G1558" s="22" t="s">
        <v>5879</v>
      </c>
      <c r="H1558" s="22" t="s">
        <v>5835</v>
      </c>
      <c r="I1558" s="22">
        <v>11.2</v>
      </c>
      <c r="K1558" s="22" t="s">
        <v>5835</v>
      </c>
      <c r="N1558" s="25" t="s">
        <v>7433</v>
      </c>
      <c r="O1558" s="25" t="s">
        <v>5835</v>
      </c>
      <c r="R1558" s="22" t="s">
        <v>5879</v>
      </c>
    </row>
    <row r="1559" spans="3:18" ht="16">
      <c r="C1559" s="19" t="s">
        <v>1394</v>
      </c>
      <c r="D1559" s="20" t="s">
        <v>3312</v>
      </c>
      <c r="E1559" s="21" t="s">
        <v>6257</v>
      </c>
      <c r="F1559" s="21" t="s">
        <v>10</v>
      </c>
      <c r="G1559" s="22" t="s">
        <v>5947</v>
      </c>
      <c r="H1559" s="22" t="s">
        <v>5835</v>
      </c>
      <c r="I1559" s="22">
        <v>9.9</v>
      </c>
      <c r="K1559" s="22" t="s">
        <v>5835</v>
      </c>
      <c r="N1559" s="25" t="s">
        <v>7434</v>
      </c>
      <c r="O1559" s="25" t="s">
        <v>5835</v>
      </c>
      <c r="R1559" s="22" t="s">
        <v>5947</v>
      </c>
    </row>
    <row r="1560" spans="3:18" ht="16">
      <c r="C1560" s="19" t="s">
        <v>1396</v>
      </c>
      <c r="D1560" s="20" t="s">
        <v>3314</v>
      </c>
      <c r="E1560" s="21" t="s">
        <v>6230</v>
      </c>
      <c r="F1560" s="21" t="s">
        <v>6231</v>
      </c>
      <c r="G1560" s="22" t="s">
        <v>5958</v>
      </c>
      <c r="H1560" s="22" t="s">
        <v>7828</v>
      </c>
      <c r="I1560" s="22">
        <v>109</v>
      </c>
      <c r="K1560" s="22" t="s">
        <v>5835</v>
      </c>
      <c r="N1560" s="25" t="s">
        <v>7435</v>
      </c>
      <c r="O1560" s="25" t="s">
        <v>5835</v>
      </c>
      <c r="R1560" s="22" t="s">
        <v>5958</v>
      </c>
    </row>
    <row r="1561" spans="3:18" ht="16">
      <c r="C1561" s="19" t="s">
        <v>1397</v>
      </c>
      <c r="D1561" s="20" t="s">
        <v>3315</v>
      </c>
      <c r="E1561" s="21" t="s">
        <v>6257</v>
      </c>
      <c r="F1561" s="21" t="s">
        <v>10</v>
      </c>
      <c r="G1561" s="22" t="s">
        <v>5978</v>
      </c>
      <c r="H1561" s="22" t="s">
        <v>5835</v>
      </c>
      <c r="I1561" s="22">
        <v>16.3</v>
      </c>
      <c r="K1561" s="22" t="s">
        <v>5835</v>
      </c>
      <c r="N1561" s="25" t="s">
        <v>7436</v>
      </c>
      <c r="O1561" s="25" t="s">
        <v>5835</v>
      </c>
      <c r="R1561" s="22" t="s">
        <v>5978</v>
      </c>
    </row>
    <row r="1562" spans="3:18" ht="16">
      <c r="C1562" s="19" t="s">
        <v>1398</v>
      </c>
      <c r="D1562" s="20" t="s">
        <v>3316</v>
      </c>
      <c r="E1562" s="21" t="s">
        <v>6274</v>
      </c>
      <c r="F1562" s="21" t="s">
        <v>17</v>
      </c>
      <c r="G1562" s="22" t="s">
        <v>5935</v>
      </c>
      <c r="H1562" s="22" t="s">
        <v>5835</v>
      </c>
      <c r="I1562" s="22">
        <v>25.3</v>
      </c>
      <c r="K1562" s="22" t="s">
        <v>5835</v>
      </c>
      <c r="N1562" s="25" t="s">
        <v>7437</v>
      </c>
      <c r="O1562" s="25" t="s">
        <v>5835</v>
      </c>
      <c r="R1562" s="22" t="s">
        <v>5935</v>
      </c>
    </row>
    <row r="1563" spans="3:18" ht="16">
      <c r="C1563" s="19" t="s">
        <v>1400</v>
      </c>
      <c r="D1563" s="20" t="s">
        <v>3318</v>
      </c>
      <c r="E1563" s="21" t="s">
        <v>6074</v>
      </c>
      <c r="F1563" s="21" t="s">
        <v>6075</v>
      </c>
      <c r="G1563" s="22" t="s">
        <v>5884</v>
      </c>
      <c r="H1563" s="22" t="s">
        <v>5835</v>
      </c>
      <c r="I1563" s="22">
        <v>11.3</v>
      </c>
      <c r="K1563" s="22" t="s">
        <v>5835</v>
      </c>
      <c r="N1563" s="25" t="s">
        <v>7438</v>
      </c>
      <c r="O1563" s="25" t="s">
        <v>5835</v>
      </c>
      <c r="R1563" s="22" t="s">
        <v>5884</v>
      </c>
    </row>
    <row r="1564" spans="3:18" ht="16">
      <c r="C1564" s="19" t="s">
        <v>1401</v>
      </c>
      <c r="D1564" s="20" t="s">
        <v>3319</v>
      </c>
      <c r="E1564" s="21" t="s">
        <v>6257</v>
      </c>
      <c r="F1564" s="21" t="s">
        <v>10</v>
      </c>
      <c r="G1564" s="22" t="s">
        <v>5954</v>
      </c>
      <c r="H1564" s="22" t="s">
        <v>5835</v>
      </c>
      <c r="I1564" s="22">
        <v>30.7</v>
      </c>
      <c r="K1564" s="22" t="s">
        <v>5835</v>
      </c>
      <c r="N1564" s="25" t="s">
        <v>7439</v>
      </c>
      <c r="O1564" s="25" t="s">
        <v>5835</v>
      </c>
      <c r="R1564" s="22" t="s">
        <v>5954</v>
      </c>
    </row>
    <row r="1565" spans="3:18" ht="16">
      <c r="C1565" s="19" t="s">
        <v>1403</v>
      </c>
      <c r="D1565" s="20" t="s">
        <v>3321</v>
      </c>
      <c r="E1565" s="21" t="s">
        <v>6252</v>
      </c>
      <c r="F1565" s="21" t="s">
        <v>6080</v>
      </c>
      <c r="G1565" s="22" t="s">
        <v>7825</v>
      </c>
      <c r="H1565" s="22" t="s">
        <v>5835</v>
      </c>
      <c r="I1565" s="22">
        <v>4.8</v>
      </c>
      <c r="K1565" s="22" t="s">
        <v>5835</v>
      </c>
      <c r="N1565" s="25" t="s">
        <v>7440</v>
      </c>
      <c r="O1565" s="25" t="s">
        <v>5835</v>
      </c>
      <c r="R1565" s="22" t="s">
        <v>6202</v>
      </c>
    </row>
    <row r="1566" spans="3:18" ht="16">
      <c r="C1566" s="19" t="s">
        <v>1404</v>
      </c>
      <c r="D1566" s="20" t="s">
        <v>3322</v>
      </c>
      <c r="E1566" s="21" t="s">
        <v>6226</v>
      </c>
      <c r="F1566" s="21" t="s">
        <v>5913</v>
      </c>
      <c r="G1566" s="22" t="s">
        <v>5913</v>
      </c>
      <c r="H1566" s="22" t="s">
        <v>5835</v>
      </c>
      <c r="I1566" s="22">
        <v>6.2</v>
      </c>
      <c r="K1566" s="22" t="s">
        <v>5835</v>
      </c>
      <c r="N1566" s="25" t="s">
        <v>7441</v>
      </c>
      <c r="O1566" s="25" t="s">
        <v>5835</v>
      </c>
      <c r="R1566" s="22" t="s">
        <v>5913</v>
      </c>
    </row>
    <row r="1567" spans="3:18" ht="16">
      <c r="C1567" s="19" t="s">
        <v>1405</v>
      </c>
      <c r="D1567" s="20" t="s">
        <v>3323</v>
      </c>
      <c r="E1567" s="21" t="s">
        <v>6074</v>
      </c>
      <c r="F1567" s="21" t="s">
        <v>6075</v>
      </c>
      <c r="G1567" s="22" t="s">
        <v>5884</v>
      </c>
      <c r="H1567" s="22" t="s">
        <v>5835</v>
      </c>
      <c r="I1567" s="22">
        <v>13.4</v>
      </c>
      <c r="K1567" s="22" t="s">
        <v>5835</v>
      </c>
      <c r="N1567" s="25" t="s">
        <v>7442</v>
      </c>
      <c r="O1567" s="25" t="s">
        <v>5835</v>
      </c>
      <c r="R1567" s="22" t="s">
        <v>5884</v>
      </c>
    </row>
    <row r="1568" spans="3:18" ht="16">
      <c r="C1568" s="19" t="s">
        <v>1407</v>
      </c>
      <c r="D1568" s="20" t="s">
        <v>3325</v>
      </c>
      <c r="E1568" s="21" t="s">
        <v>6293</v>
      </c>
      <c r="F1568" s="21" t="s">
        <v>8</v>
      </c>
      <c r="G1568" s="22" t="s">
        <v>5875</v>
      </c>
      <c r="H1568" s="22" t="s">
        <v>5835</v>
      </c>
      <c r="I1568" s="22">
        <v>66.8</v>
      </c>
      <c r="K1568" s="22" t="s">
        <v>5835</v>
      </c>
      <c r="N1568" s="25" t="s">
        <v>6763</v>
      </c>
      <c r="O1568" s="25" t="s">
        <v>5835</v>
      </c>
      <c r="R1568" s="22" t="s">
        <v>5875</v>
      </c>
    </row>
    <row r="1569" spans="3:18" ht="16">
      <c r="C1569" s="19" t="s">
        <v>1408</v>
      </c>
      <c r="D1569" s="20" t="s">
        <v>3326</v>
      </c>
      <c r="E1569" s="21" t="s">
        <v>6285</v>
      </c>
      <c r="F1569" s="21" t="s">
        <v>6281</v>
      </c>
      <c r="G1569" s="22" t="s">
        <v>5945</v>
      </c>
      <c r="H1569" s="22" t="s">
        <v>5835</v>
      </c>
      <c r="I1569" s="22">
        <v>109.1</v>
      </c>
      <c r="K1569" s="22" t="s">
        <v>5835</v>
      </c>
      <c r="N1569" s="25" t="s">
        <v>7443</v>
      </c>
      <c r="O1569" s="25" t="s">
        <v>5835</v>
      </c>
      <c r="R1569" s="22" t="s">
        <v>5945</v>
      </c>
    </row>
    <row r="1570" spans="3:18" ht="16">
      <c r="C1570" s="19" t="s">
        <v>1409</v>
      </c>
      <c r="D1570" s="20" t="s">
        <v>3327</v>
      </c>
      <c r="E1570" s="21" t="s">
        <v>6319</v>
      </c>
      <c r="F1570" s="21" t="s">
        <v>17</v>
      </c>
      <c r="G1570" s="22" t="s">
        <v>7825</v>
      </c>
      <c r="H1570" s="22" t="s">
        <v>5835</v>
      </c>
      <c r="I1570" s="22">
        <v>5</v>
      </c>
      <c r="K1570" s="22" t="s">
        <v>5835</v>
      </c>
      <c r="N1570" s="25" t="s">
        <v>7444</v>
      </c>
      <c r="O1570" s="25" t="s">
        <v>5835</v>
      </c>
      <c r="R1570" s="22" t="s">
        <v>6202</v>
      </c>
    </row>
    <row r="1571" spans="3:18" ht="16">
      <c r="C1571" s="19" t="s">
        <v>1410</v>
      </c>
      <c r="D1571" s="20" t="s">
        <v>3328</v>
      </c>
      <c r="E1571" s="21" t="s">
        <v>6054</v>
      </c>
      <c r="F1571" s="21" t="s">
        <v>6055</v>
      </c>
      <c r="G1571" s="22" t="s">
        <v>5865</v>
      </c>
      <c r="H1571" s="22" t="s">
        <v>5835</v>
      </c>
      <c r="I1571" s="22">
        <v>24.6</v>
      </c>
      <c r="K1571" s="22" t="s">
        <v>5835</v>
      </c>
      <c r="N1571" s="25" t="s">
        <v>7445</v>
      </c>
      <c r="O1571" s="25" t="s">
        <v>5835</v>
      </c>
      <c r="R1571" s="22" t="s">
        <v>5865</v>
      </c>
    </row>
    <row r="1572" spans="3:18" ht="16">
      <c r="C1572" s="19" t="s">
        <v>1412</v>
      </c>
      <c r="D1572" s="20" t="s">
        <v>3330</v>
      </c>
      <c r="E1572" s="21" t="s">
        <v>6471</v>
      </c>
      <c r="F1572" s="21" t="s">
        <v>6231</v>
      </c>
      <c r="G1572" s="22" t="s">
        <v>5933</v>
      </c>
      <c r="H1572" s="22" t="s">
        <v>5835</v>
      </c>
      <c r="I1572" s="22">
        <v>4.0999999999999996</v>
      </c>
      <c r="K1572" s="22" t="s">
        <v>5835</v>
      </c>
      <c r="N1572" s="25" t="s">
        <v>7446</v>
      </c>
      <c r="O1572" s="25" t="s">
        <v>5835</v>
      </c>
      <c r="R1572" s="22" t="s">
        <v>5933</v>
      </c>
    </row>
    <row r="1573" spans="3:18" ht="16">
      <c r="C1573" s="19" t="s">
        <v>1413</v>
      </c>
      <c r="D1573" s="20" t="s">
        <v>3331</v>
      </c>
      <c r="E1573" s="21" t="s">
        <v>6222</v>
      </c>
      <c r="F1573" s="21" t="s">
        <v>8</v>
      </c>
      <c r="G1573" s="22" t="s">
        <v>14</v>
      </c>
      <c r="H1573" s="22" t="s">
        <v>5835</v>
      </c>
      <c r="I1573" s="22">
        <v>78.599999999999994</v>
      </c>
      <c r="K1573" s="22" t="s">
        <v>5835</v>
      </c>
      <c r="N1573" s="25" t="s">
        <v>7447</v>
      </c>
      <c r="O1573" s="25" t="s">
        <v>5835</v>
      </c>
      <c r="R1573" s="22" t="s">
        <v>14</v>
      </c>
    </row>
    <row r="1574" spans="3:18" ht="16">
      <c r="C1574" s="19" t="s">
        <v>1414</v>
      </c>
      <c r="D1574" s="20" t="s">
        <v>3332</v>
      </c>
      <c r="E1574" s="21" t="s">
        <v>6226</v>
      </c>
      <c r="F1574" s="21" t="s">
        <v>5913</v>
      </c>
      <c r="G1574" s="22" t="s">
        <v>5913</v>
      </c>
      <c r="H1574" s="22" t="s">
        <v>5835</v>
      </c>
      <c r="I1574" s="22">
        <v>89.4</v>
      </c>
      <c r="K1574" s="22" t="s">
        <v>5835</v>
      </c>
      <c r="N1574" s="25" t="s">
        <v>7448</v>
      </c>
      <c r="O1574" s="25" t="s">
        <v>5835</v>
      </c>
      <c r="R1574" s="22" t="s">
        <v>5913</v>
      </c>
    </row>
    <row r="1575" spans="3:18" ht="16">
      <c r="C1575" s="19" t="s">
        <v>1415</v>
      </c>
      <c r="D1575" s="20" t="s">
        <v>3333</v>
      </c>
      <c r="E1575" s="21" t="s">
        <v>5923</v>
      </c>
      <c r="F1575" s="21" t="s">
        <v>5831</v>
      </c>
      <c r="G1575" s="22" t="s">
        <v>5840</v>
      </c>
      <c r="H1575" s="22" t="s">
        <v>5835</v>
      </c>
      <c r="I1575" s="22">
        <v>11.6</v>
      </c>
      <c r="K1575" s="22" t="s">
        <v>5835</v>
      </c>
      <c r="N1575" s="25" t="s">
        <v>7449</v>
      </c>
      <c r="O1575" s="25" t="s">
        <v>5835</v>
      </c>
      <c r="R1575" s="22" t="s">
        <v>5840</v>
      </c>
    </row>
    <row r="1576" spans="3:18" ht="16">
      <c r="C1576" s="19" t="s">
        <v>1416</v>
      </c>
      <c r="D1576" s="20" t="s">
        <v>3334</v>
      </c>
      <c r="E1576" s="21" t="s">
        <v>6067</v>
      </c>
      <c r="F1576" s="21" t="s">
        <v>17</v>
      </c>
      <c r="G1576" s="22" t="s">
        <v>5933</v>
      </c>
      <c r="H1576" s="22" t="s">
        <v>5835</v>
      </c>
      <c r="I1576" s="22">
        <v>10.6</v>
      </c>
      <c r="K1576" s="22" t="s">
        <v>5835</v>
      </c>
      <c r="N1576" s="25" t="s">
        <v>7450</v>
      </c>
      <c r="O1576" s="25" t="s">
        <v>5835</v>
      </c>
      <c r="R1576" s="22" t="s">
        <v>5933</v>
      </c>
    </row>
    <row r="1577" spans="3:18" ht="16">
      <c r="C1577" s="19" t="s">
        <v>1417</v>
      </c>
      <c r="D1577" s="20" t="s">
        <v>3335</v>
      </c>
      <c r="E1577" s="21" t="s">
        <v>6274</v>
      </c>
      <c r="F1577" s="21" t="s">
        <v>17</v>
      </c>
      <c r="G1577" s="22" t="s">
        <v>5911</v>
      </c>
      <c r="H1577" s="22" t="s">
        <v>5835</v>
      </c>
      <c r="I1577" s="22">
        <v>46.6</v>
      </c>
      <c r="K1577" s="22" t="s">
        <v>5835</v>
      </c>
      <c r="N1577" s="25" t="s">
        <v>7451</v>
      </c>
      <c r="O1577" s="25" t="s">
        <v>5835</v>
      </c>
      <c r="R1577" s="22" t="s">
        <v>5911</v>
      </c>
    </row>
    <row r="1578" spans="3:18" ht="16">
      <c r="C1578" s="19" t="s">
        <v>1419</v>
      </c>
      <c r="D1578" s="20" t="s">
        <v>3337</v>
      </c>
      <c r="E1578" s="21" t="s">
        <v>6471</v>
      </c>
      <c r="F1578" s="21" t="s">
        <v>6231</v>
      </c>
      <c r="G1578" s="22" t="s">
        <v>5933</v>
      </c>
      <c r="H1578" s="22" t="s">
        <v>5835</v>
      </c>
      <c r="I1578" s="22">
        <v>15</v>
      </c>
      <c r="K1578" s="22" t="s">
        <v>5835</v>
      </c>
      <c r="N1578" s="25" t="s">
        <v>7452</v>
      </c>
      <c r="O1578" s="25" t="s">
        <v>5835</v>
      </c>
      <c r="R1578" s="22" t="s">
        <v>5933</v>
      </c>
    </row>
    <row r="1579" spans="3:18" ht="16">
      <c r="C1579" s="19" t="s">
        <v>1422</v>
      </c>
      <c r="D1579" s="20" t="s">
        <v>3340</v>
      </c>
      <c r="E1579" s="21" t="s">
        <v>6274</v>
      </c>
      <c r="F1579" s="21" t="s">
        <v>17</v>
      </c>
      <c r="G1579" s="22" t="s">
        <v>5943</v>
      </c>
      <c r="H1579" s="22" t="s">
        <v>7828</v>
      </c>
      <c r="I1579" s="22">
        <v>707.6</v>
      </c>
      <c r="K1579" s="22" t="s">
        <v>5835</v>
      </c>
      <c r="N1579" s="25" t="s">
        <v>6275</v>
      </c>
      <c r="O1579" s="25" t="s">
        <v>5835</v>
      </c>
      <c r="R1579" s="22" t="s">
        <v>5943</v>
      </c>
    </row>
    <row r="1580" spans="3:18" ht="16">
      <c r="C1580" s="19" t="s">
        <v>1423</v>
      </c>
      <c r="D1580" s="20" t="s">
        <v>3341</v>
      </c>
      <c r="E1580" s="21" t="s">
        <v>6252</v>
      </c>
      <c r="F1580" s="21" t="s">
        <v>6080</v>
      </c>
      <c r="G1580" s="22" t="s">
        <v>5879</v>
      </c>
      <c r="H1580" s="22" t="s">
        <v>5835</v>
      </c>
      <c r="I1580" s="22">
        <v>32.299999999999997</v>
      </c>
      <c r="K1580" s="22" t="s">
        <v>5835</v>
      </c>
      <c r="N1580" s="25" t="s">
        <v>7453</v>
      </c>
      <c r="O1580" s="25" t="s">
        <v>5835</v>
      </c>
      <c r="R1580" s="22" t="s">
        <v>5879</v>
      </c>
    </row>
    <row r="1581" spans="3:18" ht="16">
      <c r="C1581" s="19" t="s">
        <v>1424</v>
      </c>
      <c r="D1581" s="20" t="s">
        <v>3342</v>
      </c>
      <c r="E1581" s="21" t="s">
        <v>6166</v>
      </c>
      <c r="F1581" s="21" t="s">
        <v>6080</v>
      </c>
      <c r="G1581" s="22" t="s">
        <v>5855</v>
      </c>
      <c r="H1581" s="22" t="s">
        <v>5835</v>
      </c>
      <c r="I1581" s="22">
        <v>12.7</v>
      </c>
      <c r="K1581" s="22" t="s">
        <v>5835</v>
      </c>
      <c r="N1581" s="25" t="s">
        <v>7454</v>
      </c>
      <c r="O1581" s="25" t="s">
        <v>5835</v>
      </c>
      <c r="R1581" s="22" t="s">
        <v>5855</v>
      </c>
    </row>
    <row r="1582" spans="3:18" ht="16">
      <c r="C1582" s="19" t="s">
        <v>1427</v>
      </c>
      <c r="D1582" s="20" t="s">
        <v>3345</v>
      </c>
      <c r="E1582" s="21" t="s">
        <v>5926</v>
      </c>
      <c r="F1582" s="21" t="s">
        <v>5927</v>
      </c>
      <c r="G1582" s="22" t="s">
        <v>5867</v>
      </c>
      <c r="H1582" s="22" t="s">
        <v>5835</v>
      </c>
      <c r="I1582" s="22">
        <v>145.30000000000001</v>
      </c>
      <c r="K1582" s="22" t="s">
        <v>5835</v>
      </c>
      <c r="N1582" s="25" t="s">
        <v>7455</v>
      </c>
      <c r="O1582" s="25" t="s">
        <v>5835</v>
      </c>
      <c r="R1582" s="22" t="s">
        <v>5867</v>
      </c>
    </row>
    <row r="1583" spans="3:18" ht="16">
      <c r="C1583" s="19" t="s">
        <v>1431</v>
      </c>
      <c r="D1583" s="20" t="s">
        <v>3349</v>
      </c>
      <c r="E1583" s="21" t="s">
        <v>6319</v>
      </c>
      <c r="F1583" s="21" t="s">
        <v>17</v>
      </c>
      <c r="G1583" s="22" t="s">
        <v>5918</v>
      </c>
      <c r="H1583" s="22" t="s">
        <v>5835</v>
      </c>
      <c r="I1583" s="22">
        <v>102.8</v>
      </c>
      <c r="K1583" s="22" t="s">
        <v>5835</v>
      </c>
      <c r="N1583" s="25" t="s">
        <v>7456</v>
      </c>
      <c r="O1583" s="25" t="s">
        <v>5835</v>
      </c>
      <c r="R1583" s="22" t="s">
        <v>5918</v>
      </c>
    </row>
    <row r="1584" spans="3:18" ht="16">
      <c r="C1584" s="19" t="s">
        <v>7457</v>
      </c>
      <c r="D1584" s="20" t="s">
        <v>7458</v>
      </c>
      <c r="E1584" s="21" t="s">
        <v>6228</v>
      </c>
      <c r="F1584" s="21" t="s">
        <v>8</v>
      </c>
      <c r="G1584" s="22" t="s">
        <v>7825</v>
      </c>
      <c r="H1584" s="22" t="s">
        <v>5835</v>
      </c>
      <c r="I1584" s="22" t="s">
        <v>5835</v>
      </c>
      <c r="K1584" s="22" t="s">
        <v>5835</v>
      </c>
      <c r="N1584" s="25" t="s">
        <v>7459</v>
      </c>
      <c r="O1584" s="25" t="s">
        <v>5835</v>
      </c>
      <c r="R1584" s="22" t="s">
        <v>6202</v>
      </c>
    </row>
    <row r="1585" spans="3:18" ht="16">
      <c r="C1585" s="19" t="s">
        <v>1433</v>
      </c>
      <c r="D1585" s="20" t="s">
        <v>3351</v>
      </c>
      <c r="E1585" s="21" t="s">
        <v>6067</v>
      </c>
      <c r="F1585" s="21" t="s">
        <v>17</v>
      </c>
      <c r="G1585" s="22" t="s">
        <v>5920</v>
      </c>
      <c r="H1585" s="22" t="s">
        <v>7828</v>
      </c>
      <c r="I1585" s="22">
        <v>157.19999999999999</v>
      </c>
      <c r="K1585" s="22" t="s">
        <v>5835</v>
      </c>
      <c r="N1585" s="25" t="s">
        <v>7460</v>
      </c>
      <c r="O1585" s="25" t="s">
        <v>5835</v>
      </c>
      <c r="R1585" s="22" t="s">
        <v>5920</v>
      </c>
    </row>
    <row r="1586" spans="3:18" ht="16">
      <c r="C1586" s="19" t="s">
        <v>1434</v>
      </c>
      <c r="D1586" s="20" t="s">
        <v>3352</v>
      </c>
      <c r="E1586" s="21" t="s">
        <v>6257</v>
      </c>
      <c r="F1586" s="21" t="s">
        <v>10</v>
      </c>
      <c r="G1586" s="22" t="s">
        <v>7825</v>
      </c>
      <c r="H1586" s="22" t="s">
        <v>5835</v>
      </c>
      <c r="I1586" s="22">
        <v>35.299999999999997</v>
      </c>
      <c r="K1586" s="22" t="s">
        <v>5835</v>
      </c>
      <c r="N1586" s="25" t="s">
        <v>7461</v>
      </c>
      <c r="O1586" s="25" t="s">
        <v>5835</v>
      </c>
      <c r="R1586" s="22" t="s">
        <v>6202</v>
      </c>
    </row>
    <row r="1587" spans="3:18" ht="16">
      <c r="C1587" s="19" t="s">
        <v>1435</v>
      </c>
      <c r="D1587" s="20" t="s">
        <v>3353</v>
      </c>
      <c r="E1587" s="21" t="s">
        <v>6319</v>
      </c>
      <c r="F1587" s="21" t="s">
        <v>17</v>
      </c>
      <c r="G1587" s="22" t="s">
        <v>5855</v>
      </c>
      <c r="H1587" s="22" t="s">
        <v>5835</v>
      </c>
      <c r="I1587" s="22">
        <v>21.4</v>
      </c>
      <c r="K1587" s="22" t="s">
        <v>5835</v>
      </c>
      <c r="N1587" s="25" t="s">
        <v>7462</v>
      </c>
      <c r="O1587" s="25" t="s">
        <v>5835</v>
      </c>
      <c r="R1587" s="22" t="s">
        <v>5855</v>
      </c>
    </row>
    <row r="1588" spans="3:18" ht="16">
      <c r="C1588" s="19" t="s">
        <v>1436</v>
      </c>
      <c r="D1588" s="20" t="s">
        <v>3354</v>
      </c>
      <c r="E1588" s="21" t="s">
        <v>5968</v>
      </c>
      <c r="F1588" s="21" t="s">
        <v>5969</v>
      </c>
      <c r="G1588" s="22" t="s">
        <v>7827</v>
      </c>
      <c r="H1588" s="22" t="s">
        <v>5835</v>
      </c>
      <c r="I1588" s="22">
        <v>12.5</v>
      </c>
      <c r="K1588" s="22" t="s">
        <v>5835</v>
      </c>
      <c r="N1588" s="25" t="s">
        <v>7463</v>
      </c>
      <c r="O1588" s="25" t="s">
        <v>5835</v>
      </c>
      <c r="R1588" s="22" t="s">
        <v>5940</v>
      </c>
    </row>
    <row r="1589" spans="3:18" ht="16">
      <c r="C1589" s="19" t="s">
        <v>1439</v>
      </c>
      <c r="D1589" s="20" t="s">
        <v>3357</v>
      </c>
      <c r="E1589" s="21" t="s">
        <v>6257</v>
      </c>
      <c r="F1589" s="21" t="s">
        <v>10</v>
      </c>
      <c r="G1589" s="22" t="s">
        <v>5930</v>
      </c>
      <c r="H1589" s="22" t="s">
        <v>5835</v>
      </c>
      <c r="I1589" s="22">
        <v>67.3</v>
      </c>
      <c r="K1589" s="22" t="s">
        <v>5835</v>
      </c>
      <c r="N1589" s="25" t="s">
        <v>7464</v>
      </c>
      <c r="O1589" s="25" t="s">
        <v>5835</v>
      </c>
      <c r="R1589" s="22" t="s">
        <v>5930</v>
      </c>
    </row>
    <row r="1590" spans="3:18" ht="16">
      <c r="C1590" s="19" t="s">
        <v>1444</v>
      </c>
      <c r="D1590" s="20" t="s">
        <v>3362</v>
      </c>
      <c r="E1590" s="21" t="s">
        <v>6219</v>
      </c>
      <c r="F1590" s="21" t="s">
        <v>17</v>
      </c>
      <c r="G1590" s="22" t="s">
        <v>7825</v>
      </c>
      <c r="H1590" s="22" t="s">
        <v>5835</v>
      </c>
      <c r="I1590" s="22">
        <v>37.200000000000003</v>
      </c>
      <c r="K1590" s="22" t="s">
        <v>5835</v>
      </c>
      <c r="N1590" s="25" t="s">
        <v>7465</v>
      </c>
      <c r="O1590" s="25" t="s">
        <v>5835</v>
      </c>
      <c r="R1590" s="22" t="s">
        <v>6202</v>
      </c>
    </row>
    <row r="1591" spans="3:18" ht="16">
      <c r="C1591" s="19" t="s">
        <v>1445</v>
      </c>
      <c r="D1591" s="20" t="s">
        <v>3363</v>
      </c>
      <c r="E1591" s="21" t="s">
        <v>6067</v>
      </c>
      <c r="F1591" s="21" t="s">
        <v>17</v>
      </c>
      <c r="G1591" s="22" t="s">
        <v>7825</v>
      </c>
      <c r="H1591" s="22" t="s">
        <v>5835</v>
      </c>
      <c r="I1591" s="22">
        <v>5.6</v>
      </c>
      <c r="K1591" s="22" t="s">
        <v>5835</v>
      </c>
      <c r="N1591" s="25" t="s">
        <v>7466</v>
      </c>
      <c r="O1591" s="25" t="s">
        <v>5835</v>
      </c>
      <c r="R1591" s="22" t="s">
        <v>6202</v>
      </c>
    </row>
    <row r="1592" spans="3:18" ht="16">
      <c r="C1592" s="19" t="s">
        <v>1446</v>
      </c>
      <c r="D1592" s="20" t="s">
        <v>3364</v>
      </c>
      <c r="E1592" s="21" t="s">
        <v>6280</v>
      </c>
      <c r="F1592" s="21" t="s">
        <v>6281</v>
      </c>
      <c r="G1592" s="22" t="s">
        <v>5906</v>
      </c>
      <c r="H1592" s="22" t="s">
        <v>5835</v>
      </c>
      <c r="I1592" s="22">
        <v>8</v>
      </c>
      <c r="K1592" s="22" t="s">
        <v>5835</v>
      </c>
      <c r="N1592" s="25" t="s">
        <v>6540</v>
      </c>
      <c r="O1592" s="25" t="s">
        <v>5835</v>
      </c>
      <c r="R1592" s="22" t="s">
        <v>5906</v>
      </c>
    </row>
    <row r="1593" spans="3:18" ht="16">
      <c r="C1593" s="19" t="s">
        <v>1448</v>
      </c>
      <c r="D1593" s="20" t="s">
        <v>3366</v>
      </c>
      <c r="E1593" s="21" t="s">
        <v>6230</v>
      </c>
      <c r="F1593" s="21" t="s">
        <v>6231</v>
      </c>
      <c r="G1593" s="22" t="s">
        <v>5935</v>
      </c>
      <c r="H1593" s="22" t="s">
        <v>5835</v>
      </c>
      <c r="I1593" s="22">
        <v>20.5</v>
      </c>
      <c r="K1593" s="22" t="s">
        <v>5835</v>
      </c>
      <c r="N1593" s="25" t="s">
        <v>7467</v>
      </c>
      <c r="O1593" s="25" t="s">
        <v>5835</v>
      </c>
      <c r="R1593" s="22" t="s">
        <v>5935</v>
      </c>
    </row>
    <row r="1594" spans="3:18" ht="16">
      <c r="C1594" s="19" t="s">
        <v>1451</v>
      </c>
      <c r="D1594" s="20" t="s">
        <v>3369</v>
      </c>
      <c r="E1594" s="21" t="s">
        <v>6219</v>
      </c>
      <c r="F1594" s="21" t="s">
        <v>17</v>
      </c>
      <c r="G1594" s="22" t="s">
        <v>5918</v>
      </c>
      <c r="H1594" s="22" t="s">
        <v>5835</v>
      </c>
      <c r="I1594" s="22">
        <v>8.6999999999999993</v>
      </c>
      <c r="K1594" s="22" t="s">
        <v>5835</v>
      </c>
      <c r="N1594" s="25" t="s">
        <v>7468</v>
      </c>
      <c r="O1594" s="25" t="s">
        <v>5835</v>
      </c>
      <c r="R1594" s="22" t="s">
        <v>5918</v>
      </c>
    </row>
    <row r="1595" spans="3:18" ht="16">
      <c r="C1595" s="19" t="s">
        <v>1452</v>
      </c>
      <c r="D1595" s="20" t="s">
        <v>3370</v>
      </c>
      <c r="E1595" s="21" t="s">
        <v>6257</v>
      </c>
      <c r="F1595" s="21" t="s">
        <v>10</v>
      </c>
      <c r="G1595" s="22" t="s">
        <v>5930</v>
      </c>
      <c r="H1595" s="22" t="s">
        <v>5835</v>
      </c>
      <c r="I1595" s="22">
        <v>35.4</v>
      </c>
      <c r="K1595" s="22" t="s">
        <v>5835</v>
      </c>
      <c r="N1595" s="25" t="s">
        <v>7469</v>
      </c>
      <c r="O1595" s="25" t="s">
        <v>5835</v>
      </c>
      <c r="R1595" s="22" t="s">
        <v>5930</v>
      </c>
    </row>
    <row r="1596" spans="3:18" ht="16">
      <c r="C1596" s="19" t="s">
        <v>1454</v>
      </c>
      <c r="D1596" s="20" t="s">
        <v>3372</v>
      </c>
      <c r="E1596" s="21" t="s">
        <v>6285</v>
      </c>
      <c r="F1596" s="21" t="s">
        <v>6281</v>
      </c>
      <c r="G1596" s="22" t="s">
        <v>5945</v>
      </c>
      <c r="H1596" s="22" t="s">
        <v>5835</v>
      </c>
      <c r="I1596" s="22">
        <v>14.5</v>
      </c>
      <c r="K1596" s="22" t="s">
        <v>5835</v>
      </c>
      <c r="N1596" s="25" t="s">
        <v>7470</v>
      </c>
      <c r="O1596" s="25" t="s">
        <v>5835</v>
      </c>
      <c r="R1596" s="22" t="s">
        <v>5945</v>
      </c>
    </row>
    <row r="1597" spans="3:18" ht="16">
      <c r="C1597" s="19" t="s">
        <v>7471</v>
      </c>
      <c r="D1597" s="20" t="s">
        <v>7472</v>
      </c>
      <c r="E1597" s="21" t="s">
        <v>6257</v>
      </c>
      <c r="F1597" s="21" t="s">
        <v>10</v>
      </c>
      <c r="G1597" s="22" t="s">
        <v>5947</v>
      </c>
      <c r="H1597" s="22" t="s">
        <v>5835</v>
      </c>
      <c r="I1597" s="22" t="s">
        <v>5835</v>
      </c>
      <c r="K1597" s="22" t="s">
        <v>5835</v>
      </c>
      <c r="N1597" s="25" t="s">
        <v>10</v>
      </c>
      <c r="O1597" s="25" t="s">
        <v>5835</v>
      </c>
      <c r="R1597" s="22" t="s">
        <v>5947</v>
      </c>
    </row>
    <row r="1598" spans="3:18" ht="16">
      <c r="C1598" s="19" t="s">
        <v>1461</v>
      </c>
      <c r="D1598" s="20" t="s">
        <v>3379</v>
      </c>
      <c r="E1598" s="21" t="s">
        <v>6074</v>
      </c>
      <c r="F1598" s="21" t="s">
        <v>6075</v>
      </c>
      <c r="G1598" s="22" t="s">
        <v>5882</v>
      </c>
      <c r="H1598" s="22" t="s">
        <v>5835</v>
      </c>
      <c r="I1598" s="22">
        <v>28.4</v>
      </c>
      <c r="K1598" s="22" t="s">
        <v>5835</v>
      </c>
      <c r="N1598" s="25" t="s">
        <v>7473</v>
      </c>
      <c r="O1598" s="25" t="s">
        <v>5835</v>
      </c>
      <c r="R1598" s="22" t="s">
        <v>5882</v>
      </c>
    </row>
    <row r="1599" spans="3:18" ht="16">
      <c r="C1599" s="19" t="s">
        <v>1462</v>
      </c>
      <c r="D1599" s="20" t="s">
        <v>3380</v>
      </c>
      <c r="E1599" s="21" t="s">
        <v>6257</v>
      </c>
      <c r="F1599" s="21" t="s">
        <v>10</v>
      </c>
      <c r="G1599" s="22" t="s">
        <v>5937</v>
      </c>
      <c r="H1599" s="22" t="s">
        <v>7828</v>
      </c>
      <c r="I1599" s="22">
        <v>112.3</v>
      </c>
      <c r="K1599" s="22" t="s">
        <v>5835</v>
      </c>
      <c r="N1599" s="25" t="s">
        <v>7474</v>
      </c>
      <c r="O1599" s="25" t="s">
        <v>5835</v>
      </c>
      <c r="R1599" s="22" t="s">
        <v>5937</v>
      </c>
    </row>
    <row r="1600" spans="3:18" ht="16">
      <c r="C1600" s="19" t="s">
        <v>1464</v>
      </c>
      <c r="D1600" s="20" t="s">
        <v>3382</v>
      </c>
      <c r="E1600" s="21" t="s">
        <v>6209</v>
      </c>
      <c r="F1600" s="21" t="s">
        <v>5913</v>
      </c>
      <c r="G1600" s="22" t="s">
        <v>5913</v>
      </c>
      <c r="H1600" s="22" t="s">
        <v>5835</v>
      </c>
      <c r="I1600" s="22">
        <v>8.4</v>
      </c>
      <c r="K1600" s="22" t="s">
        <v>5835</v>
      </c>
      <c r="N1600" s="25" t="s">
        <v>7475</v>
      </c>
      <c r="O1600" s="25" t="s">
        <v>5835</v>
      </c>
      <c r="R1600" s="22" t="s">
        <v>5913</v>
      </c>
    </row>
    <row r="1601" spans="3:18" ht="16">
      <c r="C1601" s="19" t="s">
        <v>1465</v>
      </c>
      <c r="D1601" s="20" t="s">
        <v>3383</v>
      </c>
      <c r="E1601" s="21" t="s">
        <v>6074</v>
      </c>
      <c r="F1601" s="21" t="s">
        <v>6075</v>
      </c>
      <c r="G1601" s="22" t="s">
        <v>5884</v>
      </c>
      <c r="H1601" s="22" t="s">
        <v>5835</v>
      </c>
      <c r="I1601" s="22">
        <v>188.4</v>
      </c>
      <c r="K1601" s="22" t="s">
        <v>5835</v>
      </c>
      <c r="N1601" s="25" t="s">
        <v>7476</v>
      </c>
      <c r="O1601" s="25" t="s">
        <v>5835</v>
      </c>
      <c r="R1601" s="22" t="s">
        <v>5884</v>
      </c>
    </row>
    <row r="1602" spans="3:18" ht="16">
      <c r="C1602" s="19" t="s">
        <v>1466</v>
      </c>
      <c r="D1602" s="20" t="s">
        <v>3384</v>
      </c>
      <c r="E1602" s="21" t="s">
        <v>6209</v>
      </c>
      <c r="F1602" s="21" t="s">
        <v>5913</v>
      </c>
      <c r="G1602" s="22" t="s">
        <v>5913</v>
      </c>
      <c r="H1602" s="22" t="s">
        <v>5835</v>
      </c>
      <c r="I1602" s="22">
        <v>17.899999999999999</v>
      </c>
      <c r="K1602" s="22" t="s">
        <v>5835</v>
      </c>
      <c r="N1602" s="25" t="s">
        <v>7477</v>
      </c>
      <c r="O1602" s="25" t="s">
        <v>5835</v>
      </c>
      <c r="R1602" s="22" t="s">
        <v>5913</v>
      </c>
    </row>
    <row r="1603" spans="3:18" ht="16">
      <c r="C1603" s="19" t="s">
        <v>1470</v>
      </c>
      <c r="D1603" s="20" t="s">
        <v>3388</v>
      </c>
      <c r="E1603" s="21" t="s">
        <v>6664</v>
      </c>
      <c r="F1603" s="21" t="s">
        <v>6314</v>
      </c>
      <c r="G1603" s="22" t="s">
        <v>5997</v>
      </c>
      <c r="H1603" s="22" t="s">
        <v>5835</v>
      </c>
      <c r="I1603" s="22">
        <v>14.5</v>
      </c>
      <c r="K1603" s="22" t="s">
        <v>5835</v>
      </c>
      <c r="N1603" s="25" t="s">
        <v>7478</v>
      </c>
      <c r="O1603" s="25" t="s">
        <v>5835</v>
      </c>
      <c r="R1603" s="22" t="s">
        <v>5997</v>
      </c>
    </row>
    <row r="1604" spans="3:18" ht="16">
      <c r="C1604" s="19" t="s">
        <v>1471</v>
      </c>
      <c r="D1604" s="20" t="s">
        <v>3389</v>
      </c>
      <c r="E1604" s="21" t="s">
        <v>6257</v>
      </c>
      <c r="F1604" s="21" t="s">
        <v>10</v>
      </c>
      <c r="G1604" s="22" t="s">
        <v>5928</v>
      </c>
      <c r="H1604" s="22" t="s">
        <v>5835</v>
      </c>
      <c r="I1604" s="22">
        <v>23.2</v>
      </c>
      <c r="K1604" s="22" t="s">
        <v>5835</v>
      </c>
      <c r="N1604" s="25" t="s">
        <v>7479</v>
      </c>
      <c r="O1604" s="25" t="s">
        <v>5835</v>
      </c>
      <c r="R1604" s="22" t="s">
        <v>5928</v>
      </c>
    </row>
    <row r="1605" spans="3:18" ht="16">
      <c r="C1605" s="19" t="s">
        <v>1472</v>
      </c>
      <c r="D1605" s="20" t="s">
        <v>3390</v>
      </c>
      <c r="E1605" s="21" t="s">
        <v>6313</v>
      </c>
      <c r="F1605" s="21" t="s">
        <v>6314</v>
      </c>
      <c r="G1605" s="22" t="s">
        <v>5913</v>
      </c>
      <c r="H1605" s="22" t="s">
        <v>5835</v>
      </c>
      <c r="I1605" s="22">
        <v>40.700000000000003</v>
      </c>
      <c r="K1605" s="22" t="s">
        <v>5835</v>
      </c>
      <c r="N1605" s="25" t="s">
        <v>7480</v>
      </c>
      <c r="O1605" s="25" t="s">
        <v>5835</v>
      </c>
      <c r="R1605" s="22" t="s">
        <v>5913</v>
      </c>
    </row>
    <row r="1606" spans="3:18" ht="16">
      <c r="C1606" s="19" t="s">
        <v>1473</v>
      </c>
      <c r="D1606" s="20" t="s">
        <v>3391</v>
      </c>
      <c r="E1606" s="21" t="s">
        <v>6228</v>
      </c>
      <c r="F1606" s="21" t="s">
        <v>8</v>
      </c>
      <c r="G1606" s="22" t="s">
        <v>5993</v>
      </c>
      <c r="H1606" s="22" t="s">
        <v>7828</v>
      </c>
      <c r="I1606" s="22">
        <v>1474.9</v>
      </c>
      <c r="K1606" s="22" t="s">
        <v>5835</v>
      </c>
      <c r="N1606" s="25" t="s">
        <v>7481</v>
      </c>
      <c r="O1606" s="25" t="s">
        <v>5835</v>
      </c>
      <c r="R1606" s="22" t="s">
        <v>5993</v>
      </c>
    </row>
    <row r="1607" spans="3:18" ht="16">
      <c r="C1607" s="19" t="s">
        <v>1475</v>
      </c>
      <c r="D1607" s="20" t="s">
        <v>3393</v>
      </c>
      <c r="E1607" s="21" t="s">
        <v>6074</v>
      </c>
      <c r="F1607" s="21" t="s">
        <v>6075</v>
      </c>
      <c r="G1607" s="22" t="s">
        <v>5891</v>
      </c>
      <c r="H1607" s="22" t="s">
        <v>5835</v>
      </c>
      <c r="I1607" s="22">
        <v>29.1</v>
      </c>
      <c r="K1607" s="22" t="s">
        <v>5835</v>
      </c>
      <c r="N1607" s="25" t="s">
        <v>7482</v>
      </c>
      <c r="O1607" s="25" t="s">
        <v>5835</v>
      </c>
      <c r="R1607" s="22" t="s">
        <v>5891</v>
      </c>
    </row>
    <row r="1608" spans="3:18" ht="16">
      <c r="C1608" s="19" t="s">
        <v>1476</v>
      </c>
      <c r="D1608" s="20" t="s">
        <v>3394</v>
      </c>
      <c r="E1608" s="21" t="s">
        <v>6257</v>
      </c>
      <c r="F1608" s="21" t="s">
        <v>10</v>
      </c>
      <c r="G1608" s="22" t="s">
        <v>5947</v>
      </c>
      <c r="H1608" s="22" t="s">
        <v>5835</v>
      </c>
      <c r="I1608" s="22">
        <v>10.6</v>
      </c>
      <c r="K1608" s="22" t="s">
        <v>5835</v>
      </c>
      <c r="N1608" s="25" t="s">
        <v>7483</v>
      </c>
      <c r="O1608" s="25" t="s">
        <v>5835</v>
      </c>
      <c r="R1608" s="22" t="s">
        <v>5947</v>
      </c>
    </row>
    <row r="1609" spans="3:18" ht="16">
      <c r="C1609" s="19" t="s">
        <v>1477</v>
      </c>
      <c r="D1609" s="20" t="s">
        <v>3395</v>
      </c>
      <c r="E1609" s="21" t="s">
        <v>6074</v>
      </c>
      <c r="F1609" s="21" t="s">
        <v>6075</v>
      </c>
      <c r="G1609" s="22" t="s">
        <v>5882</v>
      </c>
      <c r="H1609" s="22" t="s">
        <v>5835</v>
      </c>
      <c r="I1609" s="22">
        <v>11.5</v>
      </c>
      <c r="K1609" s="22" t="s">
        <v>5835</v>
      </c>
      <c r="N1609" s="25" t="s">
        <v>7484</v>
      </c>
      <c r="O1609" s="25" t="s">
        <v>5835</v>
      </c>
      <c r="R1609" s="22" t="s">
        <v>5882</v>
      </c>
    </row>
    <row r="1610" spans="3:18" ht="16">
      <c r="C1610" s="19" t="s">
        <v>1479</v>
      </c>
      <c r="D1610" s="20" t="s">
        <v>3396</v>
      </c>
      <c r="E1610" s="21" t="s">
        <v>6074</v>
      </c>
      <c r="F1610" s="21" t="s">
        <v>6075</v>
      </c>
      <c r="G1610" s="22" t="s">
        <v>5889</v>
      </c>
      <c r="H1610" s="22" t="s">
        <v>5835</v>
      </c>
      <c r="I1610" s="22">
        <v>122.2</v>
      </c>
      <c r="K1610" s="22" t="s">
        <v>5835</v>
      </c>
      <c r="N1610" s="25" t="s">
        <v>7485</v>
      </c>
      <c r="O1610" s="25" t="s">
        <v>5835</v>
      </c>
      <c r="R1610" s="22" t="s">
        <v>5889</v>
      </c>
    </row>
    <row r="1611" spans="3:18" ht="16">
      <c r="C1611" s="19" t="s">
        <v>1482</v>
      </c>
      <c r="D1611" s="20" t="s">
        <v>3399</v>
      </c>
      <c r="E1611" s="21" t="s">
        <v>5956</v>
      </c>
      <c r="F1611" s="21" t="s">
        <v>5957</v>
      </c>
      <c r="G1611" s="22" t="s">
        <v>5887</v>
      </c>
      <c r="H1611" s="22" t="s">
        <v>5835</v>
      </c>
      <c r="I1611" s="22">
        <v>13.5</v>
      </c>
      <c r="K1611" s="22" t="s">
        <v>5835</v>
      </c>
      <c r="N1611" s="25" t="s">
        <v>7486</v>
      </c>
      <c r="O1611" s="25" t="s">
        <v>5835</v>
      </c>
      <c r="R1611" s="22" t="s">
        <v>5887</v>
      </c>
    </row>
    <row r="1612" spans="3:18" ht="16">
      <c r="C1612" s="19" t="s">
        <v>1483</v>
      </c>
      <c r="D1612" s="20" t="s">
        <v>3400</v>
      </c>
      <c r="E1612" s="21" t="s">
        <v>6074</v>
      </c>
      <c r="F1612" s="21" t="s">
        <v>6075</v>
      </c>
      <c r="G1612" s="22" t="s">
        <v>5887</v>
      </c>
      <c r="H1612" s="22" t="s">
        <v>5835</v>
      </c>
      <c r="I1612" s="22">
        <v>23.4</v>
      </c>
      <c r="K1612" s="22" t="s">
        <v>5835</v>
      </c>
      <c r="N1612" s="25" t="s">
        <v>7487</v>
      </c>
      <c r="O1612" s="25" t="s">
        <v>5835</v>
      </c>
      <c r="R1612" s="22" t="s">
        <v>5887</v>
      </c>
    </row>
    <row r="1613" spans="3:18" ht="16">
      <c r="C1613" s="19" t="s">
        <v>1484</v>
      </c>
      <c r="D1613" s="20" t="s">
        <v>3401</v>
      </c>
      <c r="E1613" s="21" t="s">
        <v>6096</v>
      </c>
      <c r="F1613" s="21" t="s">
        <v>5896</v>
      </c>
      <c r="G1613" s="22" t="s">
        <v>5887</v>
      </c>
      <c r="H1613" s="22" t="s">
        <v>5835</v>
      </c>
      <c r="I1613" s="22">
        <v>62.6</v>
      </c>
      <c r="K1613" s="22" t="s">
        <v>5835</v>
      </c>
      <c r="N1613" s="25" t="s">
        <v>7488</v>
      </c>
      <c r="O1613" s="25" t="s">
        <v>5835</v>
      </c>
      <c r="R1613" s="22" t="s">
        <v>5887</v>
      </c>
    </row>
    <row r="1614" spans="3:18" ht="16">
      <c r="C1614" s="19" t="s">
        <v>1485</v>
      </c>
      <c r="D1614" s="20" t="s">
        <v>3402</v>
      </c>
      <c r="E1614" s="21" t="s">
        <v>6222</v>
      </c>
      <c r="F1614" s="21" t="s">
        <v>8</v>
      </c>
      <c r="G1614" s="22" t="s">
        <v>14</v>
      </c>
      <c r="H1614" s="22" t="s">
        <v>7828</v>
      </c>
      <c r="I1614" s="22">
        <v>291.3</v>
      </c>
      <c r="K1614" s="22" t="s">
        <v>5835</v>
      </c>
      <c r="N1614" s="25" t="s">
        <v>7489</v>
      </c>
      <c r="O1614" s="25" t="s">
        <v>5835</v>
      </c>
      <c r="R1614" s="22" t="s">
        <v>14</v>
      </c>
    </row>
    <row r="1615" spans="3:18" ht="16">
      <c r="C1615" s="19" t="s">
        <v>1486</v>
      </c>
      <c r="D1615" s="20" t="s">
        <v>3403</v>
      </c>
      <c r="E1615" s="21" t="s">
        <v>6252</v>
      </c>
      <c r="F1615" s="21" t="s">
        <v>6080</v>
      </c>
      <c r="G1615" s="22" t="s">
        <v>7825</v>
      </c>
      <c r="H1615" s="22" t="s">
        <v>5835</v>
      </c>
      <c r="I1615" s="22">
        <v>5.2</v>
      </c>
      <c r="K1615" s="22" t="s">
        <v>5835</v>
      </c>
      <c r="N1615" s="25" t="s">
        <v>7490</v>
      </c>
      <c r="O1615" s="25" t="s">
        <v>5835</v>
      </c>
      <c r="R1615" s="22" t="s">
        <v>6202</v>
      </c>
    </row>
    <row r="1616" spans="3:18" ht="16">
      <c r="C1616" s="19" t="s">
        <v>7491</v>
      </c>
      <c r="D1616" s="20" t="s">
        <v>7492</v>
      </c>
      <c r="E1616" s="21" t="s">
        <v>6209</v>
      </c>
      <c r="F1616" s="21" t="s">
        <v>5913</v>
      </c>
      <c r="G1616" s="22" t="s">
        <v>5918</v>
      </c>
      <c r="H1616" s="22" t="s">
        <v>5835</v>
      </c>
      <c r="I1616" s="22" t="s">
        <v>5835</v>
      </c>
      <c r="K1616" s="22" t="s">
        <v>5835</v>
      </c>
      <c r="N1616" s="25" t="s">
        <v>7493</v>
      </c>
      <c r="O1616" s="25" t="s">
        <v>5835</v>
      </c>
      <c r="R1616" s="22" t="s">
        <v>5918</v>
      </c>
    </row>
    <row r="1617" spans="3:18" ht="16">
      <c r="C1617" s="19" t="s">
        <v>1488</v>
      </c>
      <c r="D1617" s="20" t="s">
        <v>3405</v>
      </c>
      <c r="E1617" s="21" t="s">
        <v>6313</v>
      </c>
      <c r="F1617" s="21" t="s">
        <v>6314</v>
      </c>
      <c r="G1617" s="22" t="s">
        <v>5958</v>
      </c>
      <c r="H1617" s="22" t="s">
        <v>5835</v>
      </c>
      <c r="I1617" s="22">
        <v>38.299999999999997</v>
      </c>
      <c r="K1617" s="22" t="s">
        <v>5835</v>
      </c>
      <c r="N1617" s="25" t="s">
        <v>7494</v>
      </c>
      <c r="O1617" s="25" t="s">
        <v>5835</v>
      </c>
      <c r="R1617" s="22" t="s">
        <v>5958</v>
      </c>
    </row>
    <row r="1618" spans="3:18" ht="16">
      <c r="C1618" s="19" t="s">
        <v>1489</v>
      </c>
      <c r="D1618" s="20" t="s">
        <v>3406</v>
      </c>
      <c r="E1618" s="21" t="s">
        <v>5968</v>
      </c>
      <c r="F1618" s="21" t="s">
        <v>17</v>
      </c>
      <c r="G1618" s="22" t="s">
        <v>7827</v>
      </c>
      <c r="H1618" s="22" t="s">
        <v>7828</v>
      </c>
      <c r="I1618" s="22">
        <v>20.6</v>
      </c>
      <c r="K1618" s="22" t="s">
        <v>5835</v>
      </c>
      <c r="N1618" s="25" t="s">
        <v>5835</v>
      </c>
      <c r="O1618" s="25" t="s">
        <v>5835</v>
      </c>
      <c r="R1618" s="22" t="s">
        <v>5940</v>
      </c>
    </row>
    <row r="1619" spans="3:18" ht="16">
      <c r="C1619" s="19" t="s">
        <v>1490</v>
      </c>
      <c r="D1619" s="20" t="s">
        <v>3407</v>
      </c>
      <c r="E1619" s="21" t="s">
        <v>6074</v>
      </c>
      <c r="F1619" s="21" t="s">
        <v>6075</v>
      </c>
      <c r="G1619" s="22" t="s">
        <v>5884</v>
      </c>
      <c r="H1619" s="22" t="s">
        <v>5835</v>
      </c>
      <c r="I1619" s="22">
        <v>59.2</v>
      </c>
      <c r="K1619" s="22" t="s">
        <v>5835</v>
      </c>
      <c r="N1619" s="25" t="s">
        <v>7495</v>
      </c>
      <c r="O1619" s="25" t="s">
        <v>5835</v>
      </c>
      <c r="R1619" s="22" t="s">
        <v>5884</v>
      </c>
    </row>
    <row r="1620" spans="3:18" ht="16">
      <c r="C1620" s="19" t="s">
        <v>1493</v>
      </c>
      <c r="D1620" s="20" t="s">
        <v>3410</v>
      </c>
      <c r="E1620" s="21" t="s">
        <v>6074</v>
      </c>
      <c r="F1620" s="21" t="s">
        <v>6075</v>
      </c>
      <c r="G1620" s="22" t="s">
        <v>5889</v>
      </c>
      <c r="H1620" s="22" t="s">
        <v>5835</v>
      </c>
      <c r="I1620" s="22">
        <v>22.2</v>
      </c>
      <c r="K1620" s="22" t="s">
        <v>5835</v>
      </c>
      <c r="N1620" s="25" t="s">
        <v>7496</v>
      </c>
      <c r="O1620" s="25" t="s">
        <v>5835</v>
      </c>
      <c r="R1620" s="22" t="s">
        <v>5889</v>
      </c>
    </row>
    <row r="1621" spans="3:18" ht="16">
      <c r="C1621" s="19" t="s">
        <v>1494</v>
      </c>
      <c r="D1621" s="20" t="s">
        <v>3411</v>
      </c>
      <c r="E1621" s="21" t="s">
        <v>6209</v>
      </c>
      <c r="F1621" s="21" t="s">
        <v>5913</v>
      </c>
      <c r="G1621" s="22" t="s">
        <v>5962</v>
      </c>
      <c r="H1621" s="22" t="s">
        <v>5835</v>
      </c>
      <c r="I1621" s="22">
        <v>17.8</v>
      </c>
      <c r="K1621" s="22" t="s">
        <v>5835</v>
      </c>
      <c r="N1621" s="25" t="s">
        <v>7497</v>
      </c>
      <c r="O1621" s="25" t="s">
        <v>5835</v>
      </c>
      <c r="R1621" s="22" t="s">
        <v>5962</v>
      </c>
    </row>
    <row r="1622" spans="3:18" ht="16">
      <c r="C1622" s="19" t="s">
        <v>1496</v>
      </c>
      <c r="D1622" s="20" t="s">
        <v>3413</v>
      </c>
      <c r="E1622" s="21" t="s">
        <v>6228</v>
      </c>
      <c r="F1622" s="21" t="s">
        <v>8</v>
      </c>
      <c r="G1622" s="22" t="s">
        <v>12</v>
      </c>
      <c r="H1622" s="22" t="s">
        <v>5835</v>
      </c>
      <c r="I1622" s="22">
        <v>26.6</v>
      </c>
      <c r="K1622" s="22" t="s">
        <v>5835</v>
      </c>
      <c r="N1622" s="25" t="s">
        <v>7498</v>
      </c>
      <c r="O1622" s="25" t="s">
        <v>5835</v>
      </c>
      <c r="R1622" s="22" t="s">
        <v>12</v>
      </c>
    </row>
    <row r="1623" spans="3:18" ht="16">
      <c r="C1623" s="19" t="s">
        <v>1499</v>
      </c>
      <c r="D1623" s="20" t="s">
        <v>3415</v>
      </c>
      <c r="E1623" s="21" t="s">
        <v>6074</v>
      </c>
      <c r="F1623" s="21" t="s">
        <v>6075</v>
      </c>
      <c r="G1623" s="22" t="s">
        <v>5891</v>
      </c>
      <c r="H1623" s="22" t="s">
        <v>5835</v>
      </c>
      <c r="I1623" s="22">
        <v>242.2</v>
      </c>
      <c r="K1623" s="22" t="s">
        <v>5835</v>
      </c>
      <c r="N1623" s="25" t="s">
        <v>7141</v>
      </c>
      <c r="O1623" s="25" t="s">
        <v>5835</v>
      </c>
      <c r="R1623" s="22" t="s">
        <v>5891</v>
      </c>
    </row>
    <row r="1624" spans="3:18" ht="16">
      <c r="C1624" s="19" t="s">
        <v>1500</v>
      </c>
      <c r="D1624" s="20" t="s">
        <v>3416</v>
      </c>
      <c r="E1624" s="21" t="s">
        <v>6166</v>
      </c>
      <c r="F1624" s="21" t="s">
        <v>6080</v>
      </c>
      <c r="G1624" s="22" t="s">
        <v>5875</v>
      </c>
      <c r="H1624" s="22" t="s">
        <v>5835</v>
      </c>
      <c r="I1624" s="22">
        <v>33.200000000000003</v>
      </c>
      <c r="K1624" s="22" t="s">
        <v>5835</v>
      </c>
      <c r="N1624" s="25" t="s">
        <v>7499</v>
      </c>
      <c r="O1624" s="25" t="s">
        <v>5835</v>
      </c>
      <c r="R1624" s="22" t="s">
        <v>5875</v>
      </c>
    </row>
    <row r="1625" spans="3:18" ht="16">
      <c r="C1625" s="19" t="s">
        <v>1502</v>
      </c>
      <c r="D1625" s="20" t="s">
        <v>3418</v>
      </c>
      <c r="E1625" s="21" t="s">
        <v>6664</v>
      </c>
      <c r="F1625" s="21" t="s">
        <v>6314</v>
      </c>
      <c r="G1625" s="22" t="s">
        <v>5997</v>
      </c>
      <c r="H1625" s="22" t="s">
        <v>5835</v>
      </c>
      <c r="I1625" s="22">
        <v>23.5</v>
      </c>
      <c r="K1625" s="22" t="s">
        <v>5835</v>
      </c>
      <c r="N1625" s="25" t="s">
        <v>7500</v>
      </c>
      <c r="O1625" s="25" t="s">
        <v>5835</v>
      </c>
      <c r="R1625" s="22" t="s">
        <v>5997</v>
      </c>
    </row>
    <row r="1626" spans="3:18" ht="16">
      <c r="C1626" s="19" t="s">
        <v>1503</v>
      </c>
      <c r="D1626" s="20" t="s">
        <v>3419</v>
      </c>
      <c r="E1626" s="21" t="s">
        <v>6252</v>
      </c>
      <c r="F1626" s="21" t="s">
        <v>5913</v>
      </c>
      <c r="G1626" s="22" t="s">
        <v>7825</v>
      </c>
      <c r="H1626" s="22" t="s">
        <v>5835</v>
      </c>
      <c r="I1626" s="22">
        <v>51.6</v>
      </c>
      <c r="K1626" s="22" t="s">
        <v>5835</v>
      </c>
      <c r="N1626" s="25" t="s">
        <v>5835</v>
      </c>
      <c r="O1626" s="25" t="s">
        <v>5835</v>
      </c>
      <c r="R1626" s="22" t="s">
        <v>6202</v>
      </c>
    </row>
    <row r="1627" spans="3:18" ht="16">
      <c r="C1627" s="19" t="s">
        <v>1504</v>
      </c>
      <c r="D1627" s="20" t="s">
        <v>3420</v>
      </c>
      <c r="E1627" s="21" t="s">
        <v>6074</v>
      </c>
      <c r="F1627" s="21" t="s">
        <v>6075</v>
      </c>
      <c r="G1627" s="22" t="s">
        <v>5891</v>
      </c>
      <c r="H1627" s="22" t="s">
        <v>5835</v>
      </c>
      <c r="I1627" s="22">
        <v>133.80000000000001</v>
      </c>
      <c r="K1627" s="22" t="s">
        <v>5835</v>
      </c>
      <c r="N1627" s="25" t="s">
        <v>7501</v>
      </c>
      <c r="O1627" s="25" t="s">
        <v>5835</v>
      </c>
      <c r="R1627" s="22" t="s">
        <v>5891</v>
      </c>
    </row>
    <row r="1628" spans="3:18" ht="16">
      <c r="C1628" s="19" t="s">
        <v>1505</v>
      </c>
      <c r="D1628" s="20" t="s">
        <v>3421</v>
      </c>
      <c r="E1628" s="21" t="s">
        <v>6199</v>
      </c>
      <c r="F1628" s="21" t="s">
        <v>6200</v>
      </c>
      <c r="G1628" s="22" t="s">
        <v>14</v>
      </c>
      <c r="H1628" s="22" t="s">
        <v>7828</v>
      </c>
      <c r="I1628" s="22">
        <v>293.10000000000002</v>
      </c>
      <c r="K1628" s="22" t="s">
        <v>5835</v>
      </c>
      <c r="N1628" s="25" t="s">
        <v>7502</v>
      </c>
      <c r="O1628" s="25" t="s">
        <v>5835</v>
      </c>
      <c r="R1628" s="22" t="s">
        <v>14</v>
      </c>
    </row>
    <row r="1629" spans="3:18" ht="16">
      <c r="C1629" s="19" t="s">
        <v>1508</v>
      </c>
      <c r="D1629" s="20" t="s">
        <v>3424</v>
      </c>
      <c r="E1629" s="21" t="s">
        <v>6280</v>
      </c>
      <c r="F1629" s="21" t="s">
        <v>6281</v>
      </c>
      <c r="G1629" s="22" t="s">
        <v>5906</v>
      </c>
      <c r="H1629" s="22" t="s">
        <v>5835</v>
      </c>
      <c r="I1629" s="22">
        <v>22.6</v>
      </c>
      <c r="K1629" s="22" t="s">
        <v>5835</v>
      </c>
      <c r="N1629" s="25" t="s">
        <v>7503</v>
      </c>
      <c r="O1629" s="25" t="s">
        <v>5835</v>
      </c>
      <c r="R1629" s="22" t="s">
        <v>5906</v>
      </c>
    </row>
    <row r="1630" spans="3:18" ht="16">
      <c r="C1630" s="19" t="s">
        <v>1510</v>
      </c>
      <c r="D1630" s="20" t="s">
        <v>3426</v>
      </c>
      <c r="E1630" s="21" t="s">
        <v>6280</v>
      </c>
      <c r="F1630" s="21" t="s">
        <v>6281</v>
      </c>
      <c r="G1630" s="22" t="s">
        <v>5906</v>
      </c>
      <c r="H1630" s="22" t="s">
        <v>5835</v>
      </c>
      <c r="I1630" s="22">
        <v>10.199999999999999</v>
      </c>
      <c r="K1630" s="22" t="s">
        <v>5835</v>
      </c>
      <c r="N1630" s="25" t="s">
        <v>7504</v>
      </c>
      <c r="O1630" s="25" t="s">
        <v>5835</v>
      </c>
      <c r="R1630" s="22" t="s">
        <v>5906</v>
      </c>
    </row>
    <row r="1631" spans="3:18" ht="16">
      <c r="C1631" s="19" t="s">
        <v>1511</v>
      </c>
      <c r="D1631" s="20" t="s">
        <v>3427</v>
      </c>
      <c r="E1631" s="21" t="s">
        <v>6226</v>
      </c>
      <c r="F1631" s="21" t="s">
        <v>5913</v>
      </c>
      <c r="G1631" s="22" t="s">
        <v>5952</v>
      </c>
      <c r="H1631" s="22" t="s">
        <v>7828</v>
      </c>
      <c r="I1631" s="22">
        <v>309.7</v>
      </c>
      <c r="K1631" s="22" t="s">
        <v>5835</v>
      </c>
      <c r="N1631" s="25" t="s">
        <v>7505</v>
      </c>
      <c r="O1631" s="25" t="s">
        <v>5835</v>
      </c>
      <c r="R1631" s="22" t="s">
        <v>5952</v>
      </c>
    </row>
    <row r="1632" spans="3:18" ht="16">
      <c r="C1632" s="19" t="s">
        <v>1512</v>
      </c>
      <c r="D1632" s="20" t="s">
        <v>3428</v>
      </c>
      <c r="E1632" s="21" t="s">
        <v>6257</v>
      </c>
      <c r="F1632" s="21" t="s">
        <v>10</v>
      </c>
      <c r="G1632" s="22" t="s">
        <v>5941</v>
      </c>
      <c r="H1632" s="22" t="s">
        <v>5835</v>
      </c>
      <c r="I1632" s="22">
        <v>39.9</v>
      </c>
      <c r="K1632" s="22" t="s">
        <v>5835</v>
      </c>
      <c r="N1632" s="25" t="s">
        <v>7506</v>
      </c>
      <c r="O1632" s="25" t="s">
        <v>5835</v>
      </c>
      <c r="R1632" s="22" t="s">
        <v>5941</v>
      </c>
    </row>
    <row r="1633" spans="3:18" ht="16">
      <c r="C1633" s="19" t="s">
        <v>1513</v>
      </c>
      <c r="D1633" s="20" t="s">
        <v>3429</v>
      </c>
      <c r="E1633" s="21" t="s">
        <v>6074</v>
      </c>
      <c r="F1633" s="21" t="s">
        <v>6075</v>
      </c>
      <c r="G1633" s="22" t="s">
        <v>5889</v>
      </c>
      <c r="H1633" s="22" t="s">
        <v>5835</v>
      </c>
      <c r="I1633" s="22">
        <v>42.5</v>
      </c>
      <c r="K1633" s="22" t="s">
        <v>5835</v>
      </c>
      <c r="N1633" s="25" t="s">
        <v>7507</v>
      </c>
      <c r="O1633" s="25" t="s">
        <v>5835</v>
      </c>
      <c r="R1633" s="22" t="s">
        <v>5889</v>
      </c>
    </row>
    <row r="1634" spans="3:18" ht="16">
      <c r="C1634" s="19" t="s">
        <v>1514</v>
      </c>
      <c r="D1634" s="20" t="s">
        <v>3430</v>
      </c>
      <c r="E1634" s="21" t="s">
        <v>6285</v>
      </c>
      <c r="F1634" s="21" t="s">
        <v>6281</v>
      </c>
      <c r="G1634" s="22" t="s">
        <v>5915</v>
      </c>
      <c r="H1634" s="22" t="s">
        <v>5835</v>
      </c>
      <c r="I1634" s="22">
        <v>13.8</v>
      </c>
      <c r="K1634" s="22" t="s">
        <v>5835</v>
      </c>
      <c r="N1634" s="25" t="s">
        <v>7508</v>
      </c>
      <c r="O1634" s="25" t="s">
        <v>5835</v>
      </c>
      <c r="R1634" s="22" t="s">
        <v>5915</v>
      </c>
    </row>
    <row r="1635" spans="3:18" ht="16">
      <c r="C1635" s="19" t="s">
        <v>1516</v>
      </c>
      <c r="D1635" s="20" t="s">
        <v>3432</v>
      </c>
      <c r="E1635" s="21" t="s">
        <v>6074</v>
      </c>
      <c r="F1635" s="21" t="s">
        <v>6075</v>
      </c>
      <c r="G1635" s="22" t="s">
        <v>5884</v>
      </c>
      <c r="H1635" s="22" t="s">
        <v>5835</v>
      </c>
      <c r="I1635" s="22">
        <v>16.3</v>
      </c>
      <c r="K1635" s="22" t="s">
        <v>5835</v>
      </c>
      <c r="N1635" s="25" t="s">
        <v>7509</v>
      </c>
      <c r="O1635" s="25" t="s">
        <v>5835</v>
      </c>
      <c r="R1635" s="22" t="s">
        <v>5884</v>
      </c>
    </row>
    <row r="1636" spans="3:18" ht="16">
      <c r="C1636" s="19" t="s">
        <v>1517</v>
      </c>
      <c r="D1636" s="20" t="s">
        <v>3433</v>
      </c>
      <c r="E1636" s="21" t="s">
        <v>6074</v>
      </c>
      <c r="F1636" s="21" t="s">
        <v>6075</v>
      </c>
      <c r="G1636" s="22" t="s">
        <v>5891</v>
      </c>
      <c r="H1636" s="22" t="s">
        <v>5835</v>
      </c>
      <c r="I1636" s="22">
        <v>101.1</v>
      </c>
      <c r="K1636" s="22" t="s">
        <v>5835</v>
      </c>
      <c r="N1636" s="25" t="s">
        <v>7510</v>
      </c>
      <c r="O1636" s="25" t="s">
        <v>5835</v>
      </c>
      <c r="R1636" s="22" t="s">
        <v>5891</v>
      </c>
    </row>
    <row r="1637" spans="3:18" ht="16">
      <c r="C1637" s="19" t="s">
        <v>1518</v>
      </c>
      <c r="D1637" s="20" t="s">
        <v>3434</v>
      </c>
      <c r="E1637" s="21" t="s">
        <v>6250</v>
      </c>
      <c r="F1637" s="21" t="s">
        <v>6200</v>
      </c>
      <c r="G1637" s="22" t="s">
        <v>5949</v>
      </c>
      <c r="H1637" s="22" t="s">
        <v>5835</v>
      </c>
      <c r="I1637" s="22">
        <v>46.8</v>
      </c>
      <c r="K1637" s="22" t="s">
        <v>5835</v>
      </c>
      <c r="N1637" s="25" t="s">
        <v>7511</v>
      </c>
      <c r="O1637" s="25" t="s">
        <v>5835</v>
      </c>
      <c r="R1637" s="22" t="s">
        <v>5949</v>
      </c>
    </row>
    <row r="1638" spans="3:18" ht="16">
      <c r="C1638" s="19" t="s">
        <v>1519</v>
      </c>
      <c r="D1638" s="20" t="s">
        <v>3435</v>
      </c>
      <c r="E1638" s="21" t="s">
        <v>5968</v>
      </c>
      <c r="F1638" s="21" t="s">
        <v>5969</v>
      </c>
      <c r="G1638" s="22" t="s">
        <v>5836</v>
      </c>
      <c r="H1638" s="22" t="s">
        <v>5835</v>
      </c>
      <c r="I1638" s="22">
        <v>14</v>
      </c>
      <c r="K1638" s="22" t="s">
        <v>5835</v>
      </c>
      <c r="N1638" s="25" t="s">
        <v>7512</v>
      </c>
      <c r="O1638" s="25" t="s">
        <v>5835</v>
      </c>
      <c r="R1638" s="22" t="s">
        <v>5836</v>
      </c>
    </row>
    <row r="1639" spans="3:18" ht="16">
      <c r="C1639" s="19" t="s">
        <v>1523</v>
      </c>
      <c r="D1639" s="20" t="s">
        <v>3439</v>
      </c>
      <c r="E1639" s="21" t="s">
        <v>6054</v>
      </c>
      <c r="F1639" s="21" t="s">
        <v>5969</v>
      </c>
      <c r="G1639" s="22" t="s">
        <v>7827</v>
      </c>
      <c r="H1639" s="22" t="s">
        <v>7828</v>
      </c>
      <c r="I1639" s="22">
        <v>118.8</v>
      </c>
      <c r="K1639" s="22" t="s">
        <v>5835</v>
      </c>
      <c r="N1639" s="25" t="s">
        <v>5835</v>
      </c>
      <c r="O1639" s="25" t="s">
        <v>5835</v>
      </c>
      <c r="R1639" s="22" t="s">
        <v>5940</v>
      </c>
    </row>
    <row r="1640" spans="3:18" ht="16">
      <c r="C1640" s="19" t="s">
        <v>1525</v>
      </c>
      <c r="D1640" s="20" t="s">
        <v>3441</v>
      </c>
      <c r="E1640" s="21" t="s">
        <v>6209</v>
      </c>
      <c r="F1640" s="21" t="s">
        <v>5913</v>
      </c>
      <c r="G1640" s="22" t="s">
        <v>5962</v>
      </c>
      <c r="H1640" s="22" t="s">
        <v>5835</v>
      </c>
      <c r="I1640" s="22">
        <v>10.199999999999999</v>
      </c>
      <c r="K1640" s="22" t="s">
        <v>5835</v>
      </c>
      <c r="N1640" s="25" t="s">
        <v>7513</v>
      </c>
      <c r="O1640" s="25" t="s">
        <v>5835</v>
      </c>
      <c r="R1640" s="22" t="s">
        <v>5962</v>
      </c>
    </row>
    <row r="1641" spans="3:18" ht="16">
      <c r="C1641" s="19" t="s">
        <v>1526</v>
      </c>
      <c r="D1641" s="20" t="s">
        <v>3442</v>
      </c>
      <c r="E1641" s="21" t="s">
        <v>6074</v>
      </c>
      <c r="F1641" s="21" t="s">
        <v>6075</v>
      </c>
      <c r="G1641" s="22" t="s">
        <v>5891</v>
      </c>
      <c r="H1641" s="22" t="s">
        <v>5835</v>
      </c>
      <c r="I1641" s="22">
        <v>189.5</v>
      </c>
      <c r="K1641" s="22" t="s">
        <v>5835</v>
      </c>
      <c r="N1641" s="25" t="s">
        <v>7514</v>
      </c>
      <c r="O1641" s="25" t="s">
        <v>5835</v>
      </c>
      <c r="R1641" s="22" t="s">
        <v>5891</v>
      </c>
    </row>
    <row r="1642" spans="3:18" ht="16">
      <c r="C1642" s="19" t="s">
        <v>1527</v>
      </c>
      <c r="D1642" s="20" t="s">
        <v>3443</v>
      </c>
      <c r="E1642" s="21" t="s">
        <v>6313</v>
      </c>
      <c r="F1642" s="21" t="s">
        <v>6314</v>
      </c>
      <c r="G1642" s="22" t="s">
        <v>5958</v>
      </c>
      <c r="H1642" s="22" t="s">
        <v>5835</v>
      </c>
      <c r="I1642" s="22">
        <v>16.8</v>
      </c>
      <c r="K1642" s="22" t="s">
        <v>5835</v>
      </c>
      <c r="N1642" s="25" t="s">
        <v>7515</v>
      </c>
      <c r="O1642" s="25" t="s">
        <v>5835</v>
      </c>
      <c r="R1642" s="22" t="s">
        <v>5958</v>
      </c>
    </row>
    <row r="1643" spans="3:18" ht="16">
      <c r="C1643" s="19" t="s">
        <v>1530</v>
      </c>
      <c r="D1643" s="20" t="s">
        <v>3446</v>
      </c>
      <c r="E1643" s="21" t="s">
        <v>6313</v>
      </c>
      <c r="F1643" s="21" t="s">
        <v>6314</v>
      </c>
      <c r="G1643" s="22" t="s">
        <v>7825</v>
      </c>
      <c r="H1643" s="22" t="s">
        <v>5835</v>
      </c>
      <c r="I1643" s="22">
        <v>19</v>
      </c>
      <c r="K1643" s="22" t="s">
        <v>5835</v>
      </c>
      <c r="N1643" s="25" t="s">
        <v>7516</v>
      </c>
      <c r="O1643" s="25" t="s">
        <v>5835</v>
      </c>
      <c r="R1643" s="22" t="s">
        <v>6202</v>
      </c>
    </row>
    <row r="1644" spans="3:18" ht="16">
      <c r="C1644" s="19" t="s">
        <v>1531</v>
      </c>
      <c r="D1644" s="20" t="s">
        <v>3447</v>
      </c>
      <c r="E1644" s="21" t="s">
        <v>5968</v>
      </c>
      <c r="F1644" s="21" t="s">
        <v>5969</v>
      </c>
      <c r="G1644" s="22" t="s">
        <v>7827</v>
      </c>
      <c r="H1644" s="22" t="s">
        <v>5835</v>
      </c>
      <c r="I1644" s="22">
        <v>58.5</v>
      </c>
      <c r="K1644" s="22" t="s">
        <v>5835</v>
      </c>
      <c r="N1644" s="25" t="s">
        <v>7517</v>
      </c>
      <c r="O1644" s="25" t="s">
        <v>5835</v>
      </c>
      <c r="R1644" s="22" t="s">
        <v>5940</v>
      </c>
    </row>
    <row r="1645" spans="3:18" ht="16">
      <c r="C1645" s="19" t="s">
        <v>1534</v>
      </c>
      <c r="D1645" s="20" t="s">
        <v>3449</v>
      </c>
      <c r="E1645" s="21" t="s">
        <v>6033</v>
      </c>
      <c r="F1645" s="21" t="s">
        <v>5969</v>
      </c>
      <c r="G1645" s="22" t="s">
        <v>5857</v>
      </c>
      <c r="H1645" s="22" t="s">
        <v>5835</v>
      </c>
      <c r="I1645" s="22">
        <v>26.3</v>
      </c>
      <c r="K1645" s="22" t="s">
        <v>5835</v>
      </c>
      <c r="N1645" s="25" t="s">
        <v>7518</v>
      </c>
      <c r="O1645" s="25" t="s">
        <v>5835</v>
      </c>
      <c r="R1645" s="22" t="s">
        <v>5857</v>
      </c>
    </row>
    <row r="1646" spans="3:18" ht="16">
      <c r="C1646" s="19" t="s">
        <v>1537</v>
      </c>
      <c r="D1646" s="20" t="s">
        <v>3452</v>
      </c>
      <c r="E1646" s="21" t="s">
        <v>6033</v>
      </c>
      <c r="F1646" s="21" t="s">
        <v>5969</v>
      </c>
      <c r="G1646" s="22" t="s">
        <v>5862</v>
      </c>
      <c r="H1646" s="22" t="s">
        <v>5835</v>
      </c>
      <c r="I1646" s="22">
        <v>29.4</v>
      </c>
      <c r="K1646" s="22" t="s">
        <v>5835</v>
      </c>
      <c r="N1646" s="25" t="s">
        <v>7519</v>
      </c>
      <c r="O1646" s="25" t="s">
        <v>5835</v>
      </c>
      <c r="R1646" s="22" t="s">
        <v>5862</v>
      </c>
    </row>
    <row r="1647" spans="3:18" ht="16">
      <c r="C1647" s="19" t="s">
        <v>1538</v>
      </c>
      <c r="D1647" s="20" t="s">
        <v>3453</v>
      </c>
      <c r="E1647" s="21" t="s">
        <v>6074</v>
      </c>
      <c r="F1647" s="21" t="s">
        <v>6075</v>
      </c>
      <c r="G1647" s="22" t="s">
        <v>5889</v>
      </c>
      <c r="H1647" s="22" t="s">
        <v>5835</v>
      </c>
      <c r="I1647" s="22">
        <v>51.7</v>
      </c>
      <c r="K1647" s="22" t="s">
        <v>5835</v>
      </c>
      <c r="N1647" s="25" t="s">
        <v>7520</v>
      </c>
      <c r="O1647" s="25" t="s">
        <v>5835</v>
      </c>
      <c r="R1647" s="22" t="s">
        <v>5889</v>
      </c>
    </row>
    <row r="1648" spans="3:18" ht="16">
      <c r="C1648" s="19" t="s">
        <v>1539</v>
      </c>
      <c r="D1648" s="20" t="s">
        <v>3454</v>
      </c>
      <c r="E1648" s="21" t="s">
        <v>6254</v>
      </c>
      <c r="F1648" s="21" t="s">
        <v>8</v>
      </c>
      <c r="G1648" s="22" t="s">
        <v>5869</v>
      </c>
      <c r="H1648" s="22" t="s">
        <v>7828</v>
      </c>
      <c r="I1648" s="22">
        <v>131.9</v>
      </c>
      <c r="K1648" s="22" t="s">
        <v>5835</v>
      </c>
      <c r="N1648" s="25" t="s">
        <v>7521</v>
      </c>
      <c r="O1648" s="25" t="s">
        <v>5835</v>
      </c>
      <c r="R1648" s="22" t="s">
        <v>5869</v>
      </c>
    </row>
    <row r="1649" spans="3:18" ht="16">
      <c r="C1649" s="19" t="s">
        <v>1541</v>
      </c>
      <c r="D1649" s="20" t="s">
        <v>3456</v>
      </c>
      <c r="E1649" s="21" t="s">
        <v>6074</v>
      </c>
      <c r="F1649" s="21" t="s">
        <v>6075</v>
      </c>
      <c r="G1649" s="22" t="s">
        <v>5889</v>
      </c>
      <c r="H1649" s="22" t="s">
        <v>5835</v>
      </c>
      <c r="I1649" s="22">
        <v>6.9</v>
      </c>
      <c r="K1649" s="22" t="s">
        <v>5835</v>
      </c>
      <c r="N1649" s="25" t="s">
        <v>7522</v>
      </c>
      <c r="O1649" s="25" t="s">
        <v>5835</v>
      </c>
      <c r="R1649" s="22" t="s">
        <v>5889</v>
      </c>
    </row>
    <row r="1650" spans="3:18" ht="16">
      <c r="C1650" s="19" t="s">
        <v>1542</v>
      </c>
      <c r="D1650" s="20" t="s">
        <v>3457</v>
      </c>
      <c r="E1650" s="21" t="s">
        <v>5968</v>
      </c>
      <c r="F1650" s="21" t="s">
        <v>5969</v>
      </c>
      <c r="G1650" s="22" t="s">
        <v>7827</v>
      </c>
      <c r="H1650" s="22" t="s">
        <v>5835</v>
      </c>
      <c r="I1650" s="22">
        <v>3.5</v>
      </c>
      <c r="K1650" s="22" t="s">
        <v>5835</v>
      </c>
      <c r="N1650" s="25" t="s">
        <v>7523</v>
      </c>
      <c r="O1650" s="25" t="s">
        <v>5835</v>
      </c>
      <c r="R1650" s="22" t="s">
        <v>5940</v>
      </c>
    </row>
    <row r="1651" spans="3:18" ht="16">
      <c r="C1651" s="19" t="s">
        <v>1543</v>
      </c>
      <c r="D1651" s="20" t="s">
        <v>3458</v>
      </c>
      <c r="E1651" s="21" t="s">
        <v>6074</v>
      </c>
      <c r="F1651" s="21" t="s">
        <v>5835</v>
      </c>
      <c r="G1651" s="22" t="s">
        <v>7827</v>
      </c>
      <c r="H1651" s="22" t="s">
        <v>5835</v>
      </c>
      <c r="I1651" s="22">
        <v>104.4</v>
      </c>
      <c r="K1651" s="22" t="s">
        <v>5835</v>
      </c>
      <c r="N1651" s="25" t="s">
        <v>5835</v>
      </c>
      <c r="O1651" s="25" t="s">
        <v>5835</v>
      </c>
      <c r="R1651" s="22" t="s">
        <v>5940</v>
      </c>
    </row>
    <row r="1652" spans="3:18" ht="16">
      <c r="C1652" s="19" t="s">
        <v>1545</v>
      </c>
      <c r="D1652" s="20" t="s">
        <v>3460</v>
      </c>
      <c r="E1652" s="21" t="s">
        <v>5968</v>
      </c>
      <c r="F1652" s="21" t="s">
        <v>5969</v>
      </c>
      <c r="G1652" s="22" t="s">
        <v>5869</v>
      </c>
      <c r="H1652" s="22" t="s">
        <v>5835</v>
      </c>
      <c r="I1652" s="22">
        <v>7.3</v>
      </c>
      <c r="K1652" s="22" t="s">
        <v>5835</v>
      </c>
      <c r="N1652" s="25" t="s">
        <v>7524</v>
      </c>
      <c r="O1652" s="25" t="s">
        <v>5835</v>
      </c>
      <c r="R1652" s="22" t="s">
        <v>5869</v>
      </c>
    </row>
    <row r="1653" spans="3:18" ht="16">
      <c r="C1653" s="19" t="s">
        <v>1547</v>
      </c>
      <c r="D1653" s="20" t="s">
        <v>3462</v>
      </c>
      <c r="E1653" s="21" t="s">
        <v>5968</v>
      </c>
      <c r="F1653" s="21" t="s">
        <v>5969</v>
      </c>
      <c r="G1653" s="22" t="s">
        <v>7827</v>
      </c>
      <c r="H1653" s="22" t="s">
        <v>5835</v>
      </c>
      <c r="I1653" s="22">
        <v>31.3</v>
      </c>
      <c r="K1653" s="22" t="s">
        <v>5835</v>
      </c>
      <c r="N1653" s="25" t="s">
        <v>7525</v>
      </c>
      <c r="O1653" s="25" t="s">
        <v>5835</v>
      </c>
      <c r="R1653" s="22" t="s">
        <v>5940</v>
      </c>
    </row>
    <row r="1654" spans="3:18" ht="16">
      <c r="C1654" s="19" t="s">
        <v>1548</v>
      </c>
      <c r="D1654" s="20" t="s">
        <v>3463</v>
      </c>
      <c r="E1654" s="21" t="s">
        <v>6074</v>
      </c>
      <c r="F1654" s="21" t="s">
        <v>5835</v>
      </c>
      <c r="G1654" s="22" t="s">
        <v>7827</v>
      </c>
      <c r="H1654" s="22" t="s">
        <v>5835</v>
      </c>
      <c r="I1654" s="22">
        <v>24.6</v>
      </c>
      <c r="K1654" s="22" t="s">
        <v>5835</v>
      </c>
      <c r="N1654" s="25" t="s">
        <v>5835</v>
      </c>
      <c r="O1654" s="25" t="s">
        <v>5835</v>
      </c>
      <c r="R1654" s="22" t="s">
        <v>5940</v>
      </c>
    </row>
    <row r="1655" spans="3:18" ht="16">
      <c r="C1655" s="19" t="s">
        <v>1549</v>
      </c>
      <c r="D1655" s="20" t="s">
        <v>3464</v>
      </c>
      <c r="E1655" s="21" t="s">
        <v>6230</v>
      </c>
      <c r="F1655" s="21" t="s">
        <v>6231</v>
      </c>
      <c r="G1655" s="22" t="s">
        <v>12</v>
      </c>
      <c r="H1655" s="22" t="s">
        <v>7828</v>
      </c>
      <c r="I1655" s="22">
        <v>206</v>
      </c>
      <c r="K1655" s="22" t="s">
        <v>5835</v>
      </c>
      <c r="N1655" s="25" t="s">
        <v>7526</v>
      </c>
      <c r="O1655" s="25" t="s">
        <v>5835</v>
      </c>
      <c r="R1655" s="22" t="s">
        <v>12</v>
      </c>
    </row>
    <row r="1656" spans="3:18" ht="16">
      <c r="C1656" s="19" t="s">
        <v>1551</v>
      </c>
      <c r="D1656" s="20" t="s">
        <v>3466</v>
      </c>
      <c r="E1656" s="21" t="s">
        <v>6219</v>
      </c>
      <c r="F1656" s="21" t="s">
        <v>17</v>
      </c>
      <c r="G1656" s="22" t="s">
        <v>5918</v>
      </c>
      <c r="H1656" s="22" t="s">
        <v>5835</v>
      </c>
      <c r="I1656" s="22">
        <v>21.6</v>
      </c>
      <c r="K1656" s="22" t="s">
        <v>5835</v>
      </c>
      <c r="N1656" s="25" t="s">
        <v>6736</v>
      </c>
      <c r="O1656" s="25" t="s">
        <v>5835</v>
      </c>
      <c r="R1656" s="22" t="s">
        <v>5918</v>
      </c>
    </row>
    <row r="1657" spans="3:18" ht="16">
      <c r="C1657" s="19" t="s">
        <v>1552</v>
      </c>
      <c r="D1657" s="20" t="s">
        <v>3467</v>
      </c>
      <c r="E1657" s="21" t="s">
        <v>6257</v>
      </c>
      <c r="F1657" s="21" t="s">
        <v>10</v>
      </c>
      <c r="G1657" s="22" t="s">
        <v>5981</v>
      </c>
      <c r="H1657" s="22" t="s">
        <v>7828</v>
      </c>
      <c r="I1657" s="22">
        <v>221.5</v>
      </c>
      <c r="K1657" s="22" t="s">
        <v>5835</v>
      </c>
      <c r="N1657" s="25" t="s">
        <v>7527</v>
      </c>
      <c r="O1657" s="25" t="s">
        <v>5835</v>
      </c>
      <c r="R1657" s="22" t="s">
        <v>5981</v>
      </c>
    </row>
    <row r="1658" spans="3:18" ht="16">
      <c r="C1658" s="19" t="s">
        <v>1554</v>
      </c>
      <c r="D1658" s="20" t="s">
        <v>3468</v>
      </c>
      <c r="E1658" s="21" t="s">
        <v>6074</v>
      </c>
      <c r="F1658" s="21" t="s">
        <v>6075</v>
      </c>
      <c r="G1658" s="22" t="s">
        <v>5889</v>
      </c>
      <c r="H1658" s="22" t="s">
        <v>5835</v>
      </c>
      <c r="I1658" s="22">
        <v>15.5</v>
      </c>
      <c r="K1658" s="22" t="s">
        <v>5835</v>
      </c>
      <c r="N1658" s="25" t="s">
        <v>7485</v>
      </c>
      <c r="O1658" s="25" t="s">
        <v>5835</v>
      </c>
      <c r="R1658" s="22" t="s">
        <v>5889</v>
      </c>
    </row>
    <row r="1659" spans="3:18" ht="16">
      <c r="C1659" s="19" t="s">
        <v>1555</v>
      </c>
      <c r="D1659" s="20" t="s">
        <v>3469</v>
      </c>
      <c r="E1659" s="21" t="s">
        <v>6257</v>
      </c>
      <c r="F1659" s="21" t="s">
        <v>10</v>
      </c>
      <c r="G1659" s="22" t="s">
        <v>5930</v>
      </c>
      <c r="H1659" s="22" t="s">
        <v>5835</v>
      </c>
      <c r="I1659" s="22">
        <v>27.2</v>
      </c>
      <c r="K1659" s="22" t="s">
        <v>5835</v>
      </c>
      <c r="N1659" s="25" t="s">
        <v>6587</v>
      </c>
      <c r="O1659" s="25" t="s">
        <v>5835</v>
      </c>
      <c r="R1659" s="22" t="s">
        <v>5930</v>
      </c>
    </row>
    <row r="1660" spans="3:18" ht="16">
      <c r="C1660" s="19" t="s">
        <v>1556</v>
      </c>
      <c r="D1660" s="20" t="s">
        <v>3470</v>
      </c>
      <c r="E1660" s="21" t="s">
        <v>6230</v>
      </c>
      <c r="F1660" s="21" t="s">
        <v>6231</v>
      </c>
      <c r="G1660" s="22" t="s">
        <v>5935</v>
      </c>
      <c r="H1660" s="22" t="s">
        <v>5835</v>
      </c>
      <c r="I1660" s="22">
        <v>28.5</v>
      </c>
      <c r="K1660" s="22" t="s">
        <v>5835</v>
      </c>
      <c r="N1660" s="25" t="s">
        <v>7528</v>
      </c>
      <c r="O1660" s="25" t="s">
        <v>5835</v>
      </c>
      <c r="R1660" s="22" t="s">
        <v>5935</v>
      </c>
    </row>
    <row r="1661" spans="3:18" ht="16">
      <c r="C1661" s="19" t="s">
        <v>1560</v>
      </c>
      <c r="D1661" s="20" t="s">
        <v>3474</v>
      </c>
      <c r="E1661" s="21" t="s">
        <v>6074</v>
      </c>
      <c r="F1661" s="21" t="s">
        <v>6075</v>
      </c>
      <c r="G1661" s="22" t="s">
        <v>5889</v>
      </c>
      <c r="H1661" s="22" t="s">
        <v>5835</v>
      </c>
      <c r="I1661" s="22">
        <v>4.7</v>
      </c>
      <c r="K1661" s="22" t="s">
        <v>5835</v>
      </c>
      <c r="N1661" s="25" t="s">
        <v>7529</v>
      </c>
      <c r="O1661" s="25" t="s">
        <v>5835</v>
      </c>
      <c r="R1661" s="22" t="s">
        <v>5889</v>
      </c>
    </row>
    <row r="1662" spans="3:18" ht="16">
      <c r="C1662" s="19" t="s">
        <v>1561</v>
      </c>
      <c r="D1662" s="20" t="s">
        <v>3475</v>
      </c>
      <c r="E1662" s="21" t="s">
        <v>6074</v>
      </c>
      <c r="F1662" s="21" t="s">
        <v>6075</v>
      </c>
      <c r="G1662" s="22" t="s">
        <v>5889</v>
      </c>
      <c r="H1662" s="22" t="s">
        <v>5835</v>
      </c>
      <c r="I1662" s="22">
        <v>8.6999999999999993</v>
      </c>
      <c r="K1662" s="22" t="s">
        <v>5835</v>
      </c>
      <c r="N1662" s="25" t="s">
        <v>7530</v>
      </c>
      <c r="O1662" s="25" t="s">
        <v>5835</v>
      </c>
      <c r="R1662" s="22" t="s">
        <v>5889</v>
      </c>
    </row>
    <row r="1663" spans="3:18" ht="16">
      <c r="C1663" s="19" t="s">
        <v>1562</v>
      </c>
      <c r="D1663" s="20" t="s">
        <v>3476</v>
      </c>
      <c r="E1663" s="21" t="s">
        <v>6274</v>
      </c>
      <c r="F1663" s="21" t="s">
        <v>17</v>
      </c>
      <c r="G1663" s="22" t="s">
        <v>5935</v>
      </c>
      <c r="H1663" s="22" t="s">
        <v>7828</v>
      </c>
      <c r="I1663" s="22">
        <v>137</v>
      </c>
      <c r="K1663" s="22" t="s">
        <v>5835</v>
      </c>
      <c r="N1663" s="25" t="s">
        <v>7531</v>
      </c>
      <c r="O1663" s="25" t="s">
        <v>5835</v>
      </c>
      <c r="R1663" s="22" t="s">
        <v>5935</v>
      </c>
    </row>
    <row r="1664" spans="3:18" ht="16">
      <c r="C1664" s="19" t="s">
        <v>1564</v>
      </c>
      <c r="D1664" s="20" t="s">
        <v>3478</v>
      </c>
      <c r="E1664" s="21" t="s">
        <v>6254</v>
      </c>
      <c r="F1664" s="21" t="s">
        <v>8</v>
      </c>
      <c r="G1664" s="22" t="s">
        <v>12</v>
      </c>
      <c r="H1664" s="22" t="s">
        <v>7828</v>
      </c>
      <c r="I1664" s="22">
        <v>109</v>
      </c>
      <c r="K1664" s="22" t="s">
        <v>5835</v>
      </c>
      <c r="N1664" s="25" t="s">
        <v>7532</v>
      </c>
      <c r="O1664" s="25" t="s">
        <v>5835</v>
      </c>
      <c r="R1664" s="22" t="s">
        <v>12</v>
      </c>
    </row>
    <row r="1665" spans="3:18" ht="16">
      <c r="C1665" s="19" t="s">
        <v>1571</v>
      </c>
      <c r="D1665" s="20" t="s">
        <v>3485</v>
      </c>
      <c r="E1665" s="21" t="s">
        <v>6257</v>
      </c>
      <c r="F1665" s="21" t="s">
        <v>10</v>
      </c>
      <c r="G1665" s="22" t="s">
        <v>5954</v>
      </c>
      <c r="H1665" s="22" t="s">
        <v>7828</v>
      </c>
      <c r="I1665" s="22">
        <v>119.1</v>
      </c>
      <c r="K1665" s="22" t="s">
        <v>5835</v>
      </c>
      <c r="N1665" s="25" t="s">
        <v>7533</v>
      </c>
      <c r="O1665" s="25" t="s">
        <v>5835</v>
      </c>
      <c r="R1665" s="22" t="s">
        <v>5954</v>
      </c>
    </row>
    <row r="1666" spans="3:18" ht="16">
      <c r="C1666" s="19" t="s">
        <v>1572</v>
      </c>
      <c r="D1666" s="20" t="s">
        <v>3486</v>
      </c>
      <c r="E1666" s="21" t="s">
        <v>6285</v>
      </c>
      <c r="F1666" s="21" t="s">
        <v>6281</v>
      </c>
      <c r="G1666" s="22" t="s">
        <v>5867</v>
      </c>
      <c r="H1666" s="22" t="s">
        <v>5835</v>
      </c>
      <c r="I1666" s="22">
        <v>17.2</v>
      </c>
      <c r="K1666" s="22" t="s">
        <v>5835</v>
      </c>
      <c r="N1666" s="25" t="s">
        <v>7534</v>
      </c>
      <c r="O1666" s="25" t="s">
        <v>5835</v>
      </c>
      <c r="R1666" s="22" t="s">
        <v>5867</v>
      </c>
    </row>
    <row r="1667" spans="3:18" ht="16">
      <c r="C1667" s="19" t="s">
        <v>1573</v>
      </c>
      <c r="D1667" s="20" t="s">
        <v>3487</v>
      </c>
      <c r="E1667" s="21" t="s">
        <v>6230</v>
      </c>
      <c r="F1667" s="21" t="s">
        <v>6231</v>
      </c>
      <c r="G1667" s="22" t="s">
        <v>14</v>
      </c>
      <c r="H1667" s="22" t="s">
        <v>7828</v>
      </c>
      <c r="I1667" s="22">
        <v>97.8</v>
      </c>
      <c r="K1667" s="22" t="s">
        <v>5835</v>
      </c>
      <c r="N1667" s="25" t="s">
        <v>7535</v>
      </c>
      <c r="O1667" s="25" t="s">
        <v>5835</v>
      </c>
      <c r="R1667" s="22" t="s">
        <v>14</v>
      </c>
    </row>
    <row r="1668" spans="3:18" ht="16">
      <c r="C1668" s="19" t="s">
        <v>1574</v>
      </c>
      <c r="D1668" s="20" t="s">
        <v>3488</v>
      </c>
      <c r="E1668" s="21" t="s">
        <v>6257</v>
      </c>
      <c r="F1668" s="21" t="s">
        <v>10</v>
      </c>
      <c r="G1668" s="22" t="s">
        <v>5978</v>
      </c>
      <c r="H1668" s="22" t="s">
        <v>5835</v>
      </c>
      <c r="I1668" s="22">
        <v>24.4</v>
      </c>
      <c r="K1668" s="22" t="s">
        <v>5835</v>
      </c>
      <c r="N1668" s="25" t="s">
        <v>7536</v>
      </c>
      <c r="O1668" s="25" t="s">
        <v>5835</v>
      </c>
      <c r="R1668" s="22" t="s">
        <v>5978</v>
      </c>
    </row>
    <row r="1669" spans="3:18" ht="16">
      <c r="C1669" s="19" t="s">
        <v>1576</v>
      </c>
      <c r="D1669" s="20" t="s">
        <v>3490</v>
      </c>
      <c r="E1669" s="21" t="s">
        <v>6313</v>
      </c>
      <c r="F1669" s="21" t="s">
        <v>6314</v>
      </c>
      <c r="G1669" s="22" t="s">
        <v>5958</v>
      </c>
      <c r="H1669" s="22" t="s">
        <v>7828</v>
      </c>
      <c r="I1669" s="22">
        <v>51.9</v>
      </c>
      <c r="K1669" s="22" t="s">
        <v>5835</v>
      </c>
      <c r="N1669" s="25" t="s">
        <v>7537</v>
      </c>
      <c r="O1669" s="25" t="s">
        <v>5835</v>
      </c>
      <c r="R1669" s="22" t="s">
        <v>5958</v>
      </c>
    </row>
    <row r="1670" spans="3:18" ht="16">
      <c r="C1670" s="19" t="s">
        <v>1578</v>
      </c>
      <c r="D1670" s="20" t="s">
        <v>3492</v>
      </c>
      <c r="E1670" s="21" t="s">
        <v>6293</v>
      </c>
      <c r="F1670" s="21" t="s">
        <v>5835</v>
      </c>
      <c r="G1670" s="22" t="s">
        <v>7825</v>
      </c>
      <c r="H1670" s="22" t="s">
        <v>5835</v>
      </c>
      <c r="I1670" s="22">
        <v>21.7</v>
      </c>
      <c r="K1670" s="22" t="s">
        <v>5835</v>
      </c>
      <c r="N1670" s="25" t="s">
        <v>5835</v>
      </c>
      <c r="O1670" s="25" t="s">
        <v>5835</v>
      </c>
      <c r="R1670" s="22" t="s">
        <v>6202</v>
      </c>
    </row>
    <row r="1671" spans="3:18" ht="16">
      <c r="C1671" s="19" t="s">
        <v>1579</v>
      </c>
      <c r="D1671" s="20" t="s">
        <v>3493</v>
      </c>
      <c r="E1671" s="21" t="s">
        <v>6219</v>
      </c>
      <c r="F1671" s="21" t="s">
        <v>17</v>
      </c>
      <c r="G1671" s="22" t="s">
        <v>7825</v>
      </c>
      <c r="H1671" s="22" t="s">
        <v>5835</v>
      </c>
      <c r="I1671" s="22">
        <v>26.4</v>
      </c>
      <c r="K1671" s="22" t="s">
        <v>5835</v>
      </c>
      <c r="N1671" s="25" t="s">
        <v>5835</v>
      </c>
      <c r="O1671" s="25" t="s">
        <v>5835</v>
      </c>
      <c r="R1671" s="22" t="s">
        <v>6202</v>
      </c>
    </row>
    <row r="1672" spans="3:18" ht="16">
      <c r="C1672" s="19" t="s">
        <v>1581</v>
      </c>
      <c r="D1672" s="20" t="s">
        <v>3495</v>
      </c>
      <c r="E1672" s="21" t="s">
        <v>6313</v>
      </c>
      <c r="F1672" s="21" t="s">
        <v>6314</v>
      </c>
      <c r="G1672" s="22" t="s">
        <v>5958</v>
      </c>
      <c r="H1672" s="22" t="s">
        <v>5835</v>
      </c>
      <c r="I1672" s="22">
        <v>12.3</v>
      </c>
      <c r="K1672" s="22" t="s">
        <v>5835</v>
      </c>
      <c r="N1672" s="25" t="s">
        <v>7538</v>
      </c>
      <c r="O1672" s="25" t="s">
        <v>5835</v>
      </c>
      <c r="R1672" s="22" t="s">
        <v>5958</v>
      </c>
    </row>
    <row r="1673" spans="3:18" ht="16">
      <c r="C1673" s="19" t="s">
        <v>1583</v>
      </c>
      <c r="D1673" s="20" t="s">
        <v>3497</v>
      </c>
      <c r="E1673" s="21" t="s">
        <v>6074</v>
      </c>
      <c r="F1673" s="21" t="s">
        <v>6075</v>
      </c>
      <c r="G1673" s="22" t="s">
        <v>5884</v>
      </c>
      <c r="H1673" s="22" t="s">
        <v>5835</v>
      </c>
      <c r="I1673" s="22">
        <v>37.700000000000003</v>
      </c>
      <c r="K1673" s="22" t="s">
        <v>5835</v>
      </c>
      <c r="N1673" s="25" t="s">
        <v>7539</v>
      </c>
      <c r="O1673" s="25" t="s">
        <v>5835</v>
      </c>
      <c r="R1673" s="22" t="s">
        <v>5884</v>
      </c>
    </row>
    <row r="1674" spans="3:18" ht="16">
      <c r="C1674" s="19" t="s">
        <v>1585</v>
      </c>
      <c r="D1674" s="20" t="s">
        <v>3499</v>
      </c>
      <c r="E1674" s="21" t="s">
        <v>6257</v>
      </c>
      <c r="F1674" s="21" t="s">
        <v>10</v>
      </c>
      <c r="G1674" s="22" t="s">
        <v>7825</v>
      </c>
      <c r="H1674" s="22" t="s">
        <v>5835</v>
      </c>
      <c r="I1674" s="22">
        <v>13.6</v>
      </c>
      <c r="K1674" s="22" t="s">
        <v>5835</v>
      </c>
      <c r="N1674" s="25" t="s">
        <v>5835</v>
      </c>
      <c r="O1674" s="25" t="s">
        <v>5835</v>
      </c>
      <c r="R1674" s="22" t="s">
        <v>6202</v>
      </c>
    </row>
    <row r="1675" spans="3:18" ht="16">
      <c r="C1675" s="19" t="s">
        <v>1586</v>
      </c>
      <c r="D1675" s="20" t="s">
        <v>3500</v>
      </c>
      <c r="E1675" s="21" t="s">
        <v>6074</v>
      </c>
      <c r="F1675" s="21" t="s">
        <v>6075</v>
      </c>
      <c r="G1675" s="22" t="s">
        <v>5891</v>
      </c>
      <c r="H1675" s="22" t="s">
        <v>5835</v>
      </c>
      <c r="I1675" s="22">
        <v>132.1</v>
      </c>
      <c r="K1675" s="22" t="s">
        <v>5835</v>
      </c>
      <c r="N1675" s="25" t="s">
        <v>7540</v>
      </c>
      <c r="O1675" s="25" t="s">
        <v>5835</v>
      </c>
      <c r="R1675" s="22" t="s">
        <v>5891</v>
      </c>
    </row>
    <row r="1676" spans="3:18" ht="16">
      <c r="C1676" s="19" t="s">
        <v>1588</v>
      </c>
      <c r="D1676" s="20" t="s">
        <v>3502</v>
      </c>
      <c r="E1676" s="21" t="s">
        <v>6257</v>
      </c>
      <c r="F1676" s="21" t="s">
        <v>10</v>
      </c>
      <c r="G1676" s="22" t="s">
        <v>5947</v>
      </c>
      <c r="H1676" s="22" t="s">
        <v>5835</v>
      </c>
      <c r="I1676" s="22">
        <v>16.2</v>
      </c>
      <c r="K1676" s="22" t="s">
        <v>5835</v>
      </c>
      <c r="N1676" s="25" t="s">
        <v>10</v>
      </c>
      <c r="O1676" s="25" t="s">
        <v>5835</v>
      </c>
      <c r="R1676" s="22" t="s">
        <v>5947</v>
      </c>
    </row>
    <row r="1677" spans="3:18" ht="16">
      <c r="C1677" s="19" t="s">
        <v>1591</v>
      </c>
      <c r="D1677" s="20" t="s">
        <v>3504</v>
      </c>
      <c r="E1677" s="21" t="s">
        <v>5968</v>
      </c>
      <c r="F1677" s="21" t="s">
        <v>5831</v>
      </c>
      <c r="G1677" s="22" t="s">
        <v>7827</v>
      </c>
      <c r="H1677" s="22" t="s">
        <v>5835</v>
      </c>
      <c r="I1677" s="22">
        <v>13.7</v>
      </c>
      <c r="K1677" s="22" t="s">
        <v>5835</v>
      </c>
      <c r="N1677" s="25" t="s">
        <v>5835</v>
      </c>
      <c r="O1677" s="25" t="s">
        <v>5835</v>
      </c>
      <c r="R1677" s="22" t="s">
        <v>5940</v>
      </c>
    </row>
    <row r="1678" spans="3:18" ht="16">
      <c r="C1678" s="19" t="s">
        <v>1594</v>
      </c>
      <c r="D1678" s="20" t="s">
        <v>3507</v>
      </c>
      <c r="E1678" s="21" t="s">
        <v>6274</v>
      </c>
      <c r="F1678" s="21" t="s">
        <v>17</v>
      </c>
      <c r="G1678" s="22" t="s">
        <v>5935</v>
      </c>
      <c r="H1678" s="22" t="s">
        <v>5835</v>
      </c>
      <c r="I1678" s="22">
        <v>18.7</v>
      </c>
      <c r="K1678" s="22" t="s">
        <v>5835</v>
      </c>
      <c r="N1678" s="25" t="s">
        <v>7541</v>
      </c>
      <c r="O1678" s="25" t="s">
        <v>5835</v>
      </c>
      <c r="R1678" s="22" t="s">
        <v>5935</v>
      </c>
    </row>
    <row r="1679" spans="3:18" ht="16">
      <c r="C1679" s="19" t="s">
        <v>1595</v>
      </c>
      <c r="D1679" s="20" t="s">
        <v>3508</v>
      </c>
      <c r="E1679" s="21" t="s">
        <v>6033</v>
      </c>
      <c r="F1679" s="21" t="s">
        <v>5969</v>
      </c>
      <c r="G1679" s="22" t="s">
        <v>5879</v>
      </c>
      <c r="H1679" s="22" t="s">
        <v>7828</v>
      </c>
      <c r="I1679" s="22">
        <v>48.9</v>
      </c>
      <c r="K1679" s="22" t="s">
        <v>5835</v>
      </c>
      <c r="N1679" s="25" t="s">
        <v>7542</v>
      </c>
      <c r="O1679" s="25" t="s">
        <v>5835</v>
      </c>
      <c r="R1679" s="22" t="s">
        <v>5879</v>
      </c>
    </row>
    <row r="1680" spans="3:18" ht="16">
      <c r="C1680" s="19" t="s">
        <v>1597</v>
      </c>
      <c r="D1680" s="20" t="s">
        <v>3510</v>
      </c>
      <c r="E1680" s="21" t="s">
        <v>6257</v>
      </c>
      <c r="F1680" s="21" t="s">
        <v>10</v>
      </c>
      <c r="G1680" s="22" t="s">
        <v>5991</v>
      </c>
      <c r="H1680" s="22" t="s">
        <v>7828</v>
      </c>
      <c r="I1680" s="22">
        <v>88.5</v>
      </c>
      <c r="K1680" s="22" t="s">
        <v>5835</v>
      </c>
      <c r="N1680" s="25" t="s">
        <v>7543</v>
      </c>
      <c r="O1680" s="25" t="s">
        <v>5835</v>
      </c>
      <c r="R1680" s="22" t="s">
        <v>5991</v>
      </c>
    </row>
    <row r="1681" spans="3:18" ht="16">
      <c r="C1681" s="19" t="s">
        <v>1598</v>
      </c>
      <c r="D1681" s="20" t="s">
        <v>3511</v>
      </c>
      <c r="E1681" s="21" t="s">
        <v>6074</v>
      </c>
      <c r="F1681" s="21" t="s">
        <v>6075</v>
      </c>
      <c r="G1681" s="22" t="s">
        <v>5889</v>
      </c>
      <c r="H1681" s="22" t="s">
        <v>5835</v>
      </c>
      <c r="I1681" s="22">
        <v>37.4</v>
      </c>
      <c r="K1681" s="22" t="s">
        <v>5835</v>
      </c>
      <c r="N1681" s="25" t="s">
        <v>7544</v>
      </c>
      <c r="O1681" s="25" t="s">
        <v>5835</v>
      </c>
      <c r="R1681" s="22" t="s">
        <v>5889</v>
      </c>
    </row>
    <row r="1682" spans="3:18" ht="16">
      <c r="C1682" s="19" t="s">
        <v>1599</v>
      </c>
      <c r="D1682" s="20" t="s">
        <v>3512</v>
      </c>
      <c r="E1682" s="21" t="s">
        <v>6257</v>
      </c>
      <c r="F1682" s="21" t="s">
        <v>8</v>
      </c>
      <c r="G1682" s="22" t="s">
        <v>7825</v>
      </c>
      <c r="H1682" s="22" t="s">
        <v>5835</v>
      </c>
      <c r="I1682" s="22">
        <v>21.7</v>
      </c>
      <c r="K1682" s="22" t="s">
        <v>5835</v>
      </c>
      <c r="N1682" s="25" t="s">
        <v>5835</v>
      </c>
      <c r="O1682" s="25" t="s">
        <v>5835</v>
      </c>
      <c r="R1682" s="22" t="s">
        <v>6202</v>
      </c>
    </row>
    <row r="1683" spans="3:18" ht="16">
      <c r="C1683" s="19" t="s">
        <v>1601</v>
      </c>
      <c r="D1683" s="20" t="s">
        <v>3513</v>
      </c>
      <c r="E1683" s="21" t="s">
        <v>6521</v>
      </c>
      <c r="F1683" s="21" t="s">
        <v>6314</v>
      </c>
      <c r="G1683" s="22" t="s">
        <v>5958</v>
      </c>
      <c r="H1683" s="22" t="s">
        <v>5835</v>
      </c>
      <c r="I1683" s="22">
        <v>97.7</v>
      </c>
      <c r="K1683" s="22" t="s">
        <v>5835</v>
      </c>
      <c r="N1683" s="25" t="s">
        <v>7545</v>
      </c>
      <c r="O1683" s="25" t="s">
        <v>5835</v>
      </c>
      <c r="R1683" s="22" t="s">
        <v>5958</v>
      </c>
    </row>
    <row r="1684" spans="3:18" ht="16">
      <c r="C1684" s="19" t="s">
        <v>7546</v>
      </c>
      <c r="D1684" s="20" t="s">
        <v>7547</v>
      </c>
      <c r="E1684" s="21" t="s">
        <v>6074</v>
      </c>
      <c r="F1684" s="21" t="s">
        <v>6075</v>
      </c>
      <c r="G1684" s="22" t="s">
        <v>5889</v>
      </c>
      <c r="H1684" s="22" t="s">
        <v>7828</v>
      </c>
      <c r="I1684" s="22">
        <v>52.4</v>
      </c>
      <c r="K1684" s="22" t="s">
        <v>5835</v>
      </c>
      <c r="N1684" s="25" t="s">
        <v>7548</v>
      </c>
      <c r="O1684" s="25" t="s">
        <v>5835</v>
      </c>
      <c r="R1684" s="22" t="s">
        <v>5889</v>
      </c>
    </row>
    <row r="1685" spans="3:18" ht="16">
      <c r="C1685" s="19" t="s">
        <v>1604</v>
      </c>
      <c r="D1685" s="20" t="s">
        <v>3516</v>
      </c>
      <c r="E1685" s="21" t="s">
        <v>6313</v>
      </c>
      <c r="F1685" s="21" t="s">
        <v>6314</v>
      </c>
      <c r="G1685" s="22" t="s">
        <v>5958</v>
      </c>
      <c r="H1685" s="22" t="s">
        <v>5835</v>
      </c>
      <c r="I1685" s="22">
        <v>9.5</v>
      </c>
      <c r="K1685" s="22" t="s">
        <v>5835</v>
      </c>
      <c r="N1685" s="25" t="s">
        <v>7549</v>
      </c>
      <c r="O1685" s="25" t="s">
        <v>5835</v>
      </c>
      <c r="R1685" s="22" t="s">
        <v>5958</v>
      </c>
    </row>
    <row r="1686" spans="3:18" ht="16">
      <c r="C1686" s="19" t="s">
        <v>1605</v>
      </c>
      <c r="D1686" s="20" t="s">
        <v>3517</v>
      </c>
      <c r="E1686" s="21" t="s">
        <v>6313</v>
      </c>
      <c r="F1686" s="21" t="s">
        <v>6314</v>
      </c>
      <c r="G1686" s="22" t="s">
        <v>5958</v>
      </c>
      <c r="H1686" s="22" t="s">
        <v>5835</v>
      </c>
      <c r="I1686" s="22">
        <v>52.9</v>
      </c>
      <c r="K1686" s="22" t="s">
        <v>5835</v>
      </c>
      <c r="N1686" s="25" t="s">
        <v>7550</v>
      </c>
      <c r="O1686" s="25" t="s">
        <v>5835</v>
      </c>
      <c r="R1686" s="22" t="s">
        <v>5958</v>
      </c>
    </row>
    <row r="1687" spans="3:18" ht="16">
      <c r="C1687" s="19" t="s">
        <v>1610</v>
      </c>
      <c r="D1687" s="20" t="s">
        <v>3521</v>
      </c>
      <c r="E1687" s="21" t="s">
        <v>6067</v>
      </c>
      <c r="F1687" s="21" t="s">
        <v>17</v>
      </c>
      <c r="G1687" s="22" t="s">
        <v>7825</v>
      </c>
      <c r="H1687" s="22" t="s">
        <v>5835</v>
      </c>
      <c r="I1687" s="22">
        <v>30.2</v>
      </c>
      <c r="K1687" s="22" t="s">
        <v>5835</v>
      </c>
      <c r="N1687" s="25" t="s">
        <v>5835</v>
      </c>
      <c r="O1687" s="25" t="s">
        <v>5835</v>
      </c>
      <c r="R1687" s="22" t="s">
        <v>6202</v>
      </c>
    </row>
    <row r="1688" spans="3:18" ht="16">
      <c r="C1688" s="19" t="s">
        <v>1611</v>
      </c>
      <c r="D1688" s="20" t="s">
        <v>3522</v>
      </c>
      <c r="E1688" s="21" t="s">
        <v>6074</v>
      </c>
      <c r="F1688" s="21" t="s">
        <v>6075</v>
      </c>
      <c r="G1688" s="22" t="s">
        <v>5889</v>
      </c>
      <c r="H1688" s="22" t="s">
        <v>7828</v>
      </c>
      <c r="I1688" s="22">
        <v>84.2</v>
      </c>
      <c r="K1688" s="22" t="s">
        <v>5835</v>
      </c>
      <c r="N1688" s="25" t="s">
        <v>7551</v>
      </c>
      <c r="O1688" s="25" t="s">
        <v>5835</v>
      </c>
      <c r="R1688" s="22" t="s">
        <v>5889</v>
      </c>
    </row>
    <row r="1689" spans="3:18" ht="16">
      <c r="C1689" s="19" t="s">
        <v>1612</v>
      </c>
      <c r="D1689" s="20" t="s">
        <v>7552</v>
      </c>
      <c r="E1689" s="21" t="s">
        <v>6313</v>
      </c>
      <c r="F1689" s="21" t="s">
        <v>6314</v>
      </c>
      <c r="G1689" s="22" t="s">
        <v>7825</v>
      </c>
      <c r="H1689" s="22" t="s">
        <v>5835</v>
      </c>
      <c r="I1689" s="22">
        <v>114.6</v>
      </c>
      <c r="K1689" s="22" t="s">
        <v>5835</v>
      </c>
      <c r="N1689" s="25" t="s">
        <v>5835</v>
      </c>
      <c r="O1689" s="25" t="s">
        <v>5835</v>
      </c>
      <c r="R1689" s="22" t="s">
        <v>6202</v>
      </c>
    </row>
    <row r="1690" spans="3:18" ht="16">
      <c r="C1690" s="19" t="s">
        <v>1613</v>
      </c>
      <c r="D1690" s="20" t="s">
        <v>3523</v>
      </c>
      <c r="E1690" s="21" t="s">
        <v>6074</v>
      </c>
      <c r="F1690" s="21" t="s">
        <v>6075</v>
      </c>
      <c r="G1690" s="22" t="s">
        <v>5889</v>
      </c>
      <c r="H1690" s="22" t="s">
        <v>5835</v>
      </c>
      <c r="I1690" s="22">
        <v>11.1</v>
      </c>
      <c r="K1690" s="22" t="s">
        <v>5835</v>
      </c>
      <c r="N1690" s="25" t="s">
        <v>7553</v>
      </c>
      <c r="O1690" s="25" t="s">
        <v>5835</v>
      </c>
      <c r="R1690" s="22" t="s">
        <v>5889</v>
      </c>
    </row>
    <row r="1691" spans="3:18" ht="16">
      <c r="C1691" s="19" t="s">
        <v>1620</v>
      </c>
      <c r="D1691" s="20" t="s">
        <v>3529</v>
      </c>
      <c r="E1691" s="21" t="s">
        <v>6074</v>
      </c>
      <c r="F1691" s="21" t="s">
        <v>5835</v>
      </c>
      <c r="G1691" s="22" t="s">
        <v>7827</v>
      </c>
      <c r="H1691" s="22" t="s">
        <v>5835</v>
      </c>
      <c r="I1691" s="22">
        <v>99.9</v>
      </c>
      <c r="K1691" s="22" t="s">
        <v>5835</v>
      </c>
      <c r="N1691" s="25" t="s">
        <v>5835</v>
      </c>
      <c r="O1691" s="25" t="s">
        <v>5835</v>
      </c>
      <c r="R1691" s="22" t="s">
        <v>5940</v>
      </c>
    </row>
    <row r="1692" spans="3:18" ht="16">
      <c r="C1692" s="19" t="s">
        <v>1621</v>
      </c>
      <c r="D1692" s="20" t="s">
        <v>3530</v>
      </c>
      <c r="E1692" s="21" t="s">
        <v>6274</v>
      </c>
      <c r="F1692" s="21" t="s">
        <v>17</v>
      </c>
      <c r="G1692" s="22" t="s">
        <v>7825</v>
      </c>
      <c r="H1692" s="22" t="s">
        <v>7828</v>
      </c>
      <c r="I1692" s="22">
        <v>107.4</v>
      </c>
      <c r="K1692" s="22" t="s">
        <v>5835</v>
      </c>
      <c r="N1692" s="25" t="s">
        <v>7554</v>
      </c>
      <c r="O1692" s="25" t="s">
        <v>5835</v>
      </c>
      <c r="R1692" s="22" t="s">
        <v>6202</v>
      </c>
    </row>
    <row r="1693" spans="3:18" ht="16">
      <c r="C1693" s="19" t="s">
        <v>1624</v>
      </c>
      <c r="D1693" s="20" t="s">
        <v>3533</v>
      </c>
      <c r="E1693" s="21" t="s">
        <v>6313</v>
      </c>
      <c r="F1693" s="21" t="s">
        <v>6314</v>
      </c>
      <c r="G1693" s="22" t="s">
        <v>7825</v>
      </c>
      <c r="H1693" s="22" t="s">
        <v>5835</v>
      </c>
      <c r="I1693" s="22">
        <v>21</v>
      </c>
      <c r="K1693" s="22" t="s">
        <v>5835</v>
      </c>
      <c r="N1693" s="25" t="s">
        <v>5835</v>
      </c>
      <c r="O1693" s="25" t="s">
        <v>5835</v>
      </c>
      <c r="R1693" s="22" t="s">
        <v>6202</v>
      </c>
    </row>
    <row r="1694" spans="3:18" ht="16">
      <c r="C1694" s="19" t="s">
        <v>1629</v>
      </c>
      <c r="D1694" s="20" t="s">
        <v>3538</v>
      </c>
      <c r="E1694" s="21" t="s">
        <v>5968</v>
      </c>
      <c r="F1694" s="21" t="s">
        <v>5969</v>
      </c>
      <c r="G1694" s="22" t="s">
        <v>5869</v>
      </c>
      <c r="H1694" s="22" t="s">
        <v>7828</v>
      </c>
      <c r="I1694" s="22">
        <v>210.4</v>
      </c>
      <c r="K1694" s="22" t="s">
        <v>5835</v>
      </c>
      <c r="N1694" s="25" t="s">
        <v>7555</v>
      </c>
      <c r="O1694" s="25" t="s">
        <v>5835</v>
      </c>
      <c r="R1694" s="22" t="s">
        <v>5869</v>
      </c>
    </row>
    <row r="1695" spans="3:18" ht="16">
      <c r="C1695" s="19" t="s">
        <v>1630</v>
      </c>
      <c r="D1695" s="20" t="s">
        <v>3539</v>
      </c>
      <c r="E1695" s="21" t="s">
        <v>6679</v>
      </c>
      <c r="F1695" s="21" t="s">
        <v>6680</v>
      </c>
      <c r="G1695" s="22" t="s">
        <v>7827</v>
      </c>
      <c r="H1695" s="22" t="s">
        <v>5835</v>
      </c>
      <c r="I1695" s="22">
        <v>8.1999999999999993</v>
      </c>
      <c r="K1695" s="22" t="s">
        <v>5835</v>
      </c>
      <c r="N1695" s="25" t="s">
        <v>5835</v>
      </c>
      <c r="O1695" s="25" t="s">
        <v>5835</v>
      </c>
      <c r="R1695" s="22" t="s">
        <v>5940</v>
      </c>
    </row>
    <row r="1696" spans="3:18" ht="16">
      <c r="C1696" s="19" t="s">
        <v>1634</v>
      </c>
      <c r="D1696" s="20" t="s">
        <v>3543</v>
      </c>
      <c r="E1696" s="21" t="s">
        <v>6313</v>
      </c>
      <c r="F1696" s="21" t="s">
        <v>6314</v>
      </c>
      <c r="G1696" s="22" t="s">
        <v>7827</v>
      </c>
      <c r="H1696" s="22" t="s">
        <v>7828</v>
      </c>
      <c r="I1696" s="22">
        <v>100</v>
      </c>
      <c r="K1696" s="22" t="s">
        <v>5835</v>
      </c>
      <c r="N1696" s="25" t="s">
        <v>5835</v>
      </c>
      <c r="O1696" s="25" t="s">
        <v>5835</v>
      </c>
      <c r="R1696" s="22" t="s">
        <v>5940</v>
      </c>
    </row>
    <row r="1697" spans="3:18" ht="16">
      <c r="C1697" s="19" t="s">
        <v>1635</v>
      </c>
      <c r="D1697" s="20" t="s">
        <v>3544</v>
      </c>
      <c r="E1697" s="21" t="s">
        <v>6319</v>
      </c>
      <c r="F1697" s="21" t="s">
        <v>17</v>
      </c>
      <c r="G1697" s="22" t="s">
        <v>7825</v>
      </c>
      <c r="H1697" s="22" t="s">
        <v>5835</v>
      </c>
      <c r="I1697" s="22">
        <v>12.2</v>
      </c>
      <c r="K1697" s="22" t="s">
        <v>5835</v>
      </c>
      <c r="N1697" s="25" t="s">
        <v>5835</v>
      </c>
      <c r="O1697" s="25" t="s">
        <v>5835</v>
      </c>
      <c r="R1697" s="22" t="s">
        <v>6202</v>
      </c>
    </row>
    <row r="1698" spans="3:18" ht="16">
      <c r="C1698" s="19" t="s">
        <v>1636</v>
      </c>
      <c r="D1698" s="20" t="s">
        <v>3545</v>
      </c>
      <c r="E1698" s="21" t="s">
        <v>6096</v>
      </c>
      <c r="F1698" s="21" t="s">
        <v>5896</v>
      </c>
      <c r="G1698" s="22" t="s">
        <v>7827</v>
      </c>
      <c r="H1698" s="22" t="s">
        <v>5835</v>
      </c>
      <c r="I1698" s="22">
        <v>11.4</v>
      </c>
      <c r="K1698" s="22" t="s">
        <v>5835</v>
      </c>
      <c r="N1698" s="25" t="s">
        <v>5835</v>
      </c>
      <c r="O1698" s="25" t="s">
        <v>5835</v>
      </c>
      <c r="R1698" s="22" t="s">
        <v>5940</v>
      </c>
    </row>
    <row r="1699" spans="3:18" ht="16">
      <c r="C1699" s="19" t="s">
        <v>1637</v>
      </c>
      <c r="D1699" s="20" t="s">
        <v>3546</v>
      </c>
      <c r="E1699" s="21" t="s">
        <v>6199</v>
      </c>
      <c r="F1699" s="21" t="s">
        <v>6200</v>
      </c>
      <c r="G1699" s="22" t="s">
        <v>7825</v>
      </c>
      <c r="H1699" s="22" t="s">
        <v>5835</v>
      </c>
      <c r="I1699" s="22">
        <v>64.5</v>
      </c>
      <c r="K1699" s="22" t="s">
        <v>5835</v>
      </c>
      <c r="N1699" s="25" t="s">
        <v>5835</v>
      </c>
      <c r="O1699" s="25" t="s">
        <v>5835</v>
      </c>
      <c r="R1699" s="22" t="s">
        <v>6202</v>
      </c>
    </row>
    <row r="1700" spans="3:18" ht="16">
      <c r="C1700" s="19" t="s">
        <v>1643</v>
      </c>
      <c r="D1700" s="20" t="s">
        <v>3551</v>
      </c>
      <c r="E1700" s="21" t="s">
        <v>6254</v>
      </c>
      <c r="F1700" s="21" t="s">
        <v>8</v>
      </c>
      <c r="G1700" s="22" t="s">
        <v>7825</v>
      </c>
      <c r="H1700" s="22" t="s">
        <v>5835</v>
      </c>
      <c r="I1700" s="22">
        <v>14.2</v>
      </c>
      <c r="K1700" s="22" t="s">
        <v>5835</v>
      </c>
      <c r="N1700" s="25" t="s">
        <v>5835</v>
      </c>
      <c r="O1700" s="25" t="s">
        <v>5835</v>
      </c>
      <c r="R1700" s="22" t="s">
        <v>6202</v>
      </c>
    </row>
    <row r="1701" spans="3:18" ht="16">
      <c r="C1701" s="19" t="s">
        <v>1644</v>
      </c>
      <c r="D1701" s="20" t="s">
        <v>3552</v>
      </c>
      <c r="E1701" s="21" t="s">
        <v>6313</v>
      </c>
      <c r="F1701" s="21" t="s">
        <v>6075</v>
      </c>
      <c r="G1701" s="22" t="s">
        <v>7825</v>
      </c>
      <c r="H1701" s="22" t="s">
        <v>5835</v>
      </c>
      <c r="I1701" s="22">
        <v>60.8</v>
      </c>
      <c r="K1701" s="22" t="s">
        <v>5835</v>
      </c>
      <c r="N1701" s="25" t="s">
        <v>5835</v>
      </c>
      <c r="O1701" s="25" t="s">
        <v>5835</v>
      </c>
      <c r="R1701" s="22" t="s">
        <v>6202</v>
      </c>
    </row>
    <row r="1702" spans="3:18" ht="16">
      <c r="C1702" s="19" t="s">
        <v>1645</v>
      </c>
      <c r="D1702" s="20" t="s">
        <v>3553</v>
      </c>
      <c r="E1702" s="21" t="s">
        <v>6033</v>
      </c>
      <c r="F1702" s="21" t="s">
        <v>5969</v>
      </c>
      <c r="G1702" s="22" t="s">
        <v>7827</v>
      </c>
      <c r="H1702" s="22" t="s">
        <v>5835</v>
      </c>
      <c r="I1702" s="22">
        <v>20</v>
      </c>
      <c r="K1702" s="22" t="s">
        <v>5835</v>
      </c>
      <c r="N1702" s="25" t="s">
        <v>5835</v>
      </c>
      <c r="O1702" s="25" t="s">
        <v>5835</v>
      </c>
      <c r="R1702" s="22" t="s">
        <v>5940</v>
      </c>
    </row>
    <row r="1703" spans="3:18" ht="16">
      <c r="C1703" s="19" t="s">
        <v>1646</v>
      </c>
      <c r="D1703" s="20" t="s">
        <v>3554</v>
      </c>
      <c r="E1703" s="21" t="s">
        <v>6074</v>
      </c>
      <c r="F1703" s="21" t="s">
        <v>5835</v>
      </c>
      <c r="G1703" s="22" t="s">
        <v>7827</v>
      </c>
      <c r="H1703" s="22" t="s">
        <v>5835</v>
      </c>
      <c r="I1703" s="22">
        <v>36.5</v>
      </c>
      <c r="K1703" s="22" t="s">
        <v>5835</v>
      </c>
      <c r="N1703" s="25" t="s">
        <v>5835</v>
      </c>
      <c r="O1703" s="25" t="s">
        <v>5835</v>
      </c>
      <c r="R1703" s="22" t="s">
        <v>5940</v>
      </c>
    </row>
    <row r="1704" spans="3:18" ht="16">
      <c r="C1704" s="19" t="s">
        <v>1647</v>
      </c>
      <c r="D1704" s="20" t="s">
        <v>3555</v>
      </c>
      <c r="E1704" s="21" t="s">
        <v>5968</v>
      </c>
      <c r="F1704" s="21" t="s">
        <v>6075</v>
      </c>
      <c r="G1704" s="22" t="s">
        <v>7827</v>
      </c>
      <c r="H1704" s="22" t="s">
        <v>5835</v>
      </c>
      <c r="I1704" s="22">
        <v>20.8</v>
      </c>
      <c r="K1704" s="22" t="s">
        <v>5835</v>
      </c>
      <c r="N1704" s="25" t="s">
        <v>5835</v>
      </c>
      <c r="O1704" s="25" t="s">
        <v>5835</v>
      </c>
      <c r="R1704" s="22" t="s">
        <v>5940</v>
      </c>
    </row>
    <row r="1705" spans="3:18" ht="16">
      <c r="C1705" s="19" t="s">
        <v>1649</v>
      </c>
      <c r="D1705" s="20" t="s">
        <v>3556</v>
      </c>
      <c r="E1705" s="21" t="s">
        <v>6252</v>
      </c>
      <c r="F1705" s="21" t="s">
        <v>5927</v>
      </c>
      <c r="G1705" s="22" t="s">
        <v>7825</v>
      </c>
      <c r="H1705" s="22" t="s">
        <v>5835</v>
      </c>
      <c r="I1705" s="22">
        <v>30.7</v>
      </c>
      <c r="K1705" s="22" t="s">
        <v>5835</v>
      </c>
      <c r="N1705" s="25" t="s">
        <v>5835</v>
      </c>
      <c r="O1705" s="25" t="s">
        <v>5835</v>
      </c>
      <c r="R1705" s="22" t="s">
        <v>6202</v>
      </c>
    </row>
    <row r="1706" spans="3:18" ht="16">
      <c r="C1706" s="19" t="s">
        <v>1650</v>
      </c>
      <c r="D1706" s="20" t="s">
        <v>3557</v>
      </c>
      <c r="E1706" s="21" t="s">
        <v>5968</v>
      </c>
      <c r="F1706" s="21" t="s">
        <v>5835</v>
      </c>
      <c r="G1706" s="22" t="s">
        <v>7827</v>
      </c>
      <c r="H1706" s="22" t="s">
        <v>5835</v>
      </c>
      <c r="I1706" s="22">
        <v>15.1</v>
      </c>
      <c r="K1706" s="22" t="s">
        <v>5835</v>
      </c>
      <c r="N1706" s="25" t="s">
        <v>5835</v>
      </c>
      <c r="O1706" s="25" t="s">
        <v>5835</v>
      </c>
      <c r="R1706" s="22" t="s">
        <v>5940</v>
      </c>
    </row>
    <row r="1707" spans="3:18" ht="16">
      <c r="C1707" s="19" t="s">
        <v>1651</v>
      </c>
      <c r="D1707" s="20" t="s">
        <v>3558</v>
      </c>
      <c r="E1707" s="21" t="s">
        <v>6372</v>
      </c>
      <c r="F1707" s="21" t="s">
        <v>17</v>
      </c>
      <c r="G1707" s="22" t="s">
        <v>7825</v>
      </c>
      <c r="H1707" s="22" t="s">
        <v>5835</v>
      </c>
      <c r="I1707" s="22">
        <v>58.1</v>
      </c>
      <c r="K1707" s="22" t="s">
        <v>5835</v>
      </c>
      <c r="N1707" s="25" t="s">
        <v>5835</v>
      </c>
      <c r="O1707" s="25" t="s">
        <v>5835</v>
      </c>
      <c r="R1707" s="22" t="s">
        <v>6202</v>
      </c>
    </row>
    <row r="1708" spans="3:18" ht="16">
      <c r="C1708" s="19" t="s">
        <v>1655</v>
      </c>
      <c r="D1708" s="20" t="s">
        <v>3562</v>
      </c>
      <c r="E1708" s="21" t="s">
        <v>6521</v>
      </c>
      <c r="F1708" s="21" t="s">
        <v>6314</v>
      </c>
      <c r="G1708" s="22" t="s">
        <v>5958</v>
      </c>
      <c r="H1708" s="22" t="s">
        <v>5835</v>
      </c>
      <c r="I1708" s="22">
        <v>9.1</v>
      </c>
      <c r="K1708" s="22" t="s">
        <v>5835</v>
      </c>
      <c r="N1708" s="25" t="s">
        <v>7556</v>
      </c>
      <c r="O1708" s="25" t="s">
        <v>5835</v>
      </c>
      <c r="R1708" s="22" t="s">
        <v>5958</v>
      </c>
    </row>
    <row r="1709" spans="3:18" ht="16">
      <c r="C1709" s="19" t="s">
        <v>1657</v>
      </c>
      <c r="D1709" s="20" t="s">
        <v>3564</v>
      </c>
      <c r="E1709" s="21" t="s">
        <v>6313</v>
      </c>
      <c r="F1709" s="21" t="s">
        <v>5835</v>
      </c>
      <c r="G1709" s="22" t="s">
        <v>7825</v>
      </c>
      <c r="H1709" s="22" t="s">
        <v>7828</v>
      </c>
      <c r="I1709" s="22">
        <v>46.6</v>
      </c>
      <c r="K1709" s="22" t="s">
        <v>5835</v>
      </c>
      <c r="N1709" s="25" t="s">
        <v>5835</v>
      </c>
      <c r="O1709" s="25" t="s">
        <v>5835</v>
      </c>
      <c r="R1709" s="22" t="s">
        <v>6202</v>
      </c>
    </row>
    <row r="1710" spans="3:18" ht="16">
      <c r="C1710" s="19" t="s">
        <v>1660</v>
      </c>
      <c r="D1710" s="20" t="s">
        <v>3565</v>
      </c>
      <c r="E1710" s="21" t="s">
        <v>5968</v>
      </c>
      <c r="F1710" s="21" t="s">
        <v>6314</v>
      </c>
      <c r="G1710" s="22" t="s">
        <v>5958</v>
      </c>
      <c r="H1710" s="22" t="s">
        <v>5835</v>
      </c>
      <c r="I1710" s="22">
        <v>20</v>
      </c>
      <c r="K1710" s="22" t="s">
        <v>5835</v>
      </c>
      <c r="N1710" s="25" t="s">
        <v>7557</v>
      </c>
      <c r="O1710" s="25" t="s">
        <v>5835</v>
      </c>
      <c r="R1710" s="22" t="s">
        <v>5958</v>
      </c>
    </row>
    <row r="1711" spans="3:18" ht="16">
      <c r="C1711" s="19" t="s">
        <v>1661</v>
      </c>
      <c r="D1711" s="20" t="s">
        <v>3566</v>
      </c>
      <c r="E1711" s="21" t="s">
        <v>6074</v>
      </c>
      <c r="F1711" s="21" t="s">
        <v>5835</v>
      </c>
      <c r="G1711" s="22" t="s">
        <v>7827</v>
      </c>
      <c r="H1711" s="22" t="s">
        <v>5835</v>
      </c>
      <c r="I1711" s="22">
        <v>52.4</v>
      </c>
      <c r="K1711" s="22" t="s">
        <v>5835</v>
      </c>
      <c r="N1711" s="25" t="s">
        <v>5835</v>
      </c>
      <c r="O1711" s="25" t="s">
        <v>5835</v>
      </c>
      <c r="R1711" s="22" t="s">
        <v>5940</v>
      </c>
    </row>
    <row r="1712" spans="3:18" ht="16">
      <c r="C1712" s="19" t="s">
        <v>1662</v>
      </c>
      <c r="D1712" s="20" t="s">
        <v>3567</v>
      </c>
      <c r="E1712" s="21" t="s">
        <v>6254</v>
      </c>
      <c r="F1712" s="21" t="s">
        <v>8</v>
      </c>
      <c r="G1712" s="22" t="s">
        <v>7825</v>
      </c>
      <c r="H1712" s="22" t="s">
        <v>5835</v>
      </c>
      <c r="I1712" s="22">
        <v>35.1</v>
      </c>
      <c r="K1712" s="22" t="s">
        <v>5835</v>
      </c>
      <c r="N1712" s="25" t="s">
        <v>5835</v>
      </c>
      <c r="O1712" s="25" t="s">
        <v>5835</v>
      </c>
      <c r="R1712" s="22" t="s">
        <v>6202</v>
      </c>
    </row>
    <row r="1713" spans="3:18" ht="16">
      <c r="C1713" s="19" t="s">
        <v>1663</v>
      </c>
      <c r="D1713" s="20" t="s">
        <v>3568</v>
      </c>
      <c r="E1713" s="21" t="s">
        <v>5968</v>
      </c>
      <c r="F1713" s="21" t="s">
        <v>5835</v>
      </c>
      <c r="G1713" s="22" t="s">
        <v>7827</v>
      </c>
      <c r="H1713" s="22" t="s">
        <v>7828</v>
      </c>
      <c r="I1713" s="22">
        <v>34.1</v>
      </c>
      <c r="K1713" s="22" t="s">
        <v>5835</v>
      </c>
      <c r="N1713" s="25" t="s">
        <v>5835</v>
      </c>
      <c r="O1713" s="25" t="s">
        <v>5835</v>
      </c>
      <c r="R1713" s="22" t="s">
        <v>5940</v>
      </c>
    </row>
    <row r="1714" spans="3:18" ht="16">
      <c r="C1714" s="19" t="s">
        <v>1668</v>
      </c>
      <c r="D1714" s="20" t="s">
        <v>3571</v>
      </c>
      <c r="E1714" s="21" t="s">
        <v>5968</v>
      </c>
      <c r="F1714" s="21" t="s">
        <v>5835</v>
      </c>
      <c r="G1714" s="22" t="s">
        <v>7827</v>
      </c>
      <c r="H1714" s="22" t="s">
        <v>7828</v>
      </c>
      <c r="I1714" s="22">
        <v>44.5</v>
      </c>
      <c r="K1714" s="22" t="s">
        <v>5835</v>
      </c>
      <c r="N1714" s="25" t="s">
        <v>5835</v>
      </c>
      <c r="O1714" s="25" t="s">
        <v>5835</v>
      </c>
      <c r="R1714" s="22" t="s">
        <v>5940</v>
      </c>
    </row>
    <row r="1715" spans="3:18" ht="16">
      <c r="C1715" s="19" t="s">
        <v>1669</v>
      </c>
      <c r="D1715" s="20" t="s">
        <v>3572</v>
      </c>
      <c r="E1715" s="21" t="s">
        <v>6166</v>
      </c>
      <c r="F1715" s="21" t="s">
        <v>5835</v>
      </c>
      <c r="G1715" s="22" t="s">
        <v>7825</v>
      </c>
      <c r="H1715" s="22" t="s">
        <v>7828</v>
      </c>
      <c r="I1715" s="22">
        <v>68.900000000000006</v>
      </c>
      <c r="K1715" s="22" t="s">
        <v>5835</v>
      </c>
      <c r="N1715" s="25" t="s">
        <v>5835</v>
      </c>
      <c r="O1715" s="25" t="s">
        <v>5835</v>
      </c>
      <c r="R1715" s="22" t="s">
        <v>6202</v>
      </c>
    </row>
    <row r="1716" spans="3:18" ht="16">
      <c r="C1716" s="19" t="s">
        <v>1670</v>
      </c>
      <c r="D1716" s="20" t="s">
        <v>3573</v>
      </c>
      <c r="E1716" s="21" t="s">
        <v>6219</v>
      </c>
      <c r="F1716" s="21" t="s">
        <v>5835</v>
      </c>
      <c r="G1716" s="22" t="s">
        <v>7825</v>
      </c>
      <c r="H1716" s="22" t="s">
        <v>5835</v>
      </c>
      <c r="I1716" s="22">
        <v>20.9</v>
      </c>
      <c r="K1716" s="22" t="s">
        <v>5835</v>
      </c>
      <c r="N1716" s="25" t="s">
        <v>5835</v>
      </c>
      <c r="O1716" s="25" t="s">
        <v>5835</v>
      </c>
      <c r="R1716" s="22" t="s">
        <v>6202</v>
      </c>
    </row>
    <row r="1717" spans="3:18" ht="16">
      <c r="C1717" s="19" t="s">
        <v>1673</v>
      </c>
      <c r="D1717" s="20" t="s">
        <v>3575</v>
      </c>
      <c r="E1717" s="21" t="s">
        <v>6254</v>
      </c>
      <c r="F1717" s="21" t="s">
        <v>5835</v>
      </c>
      <c r="G1717" s="22" t="s">
        <v>7825</v>
      </c>
      <c r="H1717" s="22" t="s">
        <v>5835</v>
      </c>
      <c r="I1717" s="22">
        <v>74.400000000000006</v>
      </c>
      <c r="K1717" s="22" t="s">
        <v>5835</v>
      </c>
      <c r="N1717" s="25" t="s">
        <v>5835</v>
      </c>
      <c r="O1717" s="25" t="s">
        <v>5835</v>
      </c>
      <c r="R1717" s="22" t="s">
        <v>6202</v>
      </c>
    </row>
    <row r="1718" spans="3:18" ht="16">
      <c r="C1718" s="19" t="s">
        <v>1674</v>
      </c>
      <c r="D1718" s="20" t="s">
        <v>3576</v>
      </c>
      <c r="E1718" s="21" t="s">
        <v>5968</v>
      </c>
      <c r="F1718" s="21" t="s">
        <v>5835</v>
      </c>
      <c r="G1718" s="22" t="s">
        <v>7827</v>
      </c>
      <c r="H1718" s="22" t="s">
        <v>5835</v>
      </c>
      <c r="I1718" s="22">
        <v>23.6</v>
      </c>
      <c r="K1718" s="22" t="s">
        <v>5835</v>
      </c>
      <c r="N1718" s="25" t="s">
        <v>5835</v>
      </c>
      <c r="O1718" s="25" t="s">
        <v>5835</v>
      </c>
      <c r="R1718" s="22" t="s">
        <v>5940</v>
      </c>
    </row>
    <row r="1719" spans="3:18" ht="16">
      <c r="C1719" s="19" t="s">
        <v>1685</v>
      </c>
      <c r="D1719" s="20" t="s">
        <v>3581</v>
      </c>
      <c r="E1719" s="21" t="s">
        <v>6285</v>
      </c>
      <c r="F1719" s="21" t="s">
        <v>5835</v>
      </c>
      <c r="G1719" s="22" t="s">
        <v>7825</v>
      </c>
      <c r="H1719" s="22" t="s">
        <v>7828</v>
      </c>
      <c r="I1719" s="22">
        <v>47.7</v>
      </c>
      <c r="K1719" s="22" t="s">
        <v>5835</v>
      </c>
      <c r="N1719" s="25" t="s">
        <v>5835</v>
      </c>
      <c r="O1719" s="25" t="s">
        <v>5835</v>
      </c>
      <c r="R1719" s="22" t="s">
        <v>6202</v>
      </c>
    </row>
    <row r="1720" spans="3:18" ht="16">
      <c r="C1720" s="19" t="s">
        <v>1690</v>
      </c>
      <c r="D1720" s="20" t="s">
        <v>3583</v>
      </c>
      <c r="E1720" s="21" t="s">
        <v>6074</v>
      </c>
      <c r="F1720" s="21" t="s">
        <v>5835</v>
      </c>
      <c r="G1720" s="22" t="s">
        <v>7827</v>
      </c>
      <c r="H1720" s="22" t="s">
        <v>5835</v>
      </c>
      <c r="I1720" s="22">
        <v>14.9</v>
      </c>
      <c r="K1720" s="22" t="s">
        <v>5835</v>
      </c>
      <c r="N1720" s="25" t="s">
        <v>5835</v>
      </c>
      <c r="O1720" s="25" t="s">
        <v>5835</v>
      </c>
      <c r="R1720" s="22" t="s">
        <v>5940</v>
      </c>
    </row>
    <row r="1721" spans="3:18" ht="16">
      <c r="C1721" s="19" t="s">
        <v>1700</v>
      </c>
      <c r="D1721" s="20" t="s">
        <v>3587</v>
      </c>
      <c r="E1721" s="21" t="s">
        <v>6254</v>
      </c>
      <c r="F1721" s="21" t="s">
        <v>5835</v>
      </c>
      <c r="G1721" s="22" t="s">
        <v>7825</v>
      </c>
      <c r="H1721" s="22" t="s">
        <v>7828</v>
      </c>
      <c r="I1721" s="22">
        <v>49.8</v>
      </c>
      <c r="K1721" s="22" t="s">
        <v>5835</v>
      </c>
      <c r="N1721" s="25" t="s">
        <v>5835</v>
      </c>
      <c r="O1721" s="25" t="s">
        <v>5835</v>
      </c>
      <c r="R1721" s="22" t="s">
        <v>6202</v>
      </c>
    </row>
    <row r="1722" spans="3:18" ht="16">
      <c r="C1722" s="19" t="s">
        <v>1716</v>
      </c>
      <c r="D1722" s="20" t="s">
        <v>3591</v>
      </c>
      <c r="E1722" s="21" t="s">
        <v>6469</v>
      </c>
      <c r="F1722" s="21" t="s">
        <v>17</v>
      </c>
      <c r="G1722" s="22" t="s">
        <v>7825</v>
      </c>
      <c r="H1722" s="22" t="s">
        <v>5835</v>
      </c>
      <c r="I1722" s="22">
        <v>28.5</v>
      </c>
      <c r="K1722" s="22" t="s">
        <v>5835</v>
      </c>
      <c r="N1722" s="25" t="s">
        <v>7558</v>
      </c>
      <c r="O1722" s="25" t="s">
        <v>5835</v>
      </c>
      <c r="R1722" s="22" t="s">
        <v>6202</v>
      </c>
    </row>
    <row r="1723" spans="3:18" ht="16">
      <c r="C1723" s="19" t="s">
        <v>1718</v>
      </c>
      <c r="D1723" s="20" t="s">
        <v>3592</v>
      </c>
      <c r="E1723" s="21" t="s">
        <v>6254</v>
      </c>
      <c r="F1723" s="21" t="s">
        <v>8</v>
      </c>
      <c r="G1723" s="22" t="s">
        <v>12</v>
      </c>
      <c r="H1723" s="22" t="s">
        <v>7828</v>
      </c>
      <c r="I1723" s="22">
        <v>43.5</v>
      </c>
      <c r="K1723" s="22" t="s">
        <v>5835</v>
      </c>
      <c r="N1723" s="25" t="s">
        <v>7559</v>
      </c>
      <c r="O1723" s="25" t="s">
        <v>5835</v>
      </c>
      <c r="R1723" s="22" t="s">
        <v>12</v>
      </c>
    </row>
    <row r="1724" spans="3:18" ht="16">
      <c r="C1724" s="19" t="s">
        <v>1772</v>
      </c>
      <c r="D1724" s="20" t="s">
        <v>3621</v>
      </c>
      <c r="E1724" s="21" t="s">
        <v>6257</v>
      </c>
      <c r="F1724" s="21" t="s">
        <v>10</v>
      </c>
      <c r="G1724" s="22" t="s">
        <v>5947</v>
      </c>
      <c r="H1724" s="22" t="s">
        <v>5835</v>
      </c>
      <c r="I1724" s="22">
        <v>6</v>
      </c>
      <c r="K1724" s="22" t="s">
        <v>5835</v>
      </c>
      <c r="N1724" s="25" t="s">
        <v>7560</v>
      </c>
      <c r="O1724" s="25" t="s">
        <v>5835</v>
      </c>
      <c r="R1724" s="22" t="s">
        <v>5947</v>
      </c>
    </row>
    <row r="1725" spans="3:18" ht="16">
      <c r="C1725" s="19" t="s">
        <v>1773</v>
      </c>
      <c r="D1725" s="20" t="s">
        <v>3622</v>
      </c>
      <c r="E1725" s="21" t="s">
        <v>6033</v>
      </c>
      <c r="F1725" s="21" t="s">
        <v>5969</v>
      </c>
      <c r="G1725" s="22" t="s">
        <v>12</v>
      </c>
      <c r="H1725" s="22" t="s">
        <v>5835</v>
      </c>
      <c r="I1725" s="22">
        <v>88.7</v>
      </c>
      <c r="K1725" s="22" t="s">
        <v>5835</v>
      </c>
      <c r="N1725" s="25" t="s">
        <v>7561</v>
      </c>
      <c r="O1725" s="25" t="s">
        <v>5835</v>
      </c>
      <c r="R1725" s="22" t="s">
        <v>12</v>
      </c>
    </row>
    <row r="1726" spans="3:18" ht="16">
      <c r="C1726" s="19" t="s">
        <v>1775</v>
      </c>
      <c r="D1726" s="20" t="s">
        <v>3624</v>
      </c>
      <c r="E1726" s="21" t="s">
        <v>6471</v>
      </c>
      <c r="F1726" s="21" t="s">
        <v>6231</v>
      </c>
      <c r="G1726" s="22" t="s">
        <v>5933</v>
      </c>
      <c r="H1726" s="22" t="s">
        <v>5835</v>
      </c>
      <c r="I1726" s="22">
        <v>20.6</v>
      </c>
      <c r="K1726" s="22" t="s">
        <v>5835</v>
      </c>
      <c r="N1726" s="25" t="s">
        <v>7562</v>
      </c>
      <c r="O1726" s="25" t="s">
        <v>5835</v>
      </c>
      <c r="R1726" s="22" t="s">
        <v>5933</v>
      </c>
    </row>
    <row r="1727" spans="3:18" ht="16">
      <c r="C1727" s="19" t="s">
        <v>1777</v>
      </c>
      <c r="D1727" s="20" t="s">
        <v>3626</v>
      </c>
      <c r="E1727" s="21" t="s">
        <v>6209</v>
      </c>
      <c r="F1727" s="21" t="s">
        <v>5913</v>
      </c>
      <c r="G1727" s="22" t="s">
        <v>5913</v>
      </c>
      <c r="H1727" s="22" t="s">
        <v>5835</v>
      </c>
      <c r="I1727" s="22">
        <v>10</v>
      </c>
      <c r="K1727" s="22" t="s">
        <v>5835</v>
      </c>
      <c r="N1727" s="25" t="s">
        <v>7563</v>
      </c>
      <c r="O1727" s="25" t="s">
        <v>5835</v>
      </c>
      <c r="R1727" s="22" t="s">
        <v>5913</v>
      </c>
    </row>
    <row r="1728" spans="3:18" ht="16">
      <c r="C1728" s="19" t="s">
        <v>1778</v>
      </c>
      <c r="D1728" s="20" t="s">
        <v>3627</v>
      </c>
      <c r="E1728" s="21" t="s">
        <v>6277</v>
      </c>
      <c r="F1728" s="21" t="s">
        <v>17</v>
      </c>
      <c r="G1728" s="22" t="s">
        <v>5995</v>
      </c>
      <c r="H1728" s="22" t="s">
        <v>5835</v>
      </c>
      <c r="I1728" s="22">
        <v>23.6</v>
      </c>
      <c r="K1728" s="22" t="s">
        <v>5835</v>
      </c>
      <c r="N1728" s="25" t="s">
        <v>7564</v>
      </c>
      <c r="O1728" s="25" t="s">
        <v>5835</v>
      </c>
      <c r="R1728" s="22" t="s">
        <v>5995</v>
      </c>
    </row>
    <row r="1729" spans="3:18" ht="16">
      <c r="C1729" s="19" t="s">
        <v>1780</v>
      </c>
      <c r="D1729" s="20" t="s">
        <v>3629</v>
      </c>
      <c r="E1729" s="21" t="s">
        <v>6257</v>
      </c>
      <c r="F1729" s="21" t="s">
        <v>10</v>
      </c>
      <c r="G1729" s="22" t="s">
        <v>5941</v>
      </c>
      <c r="H1729" s="22" t="s">
        <v>5835</v>
      </c>
      <c r="I1729" s="22">
        <v>56.3</v>
      </c>
      <c r="K1729" s="22" t="s">
        <v>5835</v>
      </c>
      <c r="N1729" s="25" t="s">
        <v>7565</v>
      </c>
      <c r="O1729" s="25" t="s">
        <v>5835</v>
      </c>
      <c r="R1729" s="22" t="s">
        <v>5941</v>
      </c>
    </row>
    <row r="1730" spans="3:18" ht="16">
      <c r="C1730" s="19" t="s">
        <v>1781</v>
      </c>
      <c r="D1730" s="20" t="s">
        <v>3630</v>
      </c>
      <c r="E1730" s="21" t="s">
        <v>6219</v>
      </c>
      <c r="F1730" s="21" t="s">
        <v>17</v>
      </c>
      <c r="G1730" s="22" t="s">
        <v>5918</v>
      </c>
      <c r="H1730" s="22" t="s">
        <v>5835</v>
      </c>
      <c r="I1730" s="22">
        <v>37.4</v>
      </c>
      <c r="K1730" s="22" t="s">
        <v>5835</v>
      </c>
      <c r="N1730" s="25" t="s">
        <v>7566</v>
      </c>
      <c r="O1730" s="25" t="s">
        <v>5835</v>
      </c>
      <c r="R1730" s="22" t="s">
        <v>5918</v>
      </c>
    </row>
    <row r="1731" spans="3:18" ht="16">
      <c r="C1731" s="19" t="s">
        <v>1782</v>
      </c>
      <c r="D1731" s="20" t="s">
        <v>3631</v>
      </c>
      <c r="E1731" s="21" t="s">
        <v>6219</v>
      </c>
      <c r="F1731" s="21" t="s">
        <v>17</v>
      </c>
      <c r="G1731" s="22" t="s">
        <v>5918</v>
      </c>
      <c r="H1731" s="22" t="s">
        <v>5835</v>
      </c>
      <c r="I1731" s="22">
        <v>21.7</v>
      </c>
      <c r="K1731" s="22" t="s">
        <v>5835</v>
      </c>
      <c r="N1731" s="25" t="s">
        <v>7567</v>
      </c>
      <c r="O1731" s="25" t="s">
        <v>5835</v>
      </c>
      <c r="R1731" s="22" t="s">
        <v>5918</v>
      </c>
    </row>
    <row r="1732" spans="3:18" ht="16">
      <c r="C1732" s="19" t="s">
        <v>1783</v>
      </c>
      <c r="D1732" s="20" t="s">
        <v>3632</v>
      </c>
      <c r="E1732" s="21" t="s">
        <v>6521</v>
      </c>
      <c r="F1732" s="21" t="s">
        <v>6314</v>
      </c>
      <c r="G1732" s="22" t="s">
        <v>5964</v>
      </c>
      <c r="H1732" s="22" t="s">
        <v>5835</v>
      </c>
      <c r="I1732" s="22">
        <v>65.400000000000006</v>
      </c>
      <c r="K1732" s="22" t="s">
        <v>5835</v>
      </c>
      <c r="N1732" s="25" t="s">
        <v>7568</v>
      </c>
      <c r="O1732" s="25" t="s">
        <v>5835</v>
      </c>
      <c r="R1732" s="22" t="s">
        <v>5964</v>
      </c>
    </row>
    <row r="1733" spans="3:18" ht="16">
      <c r="C1733" s="19" t="s">
        <v>1786</v>
      </c>
      <c r="D1733" s="20" t="s">
        <v>3634</v>
      </c>
      <c r="E1733" s="21" t="s">
        <v>6252</v>
      </c>
      <c r="F1733" s="21" t="s">
        <v>6080</v>
      </c>
      <c r="G1733" s="22" t="s">
        <v>7825</v>
      </c>
      <c r="H1733" s="22" t="s">
        <v>5835</v>
      </c>
      <c r="I1733" s="22">
        <v>5.6</v>
      </c>
      <c r="K1733" s="22" t="s">
        <v>5835</v>
      </c>
      <c r="N1733" s="25" t="s">
        <v>7569</v>
      </c>
      <c r="O1733" s="25" t="s">
        <v>5835</v>
      </c>
      <c r="R1733" s="22" t="s">
        <v>6202</v>
      </c>
    </row>
    <row r="1734" spans="3:18" ht="16">
      <c r="C1734" s="19" t="s">
        <v>1787</v>
      </c>
      <c r="D1734" s="20" t="s">
        <v>3635</v>
      </c>
      <c r="E1734" s="21" t="s">
        <v>6209</v>
      </c>
      <c r="F1734" s="21" t="s">
        <v>5913</v>
      </c>
      <c r="G1734" s="22" t="s">
        <v>5962</v>
      </c>
      <c r="H1734" s="22" t="s">
        <v>5835</v>
      </c>
      <c r="I1734" s="22">
        <v>22.2</v>
      </c>
      <c r="K1734" s="22" t="s">
        <v>5835</v>
      </c>
      <c r="N1734" s="25" t="s">
        <v>7570</v>
      </c>
      <c r="O1734" s="25" t="s">
        <v>5835</v>
      </c>
      <c r="R1734" s="22" t="s">
        <v>5962</v>
      </c>
    </row>
    <row r="1735" spans="3:18" ht="16">
      <c r="C1735" s="19" t="s">
        <v>1788</v>
      </c>
      <c r="D1735" s="20" t="s">
        <v>3636</v>
      </c>
      <c r="E1735" s="21" t="s">
        <v>6497</v>
      </c>
      <c r="F1735" s="21" t="s">
        <v>6200</v>
      </c>
      <c r="G1735" s="22" t="s">
        <v>5985</v>
      </c>
      <c r="H1735" s="22" t="s">
        <v>5835</v>
      </c>
      <c r="I1735" s="22">
        <v>31.8</v>
      </c>
      <c r="K1735" s="22" t="s">
        <v>5835</v>
      </c>
      <c r="N1735" s="25" t="s">
        <v>7571</v>
      </c>
      <c r="O1735" s="25" t="s">
        <v>5835</v>
      </c>
      <c r="R1735" s="22" t="s">
        <v>5985</v>
      </c>
    </row>
    <row r="1736" spans="3:18" ht="16">
      <c r="C1736" s="19" t="s">
        <v>1789</v>
      </c>
      <c r="D1736" s="20" t="s">
        <v>3637</v>
      </c>
      <c r="E1736" s="21" t="s">
        <v>6285</v>
      </c>
      <c r="F1736" s="21" t="s">
        <v>6281</v>
      </c>
      <c r="G1736" s="22" t="s">
        <v>5945</v>
      </c>
      <c r="H1736" s="22" t="s">
        <v>5835</v>
      </c>
      <c r="I1736" s="22">
        <v>121.1</v>
      </c>
      <c r="K1736" s="22" t="s">
        <v>5835</v>
      </c>
      <c r="N1736" s="25" t="s">
        <v>7572</v>
      </c>
      <c r="O1736" s="25" t="s">
        <v>5835</v>
      </c>
      <c r="R1736" s="22" t="s">
        <v>5945</v>
      </c>
    </row>
    <row r="1737" spans="3:18" ht="16">
      <c r="C1737" s="19" t="s">
        <v>1790</v>
      </c>
      <c r="D1737" s="20" t="s">
        <v>3638</v>
      </c>
      <c r="E1737" s="21" t="s">
        <v>6257</v>
      </c>
      <c r="F1737" s="21" t="s">
        <v>10</v>
      </c>
      <c r="G1737" s="22" t="s">
        <v>5978</v>
      </c>
      <c r="H1737" s="22" t="s">
        <v>7828</v>
      </c>
      <c r="I1737" s="22">
        <v>125.4</v>
      </c>
      <c r="K1737" s="22" t="s">
        <v>5835</v>
      </c>
      <c r="N1737" s="25" t="s">
        <v>7573</v>
      </c>
      <c r="O1737" s="25" t="s">
        <v>5835</v>
      </c>
      <c r="R1737" s="22" t="s">
        <v>5978</v>
      </c>
    </row>
    <row r="1738" spans="3:18" ht="16">
      <c r="C1738" s="19" t="s">
        <v>1791</v>
      </c>
      <c r="D1738" s="20" t="s">
        <v>3639</v>
      </c>
      <c r="E1738" s="21" t="s">
        <v>6209</v>
      </c>
      <c r="F1738" s="21" t="s">
        <v>5913</v>
      </c>
      <c r="G1738" s="22" t="s">
        <v>5913</v>
      </c>
      <c r="H1738" s="22" t="s">
        <v>5835</v>
      </c>
      <c r="I1738" s="22">
        <v>68.7</v>
      </c>
      <c r="K1738" s="22" t="s">
        <v>5835</v>
      </c>
      <c r="N1738" s="25" t="s">
        <v>7574</v>
      </c>
      <c r="O1738" s="25" t="s">
        <v>5835</v>
      </c>
      <c r="R1738" s="22" t="s">
        <v>5913</v>
      </c>
    </row>
    <row r="1739" spans="3:18" ht="16">
      <c r="C1739" s="19" t="s">
        <v>1792</v>
      </c>
      <c r="D1739" s="20" t="s">
        <v>3640</v>
      </c>
      <c r="E1739" s="21" t="s">
        <v>6254</v>
      </c>
      <c r="F1739" s="21" t="s">
        <v>8</v>
      </c>
      <c r="G1739" s="22" t="s">
        <v>5935</v>
      </c>
      <c r="H1739" s="22" t="s">
        <v>5835</v>
      </c>
      <c r="I1739" s="22">
        <v>62.2</v>
      </c>
      <c r="K1739" s="22" t="s">
        <v>5835</v>
      </c>
      <c r="N1739" s="25" t="s">
        <v>7575</v>
      </c>
      <c r="O1739" s="25" t="s">
        <v>5835</v>
      </c>
      <c r="R1739" s="22" t="s">
        <v>5935</v>
      </c>
    </row>
    <row r="1740" spans="3:18" ht="16">
      <c r="C1740" s="19" t="s">
        <v>1793</v>
      </c>
      <c r="D1740" s="20" t="s">
        <v>3641</v>
      </c>
      <c r="E1740" s="21" t="s">
        <v>5980</v>
      </c>
      <c r="F1740" s="21" t="s">
        <v>5852</v>
      </c>
      <c r="G1740" s="22" t="s">
        <v>5879</v>
      </c>
      <c r="H1740" s="22" t="s">
        <v>5835</v>
      </c>
      <c r="I1740" s="22">
        <v>6.5</v>
      </c>
      <c r="K1740" s="22" t="s">
        <v>5835</v>
      </c>
      <c r="N1740" s="25" t="s">
        <v>7576</v>
      </c>
      <c r="O1740" s="25" t="s">
        <v>5835</v>
      </c>
      <c r="R1740" s="22" t="s">
        <v>5879</v>
      </c>
    </row>
    <row r="1741" spans="3:18" ht="16">
      <c r="C1741" s="19" t="s">
        <v>1794</v>
      </c>
      <c r="D1741" s="20" t="s">
        <v>3642</v>
      </c>
      <c r="E1741" s="21" t="s">
        <v>6237</v>
      </c>
      <c r="F1741" s="21" t="s">
        <v>6231</v>
      </c>
      <c r="G1741" s="22" t="s">
        <v>5933</v>
      </c>
      <c r="H1741" s="22" t="s">
        <v>5835</v>
      </c>
      <c r="I1741" s="22">
        <v>2.8</v>
      </c>
      <c r="K1741" s="22" t="s">
        <v>5835</v>
      </c>
      <c r="N1741" s="25" t="s">
        <v>7577</v>
      </c>
      <c r="O1741" s="25" t="s">
        <v>5835</v>
      </c>
      <c r="R1741" s="22" t="s">
        <v>5933</v>
      </c>
    </row>
    <row r="1742" spans="3:18" ht="16">
      <c r="C1742" s="19" t="s">
        <v>1795</v>
      </c>
      <c r="D1742" s="20" t="s">
        <v>3643</v>
      </c>
      <c r="E1742" s="21" t="s">
        <v>6471</v>
      </c>
      <c r="F1742" s="21" t="s">
        <v>6231</v>
      </c>
      <c r="G1742" s="22" t="s">
        <v>5933</v>
      </c>
      <c r="H1742" s="22" t="s">
        <v>5835</v>
      </c>
      <c r="I1742" s="22">
        <v>14.7</v>
      </c>
      <c r="K1742" s="22" t="s">
        <v>5835</v>
      </c>
      <c r="N1742" s="25" t="s">
        <v>7578</v>
      </c>
      <c r="O1742" s="25" t="s">
        <v>5835</v>
      </c>
      <c r="R1742" s="22" t="s">
        <v>5933</v>
      </c>
    </row>
    <row r="1743" spans="3:18" ht="16">
      <c r="C1743" s="19" t="s">
        <v>1796</v>
      </c>
      <c r="D1743" s="20" t="s">
        <v>3644</v>
      </c>
      <c r="E1743" s="21" t="s">
        <v>6297</v>
      </c>
      <c r="F1743" s="21" t="s">
        <v>6200</v>
      </c>
      <c r="G1743" s="22" t="s">
        <v>5949</v>
      </c>
      <c r="H1743" s="22" t="s">
        <v>7828</v>
      </c>
      <c r="I1743" s="22">
        <v>2426.3000000000002</v>
      </c>
      <c r="K1743" s="22" t="s">
        <v>5835</v>
      </c>
      <c r="N1743" s="25" t="s">
        <v>7579</v>
      </c>
      <c r="O1743" s="25" t="s">
        <v>5835</v>
      </c>
      <c r="R1743" s="22" t="s">
        <v>5949</v>
      </c>
    </row>
    <row r="1744" spans="3:18" ht="16">
      <c r="C1744" s="19" t="s">
        <v>1798</v>
      </c>
      <c r="D1744" s="20" t="s">
        <v>3646</v>
      </c>
      <c r="E1744" s="21" t="s">
        <v>6214</v>
      </c>
      <c r="F1744" s="21" t="s">
        <v>6080</v>
      </c>
      <c r="G1744" s="22" t="s">
        <v>7825</v>
      </c>
      <c r="H1744" s="22" t="s">
        <v>5835</v>
      </c>
      <c r="I1744" s="22">
        <v>10.199999999999999</v>
      </c>
      <c r="K1744" s="22" t="s">
        <v>5835</v>
      </c>
      <c r="N1744" s="25" t="s">
        <v>7580</v>
      </c>
      <c r="O1744" s="25" t="s">
        <v>5835</v>
      </c>
      <c r="R1744" s="22" t="s">
        <v>6202</v>
      </c>
    </row>
    <row r="1745" spans="3:18" ht="16">
      <c r="C1745" s="19" t="s">
        <v>1800</v>
      </c>
      <c r="D1745" s="20" t="s">
        <v>3648</v>
      </c>
      <c r="E1745" s="21" t="s">
        <v>6274</v>
      </c>
      <c r="F1745" s="21" t="s">
        <v>17</v>
      </c>
      <c r="G1745" s="22" t="s">
        <v>5943</v>
      </c>
      <c r="H1745" s="22" t="s">
        <v>5835</v>
      </c>
      <c r="I1745" s="22">
        <v>18.5</v>
      </c>
      <c r="K1745" s="22" t="s">
        <v>5835</v>
      </c>
      <c r="N1745" s="25" t="s">
        <v>7581</v>
      </c>
      <c r="O1745" s="25" t="s">
        <v>5835</v>
      </c>
      <c r="R1745" s="22" t="s">
        <v>5943</v>
      </c>
    </row>
    <row r="1746" spans="3:18" ht="16">
      <c r="C1746" s="19" t="s">
        <v>1801</v>
      </c>
      <c r="D1746" s="20" t="s">
        <v>3649</v>
      </c>
      <c r="E1746" s="21" t="s">
        <v>6358</v>
      </c>
      <c r="F1746" s="21" t="s">
        <v>6281</v>
      </c>
      <c r="G1746" s="22" t="s">
        <v>5945</v>
      </c>
      <c r="H1746" s="22" t="s">
        <v>5835</v>
      </c>
      <c r="I1746" s="22">
        <v>77.5</v>
      </c>
      <c r="K1746" s="22" t="s">
        <v>5835</v>
      </c>
      <c r="N1746" s="25" t="s">
        <v>7582</v>
      </c>
      <c r="O1746" s="25" t="s">
        <v>5835</v>
      </c>
      <c r="R1746" s="22" t="s">
        <v>5945</v>
      </c>
    </row>
    <row r="1747" spans="3:18" ht="16">
      <c r="C1747" s="19" t="s">
        <v>1802</v>
      </c>
      <c r="D1747" s="20" t="s">
        <v>3650</v>
      </c>
      <c r="E1747" s="21" t="s">
        <v>6413</v>
      </c>
      <c r="F1747" s="21" t="s">
        <v>5852</v>
      </c>
      <c r="G1747" s="22" t="s">
        <v>5849</v>
      </c>
      <c r="H1747" s="22" t="s">
        <v>5835</v>
      </c>
      <c r="I1747" s="22">
        <v>9.1999999999999993</v>
      </c>
      <c r="K1747" s="22" t="s">
        <v>5835</v>
      </c>
      <c r="N1747" s="25" t="s">
        <v>7583</v>
      </c>
      <c r="O1747" s="25" t="s">
        <v>5835</v>
      </c>
      <c r="R1747" s="22" t="s">
        <v>5849</v>
      </c>
    </row>
    <row r="1748" spans="3:18" ht="16">
      <c r="C1748" s="19" t="s">
        <v>1803</v>
      </c>
      <c r="D1748" s="20" t="s">
        <v>7584</v>
      </c>
      <c r="E1748" s="21" t="s">
        <v>5923</v>
      </c>
      <c r="F1748" s="21" t="s">
        <v>17</v>
      </c>
      <c r="G1748" s="22" t="s">
        <v>7827</v>
      </c>
      <c r="H1748" s="22" t="s">
        <v>5835</v>
      </c>
      <c r="I1748" s="22">
        <v>18.899999999999999</v>
      </c>
      <c r="K1748" s="22" t="s">
        <v>5835</v>
      </c>
      <c r="N1748" s="25" t="s">
        <v>7585</v>
      </c>
      <c r="O1748" s="25" t="s">
        <v>5835</v>
      </c>
      <c r="R1748" s="22" t="s">
        <v>5940</v>
      </c>
    </row>
    <row r="1749" spans="3:18" ht="16">
      <c r="C1749" s="19" t="s">
        <v>1805</v>
      </c>
      <c r="D1749" s="20" t="s">
        <v>3652</v>
      </c>
      <c r="E1749" s="21" t="s">
        <v>6166</v>
      </c>
      <c r="F1749" s="21" t="s">
        <v>6080</v>
      </c>
      <c r="G1749" s="22" t="s">
        <v>5862</v>
      </c>
      <c r="H1749" s="22" t="s">
        <v>5835</v>
      </c>
      <c r="I1749" s="22">
        <v>53.2</v>
      </c>
      <c r="K1749" s="22" t="s">
        <v>5835</v>
      </c>
      <c r="N1749" s="25" t="s">
        <v>7586</v>
      </c>
      <c r="O1749" s="25" t="s">
        <v>5835</v>
      </c>
      <c r="R1749" s="22" t="s">
        <v>5862</v>
      </c>
    </row>
    <row r="1750" spans="3:18" ht="16">
      <c r="C1750" s="19" t="s">
        <v>1806</v>
      </c>
      <c r="D1750" s="20" t="s">
        <v>3653</v>
      </c>
      <c r="E1750" s="21" t="s">
        <v>6471</v>
      </c>
      <c r="F1750" s="21" t="s">
        <v>6231</v>
      </c>
      <c r="G1750" s="22" t="s">
        <v>5933</v>
      </c>
      <c r="H1750" s="22" t="s">
        <v>5835</v>
      </c>
      <c r="I1750" s="22">
        <v>24.7</v>
      </c>
      <c r="K1750" s="22" t="s">
        <v>5835</v>
      </c>
      <c r="N1750" s="25" t="s">
        <v>7587</v>
      </c>
      <c r="O1750" s="25" t="s">
        <v>5835</v>
      </c>
      <c r="R1750" s="22" t="s">
        <v>5933</v>
      </c>
    </row>
    <row r="1751" spans="3:18" ht="16">
      <c r="C1751" s="19" t="s">
        <v>1807</v>
      </c>
      <c r="D1751" s="20" t="s">
        <v>3654</v>
      </c>
      <c r="E1751" s="21" t="s">
        <v>6505</v>
      </c>
      <c r="F1751" s="21" t="s">
        <v>6200</v>
      </c>
      <c r="G1751" s="22" t="s">
        <v>5915</v>
      </c>
      <c r="H1751" s="22" t="s">
        <v>5835</v>
      </c>
      <c r="I1751" s="22">
        <v>26</v>
      </c>
      <c r="K1751" s="22" t="s">
        <v>5835</v>
      </c>
      <c r="N1751" s="25" t="s">
        <v>7588</v>
      </c>
      <c r="O1751" s="25" t="s">
        <v>5835</v>
      </c>
      <c r="R1751" s="22" t="s">
        <v>5915</v>
      </c>
    </row>
    <row r="1752" spans="3:18" ht="16">
      <c r="C1752" s="19" t="s">
        <v>1808</v>
      </c>
      <c r="D1752" s="20" t="s">
        <v>3655</v>
      </c>
      <c r="E1752" s="21" t="s">
        <v>6203</v>
      </c>
      <c r="F1752" s="21" t="s">
        <v>8</v>
      </c>
      <c r="G1752" s="22" t="s">
        <v>5962</v>
      </c>
      <c r="H1752" s="22" t="s">
        <v>5835</v>
      </c>
      <c r="I1752" s="22">
        <v>152.30000000000001</v>
      </c>
      <c r="K1752" s="22" t="s">
        <v>5835</v>
      </c>
      <c r="N1752" s="25" t="s">
        <v>6976</v>
      </c>
      <c r="O1752" s="25" t="s">
        <v>5835</v>
      </c>
      <c r="R1752" s="22" t="s">
        <v>5962</v>
      </c>
    </row>
    <row r="1753" spans="3:18" ht="16">
      <c r="C1753" s="19" t="s">
        <v>1809</v>
      </c>
      <c r="D1753" s="20" t="s">
        <v>7589</v>
      </c>
      <c r="E1753" s="21" t="s">
        <v>6214</v>
      </c>
      <c r="F1753" s="21" t="s">
        <v>6080</v>
      </c>
      <c r="G1753" s="22" t="s">
        <v>7825</v>
      </c>
      <c r="H1753" s="22" t="s">
        <v>5835</v>
      </c>
      <c r="I1753" s="22">
        <v>16</v>
      </c>
      <c r="K1753" s="22" t="s">
        <v>5835</v>
      </c>
      <c r="N1753" s="25" t="s">
        <v>7590</v>
      </c>
      <c r="O1753" s="25" t="s">
        <v>5835</v>
      </c>
      <c r="R1753" s="22" t="s">
        <v>6202</v>
      </c>
    </row>
    <row r="1754" spans="3:18" ht="16">
      <c r="C1754" s="19" t="s">
        <v>1810</v>
      </c>
      <c r="D1754" s="20" t="s">
        <v>3656</v>
      </c>
      <c r="E1754" s="21" t="s">
        <v>6233</v>
      </c>
      <c r="F1754" s="21" t="s">
        <v>5928</v>
      </c>
      <c r="G1754" s="22" t="s">
        <v>5928</v>
      </c>
      <c r="H1754" s="22" t="s">
        <v>5835</v>
      </c>
      <c r="I1754" s="22">
        <v>19.2</v>
      </c>
      <c r="K1754" s="22" t="s">
        <v>5835</v>
      </c>
      <c r="N1754" s="25" t="s">
        <v>7591</v>
      </c>
      <c r="O1754" s="25" t="s">
        <v>5835</v>
      </c>
      <c r="R1754" s="22" t="s">
        <v>5928</v>
      </c>
    </row>
    <row r="1755" spans="3:18" ht="16">
      <c r="C1755" s="19" t="s">
        <v>1811</v>
      </c>
      <c r="D1755" s="20" t="s">
        <v>3657</v>
      </c>
      <c r="E1755" s="21" t="s">
        <v>6226</v>
      </c>
      <c r="F1755" s="21" t="s">
        <v>5913</v>
      </c>
      <c r="G1755" s="22" t="s">
        <v>5913</v>
      </c>
      <c r="H1755" s="22" t="s">
        <v>5835</v>
      </c>
      <c r="I1755" s="22">
        <v>26.3</v>
      </c>
      <c r="K1755" s="22" t="s">
        <v>5835</v>
      </c>
      <c r="N1755" s="25" t="s">
        <v>7592</v>
      </c>
      <c r="O1755" s="25" t="s">
        <v>5835</v>
      </c>
      <c r="R1755" s="22" t="s">
        <v>5913</v>
      </c>
    </row>
    <row r="1756" spans="3:18" ht="16">
      <c r="C1756" s="19" t="s">
        <v>1812</v>
      </c>
      <c r="D1756" s="20" t="s">
        <v>3658</v>
      </c>
      <c r="E1756" s="21" t="s">
        <v>6228</v>
      </c>
      <c r="F1756" s="21" t="s">
        <v>8</v>
      </c>
      <c r="G1756" s="22" t="s">
        <v>12</v>
      </c>
      <c r="H1756" s="22" t="s">
        <v>5835</v>
      </c>
      <c r="I1756" s="22">
        <v>55.2</v>
      </c>
      <c r="K1756" s="22" t="s">
        <v>5835</v>
      </c>
      <c r="N1756" s="25" t="s">
        <v>7593</v>
      </c>
      <c r="O1756" s="25" t="s">
        <v>5835</v>
      </c>
      <c r="R1756" s="22" t="s">
        <v>12</v>
      </c>
    </row>
    <row r="1757" spans="3:18" ht="16">
      <c r="C1757" s="19" t="s">
        <v>1813</v>
      </c>
      <c r="D1757" s="20" t="s">
        <v>3659</v>
      </c>
      <c r="E1757" s="21" t="s">
        <v>6254</v>
      </c>
      <c r="F1757" s="21" t="s">
        <v>8</v>
      </c>
      <c r="G1757" s="22" t="s">
        <v>7825</v>
      </c>
      <c r="H1757" s="22" t="s">
        <v>5835</v>
      </c>
      <c r="I1757" s="22">
        <v>11.3</v>
      </c>
      <c r="K1757" s="22" t="s">
        <v>5835</v>
      </c>
      <c r="N1757" s="25" t="s">
        <v>7594</v>
      </c>
      <c r="O1757" s="25" t="s">
        <v>5835</v>
      </c>
      <c r="R1757" s="22" t="s">
        <v>6202</v>
      </c>
    </row>
    <row r="1758" spans="3:18" ht="16">
      <c r="C1758" s="19" t="s">
        <v>1814</v>
      </c>
      <c r="D1758" s="20" t="s">
        <v>3660</v>
      </c>
      <c r="E1758" s="21" t="s">
        <v>6319</v>
      </c>
      <c r="F1758" s="21" t="s">
        <v>17</v>
      </c>
      <c r="G1758" s="22" t="s">
        <v>7825</v>
      </c>
      <c r="H1758" s="22" t="s">
        <v>5835</v>
      </c>
      <c r="I1758" s="22">
        <v>10.199999999999999</v>
      </c>
      <c r="K1758" s="22" t="s">
        <v>5835</v>
      </c>
      <c r="N1758" s="25" t="s">
        <v>7595</v>
      </c>
      <c r="O1758" s="25" t="s">
        <v>5835</v>
      </c>
      <c r="R1758" s="22" t="s">
        <v>6202</v>
      </c>
    </row>
    <row r="1759" spans="3:18" ht="16">
      <c r="C1759" s="19" t="s">
        <v>1815</v>
      </c>
      <c r="D1759" s="20" t="s">
        <v>3661</v>
      </c>
      <c r="E1759" s="21" t="s">
        <v>6257</v>
      </c>
      <c r="F1759" s="21" t="s">
        <v>10</v>
      </c>
      <c r="G1759" s="22" t="s">
        <v>5933</v>
      </c>
      <c r="H1759" s="22" t="s">
        <v>7828</v>
      </c>
      <c r="I1759" s="22">
        <v>62.8</v>
      </c>
      <c r="K1759" s="22" t="s">
        <v>5835</v>
      </c>
      <c r="N1759" s="25" t="s">
        <v>7596</v>
      </c>
      <c r="O1759" s="25" t="s">
        <v>5835</v>
      </c>
      <c r="R1759" s="22" t="s">
        <v>5933</v>
      </c>
    </row>
    <row r="1760" spans="3:18" ht="16">
      <c r="C1760" s="19" t="s">
        <v>1816</v>
      </c>
      <c r="D1760" s="20" t="s">
        <v>3662</v>
      </c>
      <c r="E1760" s="21" t="s">
        <v>6067</v>
      </c>
      <c r="F1760" s="21" t="s">
        <v>5913</v>
      </c>
      <c r="G1760" s="22" t="s">
        <v>7825</v>
      </c>
      <c r="H1760" s="22" t="s">
        <v>5835</v>
      </c>
      <c r="I1760" s="22">
        <v>42.8</v>
      </c>
      <c r="K1760" s="22" t="s">
        <v>5835</v>
      </c>
      <c r="N1760" s="25" t="s">
        <v>7597</v>
      </c>
      <c r="O1760" s="25" t="s">
        <v>5835</v>
      </c>
      <c r="R1760" s="22" t="s">
        <v>6202</v>
      </c>
    </row>
    <row r="1761" spans="3:18" ht="16">
      <c r="C1761" s="19" t="s">
        <v>1817</v>
      </c>
      <c r="D1761" s="20" t="s">
        <v>3663</v>
      </c>
      <c r="E1761" s="21" t="s">
        <v>6313</v>
      </c>
      <c r="F1761" s="21" t="s">
        <v>6314</v>
      </c>
      <c r="G1761" s="22" t="s">
        <v>5958</v>
      </c>
      <c r="H1761" s="22" t="s">
        <v>5835</v>
      </c>
      <c r="I1761" s="22">
        <v>65.7</v>
      </c>
      <c r="K1761" s="22" t="s">
        <v>5835</v>
      </c>
      <c r="N1761" s="25" t="s">
        <v>7598</v>
      </c>
      <c r="O1761" s="25" t="s">
        <v>5835</v>
      </c>
      <c r="R1761" s="22" t="s">
        <v>5958</v>
      </c>
    </row>
    <row r="1762" spans="3:18" ht="16">
      <c r="C1762" s="19" t="s">
        <v>1823</v>
      </c>
      <c r="D1762" s="20" t="s">
        <v>3669</v>
      </c>
      <c r="E1762" s="21" t="s">
        <v>5926</v>
      </c>
      <c r="F1762" s="21" t="s">
        <v>5927</v>
      </c>
      <c r="G1762" s="22" t="s">
        <v>5843</v>
      </c>
      <c r="H1762" s="22" t="s">
        <v>5835</v>
      </c>
      <c r="I1762" s="22">
        <v>11.9</v>
      </c>
      <c r="K1762" s="22" t="s">
        <v>5835</v>
      </c>
      <c r="N1762" s="25" t="s">
        <v>7599</v>
      </c>
      <c r="O1762" s="25" t="s">
        <v>5835</v>
      </c>
      <c r="R1762" s="22" t="s">
        <v>5843</v>
      </c>
    </row>
    <row r="1763" spans="3:18" ht="16">
      <c r="C1763" s="19" t="s">
        <v>1824</v>
      </c>
      <c r="D1763" s="20" t="s">
        <v>3670</v>
      </c>
      <c r="E1763" s="21" t="s">
        <v>6025</v>
      </c>
      <c r="F1763" s="21" t="s">
        <v>17</v>
      </c>
      <c r="G1763" s="22" t="s">
        <v>5855</v>
      </c>
      <c r="H1763" s="22" t="s">
        <v>5835</v>
      </c>
      <c r="I1763" s="22">
        <v>67.5</v>
      </c>
      <c r="K1763" s="22" t="s">
        <v>5835</v>
      </c>
      <c r="N1763" s="25" t="s">
        <v>7600</v>
      </c>
      <c r="O1763" s="25" t="s">
        <v>5835</v>
      </c>
      <c r="R1763" s="22" t="s">
        <v>5855</v>
      </c>
    </row>
    <row r="1764" spans="3:18" ht="16">
      <c r="C1764" s="19" t="s">
        <v>1826</v>
      </c>
      <c r="D1764" s="20" t="s">
        <v>3672</v>
      </c>
      <c r="E1764" s="21" t="s">
        <v>6199</v>
      </c>
      <c r="F1764" s="21" t="s">
        <v>6200</v>
      </c>
      <c r="G1764" s="22" t="s">
        <v>5881</v>
      </c>
      <c r="H1764" s="22" t="s">
        <v>7828</v>
      </c>
      <c r="I1764" s="22">
        <v>53.2</v>
      </c>
      <c r="K1764" s="22" t="s">
        <v>5835</v>
      </c>
      <c r="N1764" s="25" t="s">
        <v>7601</v>
      </c>
      <c r="O1764" s="25" t="s">
        <v>5835</v>
      </c>
      <c r="R1764" s="22" t="s">
        <v>5881</v>
      </c>
    </row>
    <row r="1765" spans="3:18" ht="16">
      <c r="C1765" s="19" t="s">
        <v>1829</v>
      </c>
      <c r="D1765" s="20" t="s">
        <v>3675</v>
      </c>
      <c r="E1765" s="21" t="s">
        <v>6219</v>
      </c>
      <c r="F1765" s="21" t="s">
        <v>17</v>
      </c>
      <c r="G1765" s="22" t="s">
        <v>5881</v>
      </c>
      <c r="H1765" s="22" t="s">
        <v>5835</v>
      </c>
      <c r="I1765" s="22">
        <v>40.200000000000003</v>
      </c>
      <c r="K1765" s="22" t="s">
        <v>5835</v>
      </c>
      <c r="N1765" s="25" t="s">
        <v>7602</v>
      </c>
      <c r="O1765" s="25" t="s">
        <v>5835</v>
      </c>
      <c r="R1765" s="22" t="s">
        <v>5881</v>
      </c>
    </row>
    <row r="1766" spans="3:18" ht="16">
      <c r="C1766" s="19" t="s">
        <v>1831</v>
      </c>
      <c r="D1766" s="20" t="s">
        <v>3677</v>
      </c>
      <c r="E1766" s="21" t="s">
        <v>6067</v>
      </c>
      <c r="F1766" s="21" t="s">
        <v>17</v>
      </c>
      <c r="G1766" s="22" t="s">
        <v>5920</v>
      </c>
      <c r="H1766" s="22" t="s">
        <v>5835</v>
      </c>
      <c r="I1766" s="22">
        <v>43.1</v>
      </c>
      <c r="K1766" s="22" t="s">
        <v>5835</v>
      </c>
      <c r="N1766" s="25" t="s">
        <v>7603</v>
      </c>
      <c r="O1766" s="25" t="s">
        <v>5835</v>
      </c>
      <c r="R1766" s="22" t="s">
        <v>5920</v>
      </c>
    </row>
    <row r="1767" spans="3:18" ht="16">
      <c r="C1767" s="19" t="s">
        <v>1833</v>
      </c>
      <c r="D1767" s="20" t="s">
        <v>3679</v>
      </c>
      <c r="E1767" s="21" t="s">
        <v>6208</v>
      </c>
      <c r="F1767" s="21" t="s">
        <v>17</v>
      </c>
      <c r="G1767" s="22" t="s">
        <v>5911</v>
      </c>
      <c r="H1767" s="22" t="s">
        <v>5835</v>
      </c>
      <c r="I1767" s="22">
        <v>67.2</v>
      </c>
      <c r="K1767" s="22" t="s">
        <v>5835</v>
      </c>
      <c r="N1767" s="25" t="s">
        <v>7604</v>
      </c>
      <c r="O1767" s="25" t="s">
        <v>5835</v>
      </c>
      <c r="R1767" s="22" t="s">
        <v>5911</v>
      </c>
    </row>
    <row r="1768" spans="3:18" ht="16">
      <c r="C1768" s="19" t="s">
        <v>1836</v>
      </c>
      <c r="D1768" s="20" t="s">
        <v>3681</v>
      </c>
      <c r="E1768" s="21" t="s">
        <v>6277</v>
      </c>
      <c r="F1768" s="21" t="s">
        <v>17</v>
      </c>
      <c r="G1768" s="22" t="s">
        <v>5995</v>
      </c>
      <c r="H1768" s="22" t="s">
        <v>5835</v>
      </c>
      <c r="I1768" s="22">
        <v>33.799999999999997</v>
      </c>
      <c r="K1768" s="22" t="s">
        <v>5835</v>
      </c>
      <c r="N1768" s="25" t="s">
        <v>7605</v>
      </c>
      <c r="O1768" s="25" t="s">
        <v>5835</v>
      </c>
      <c r="R1768" s="22" t="s">
        <v>5995</v>
      </c>
    </row>
    <row r="1769" spans="3:18" ht="16">
      <c r="C1769" s="19" t="s">
        <v>1837</v>
      </c>
      <c r="D1769" s="20" t="s">
        <v>3682</v>
      </c>
      <c r="E1769" s="21" t="s">
        <v>6226</v>
      </c>
      <c r="F1769" s="21" t="s">
        <v>5913</v>
      </c>
      <c r="G1769" s="22" t="s">
        <v>7825</v>
      </c>
      <c r="H1769" s="22" t="s">
        <v>5835</v>
      </c>
      <c r="I1769" s="22">
        <v>7.4</v>
      </c>
      <c r="K1769" s="22" t="s">
        <v>5835</v>
      </c>
      <c r="N1769" s="25" t="s">
        <v>7606</v>
      </c>
      <c r="O1769" s="25" t="s">
        <v>5835</v>
      </c>
      <c r="R1769" s="22" t="s">
        <v>6202</v>
      </c>
    </row>
    <row r="1770" spans="3:18" ht="16">
      <c r="C1770" s="19" t="s">
        <v>1838</v>
      </c>
      <c r="D1770" s="20" t="s">
        <v>3683</v>
      </c>
      <c r="E1770" s="21" t="s">
        <v>6219</v>
      </c>
      <c r="F1770" s="21" t="s">
        <v>17</v>
      </c>
      <c r="G1770" s="22" t="s">
        <v>5918</v>
      </c>
      <c r="H1770" s="22" t="s">
        <v>5835</v>
      </c>
      <c r="I1770" s="22">
        <v>30</v>
      </c>
      <c r="K1770" s="22" t="s">
        <v>5835</v>
      </c>
      <c r="N1770" s="25" t="s">
        <v>7607</v>
      </c>
      <c r="O1770" s="25" t="s">
        <v>5835</v>
      </c>
      <c r="R1770" s="22" t="s">
        <v>5918</v>
      </c>
    </row>
    <row r="1771" spans="3:18" ht="16">
      <c r="C1771" s="19" t="s">
        <v>1839</v>
      </c>
      <c r="D1771" s="20" t="s">
        <v>3684</v>
      </c>
      <c r="E1771" s="21" t="s">
        <v>6166</v>
      </c>
      <c r="F1771" s="21" t="s">
        <v>6080</v>
      </c>
      <c r="G1771" s="22" t="s">
        <v>5911</v>
      </c>
      <c r="H1771" s="22" t="s">
        <v>5835</v>
      </c>
      <c r="I1771" s="22">
        <v>31.1</v>
      </c>
      <c r="K1771" s="22" t="s">
        <v>5835</v>
      </c>
      <c r="N1771" s="25" t="s">
        <v>7608</v>
      </c>
      <c r="O1771" s="25" t="s">
        <v>5835</v>
      </c>
      <c r="R1771" s="22" t="s">
        <v>5911</v>
      </c>
    </row>
    <row r="1772" spans="3:18" ht="16">
      <c r="C1772" s="19" t="s">
        <v>1845</v>
      </c>
      <c r="D1772" s="20" t="s">
        <v>3690</v>
      </c>
      <c r="E1772" s="21" t="s">
        <v>6257</v>
      </c>
      <c r="F1772" s="21" t="s">
        <v>10</v>
      </c>
      <c r="G1772" s="22" t="s">
        <v>7825</v>
      </c>
      <c r="H1772" s="22" t="s">
        <v>7828</v>
      </c>
      <c r="I1772" s="22">
        <v>67.900000000000006</v>
      </c>
      <c r="K1772" s="22" t="s">
        <v>5835</v>
      </c>
      <c r="N1772" s="25" t="s">
        <v>5835</v>
      </c>
      <c r="O1772" s="25" t="s">
        <v>5835</v>
      </c>
      <c r="R1772" s="22" t="s">
        <v>6202</v>
      </c>
    </row>
    <row r="1773" spans="3:18" ht="16">
      <c r="C1773" s="19" t="s">
        <v>1846</v>
      </c>
      <c r="D1773" s="20" t="s">
        <v>3691</v>
      </c>
      <c r="E1773" s="21" t="s">
        <v>6285</v>
      </c>
      <c r="F1773" s="21" t="s">
        <v>6281</v>
      </c>
      <c r="G1773" s="22" t="s">
        <v>5945</v>
      </c>
      <c r="H1773" s="22" t="s">
        <v>7828</v>
      </c>
      <c r="I1773" s="22">
        <v>106.7</v>
      </c>
      <c r="K1773" s="22" t="s">
        <v>5835</v>
      </c>
      <c r="N1773" s="25" t="s">
        <v>7609</v>
      </c>
      <c r="O1773" s="25" t="s">
        <v>5835</v>
      </c>
      <c r="R1773" s="22" t="s">
        <v>5945</v>
      </c>
    </row>
    <row r="1774" spans="3:18" ht="16">
      <c r="C1774" s="19" t="s">
        <v>1847</v>
      </c>
      <c r="D1774" s="20" t="s">
        <v>3692</v>
      </c>
      <c r="E1774" s="21" t="s">
        <v>6505</v>
      </c>
      <c r="F1774" s="21" t="s">
        <v>6200</v>
      </c>
      <c r="G1774" s="22" t="s">
        <v>5960</v>
      </c>
      <c r="H1774" s="22" t="s">
        <v>5835</v>
      </c>
      <c r="I1774" s="22">
        <v>29.8</v>
      </c>
      <c r="K1774" s="22" t="s">
        <v>5835</v>
      </c>
      <c r="N1774" s="25" t="s">
        <v>7610</v>
      </c>
      <c r="O1774" s="25" t="s">
        <v>5835</v>
      </c>
      <c r="R1774" s="22" t="s">
        <v>5960</v>
      </c>
    </row>
    <row r="1775" spans="3:18" ht="16">
      <c r="C1775" s="19" t="s">
        <v>1849</v>
      </c>
      <c r="D1775" s="20" t="s">
        <v>3694</v>
      </c>
      <c r="E1775" s="21" t="s">
        <v>5926</v>
      </c>
      <c r="F1775" s="21" t="s">
        <v>5927</v>
      </c>
      <c r="G1775" s="22" t="s">
        <v>5930</v>
      </c>
      <c r="H1775" s="22" t="s">
        <v>5835</v>
      </c>
      <c r="I1775" s="22">
        <v>119.1</v>
      </c>
      <c r="K1775" s="22" t="s">
        <v>5835</v>
      </c>
      <c r="N1775" s="25" t="s">
        <v>7611</v>
      </c>
      <c r="O1775" s="25" t="s">
        <v>5835</v>
      </c>
      <c r="R1775" s="22" t="s">
        <v>5930</v>
      </c>
    </row>
    <row r="1776" spans="3:18" ht="16">
      <c r="C1776" s="19" t="s">
        <v>1853</v>
      </c>
      <c r="D1776" s="20" t="s">
        <v>3698</v>
      </c>
      <c r="E1776" s="21" t="s">
        <v>6233</v>
      </c>
      <c r="F1776" s="21" t="s">
        <v>5928</v>
      </c>
      <c r="G1776" s="22" t="s">
        <v>5928</v>
      </c>
      <c r="H1776" s="22" t="s">
        <v>5835</v>
      </c>
      <c r="I1776" s="22">
        <v>9.6</v>
      </c>
      <c r="K1776" s="22" t="s">
        <v>5835</v>
      </c>
      <c r="N1776" s="25" t="s">
        <v>7612</v>
      </c>
      <c r="O1776" s="25" t="s">
        <v>5835</v>
      </c>
      <c r="R1776" s="22" t="s">
        <v>5928</v>
      </c>
    </row>
    <row r="1777" spans="3:18" ht="16">
      <c r="C1777" s="19" t="s">
        <v>1854</v>
      </c>
      <c r="D1777" s="20" t="s">
        <v>3699</v>
      </c>
      <c r="E1777" s="21" t="s">
        <v>6074</v>
      </c>
      <c r="F1777" s="21" t="s">
        <v>6075</v>
      </c>
      <c r="G1777" s="22" t="s">
        <v>5882</v>
      </c>
      <c r="H1777" s="22" t="s">
        <v>5835</v>
      </c>
      <c r="I1777" s="22">
        <v>30.6</v>
      </c>
      <c r="K1777" s="22" t="s">
        <v>5835</v>
      </c>
      <c r="N1777" s="25" t="s">
        <v>7613</v>
      </c>
      <c r="O1777" s="25" t="s">
        <v>5835</v>
      </c>
      <c r="R1777" s="22" t="s">
        <v>5882</v>
      </c>
    </row>
    <row r="1778" spans="3:18" ht="16">
      <c r="C1778" s="19" t="s">
        <v>1855</v>
      </c>
      <c r="D1778" s="20" t="s">
        <v>3700</v>
      </c>
      <c r="E1778" s="21" t="s">
        <v>6237</v>
      </c>
      <c r="F1778" s="21" t="s">
        <v>6231</v>
      </c>
      <c r="G1778" s="22" t="s">
        <v>5933</v>
      </c>
      <c r="H1778" s="22" t="s">
        <v>5835</v>
      </c>
      <c r="I1778" s="22">
        <v>31.3</v>
      </c>
      <c r="K1778" s="22" t="s">
        <v>5835</v>
      </c>
      <c r="N1778" s="25" t="s">
        <v>7614</v>
      </c>
      <c r="O1778" s="25" t="s">
        <v>5835</v>
      </c>
      <c r="R1778" s="22" t="s">
        <v>5933</v>
      </c>
    </row>
    <row r="1779" spans="3:18" ht="16">
      <c r="C1779" s="19" t="s">
        <v>1856</v>
      </c>
      <c r="D1779" s="20" t="s">
        <v>3701</v>
      </c>
      <c r="E1779" s="21" t="s">
        <v>6219</v>
      </c>
      <c r="F1779" s="21" t="s">
        <v>17</v>
      </c>
      <c r="G1779" s="22" t="s">
        <v>5918</v>
      </c>
      <c r="H1779" s="22" t="s">
        <v>5835</v>
      </c>
      <c r="I1779" s="22">
        <v>13.3</v>
      </c>
      <c r="K1779" s="22" t="s">
        <v>5835</v>
      </c>
      <c r="N1779" s="25" t="s">
        <v>6587</v>
      </c>
      <c r="O1779" s="25" t="s">
        <v>5835</v>
      </c>
      <c r="R1779" s="22" t="s">
        <v>5918</v>
      </c>
    </row>
    <row r="1780" spans="3:18" ht="16">
      <c r="C1780" s="19" t="s">
        <v>1857</v>
      </c>
      <c r="D1780" s="20" t="s">
        <v>3702</v>
      </c>
      <c r="E1780" s="21" t="s">
        <v>6274</v>
      </c>
      <c r="F1780" s="21" t="s">
        <v>17</v>
      </c>
      <c r="G1780" s="22" t="s">
        <v>7825</v>
      </c>
      <c r="H1780" s="22" t="s">
        <v>5835</v>
      </c>
      <c r="I1780" s="22">
        <v>4</v>
      </c>
      <c r="K1780" s="22" t="s">
        <v>5835</v>
      </c>
      <c r="N1780" s="25" t="s">
        <v>7615</v>
      </c>
      <c r="O1780" s="25" t="s">
        <v>5835</v>
      </c>
      <c r="R1780" s="22" t="s">
        <v>6202</v>
      </c>
    </row>
    <row r="1781" spans="3:18" ht="16">
      <c r="C1781" s="19" t="s">
        <v>1858</v>
      </c>
      <c r="D1781" s="20" t="s">
        <v>3703</v>
      </c>
      <c r="E1781" s="21" t="s">
        <v>6257</v>
      </c>
      <c r="F1781" s="21" t="s">
        <v>10</v>
      </c>
      <c r="G1781" s="22" t="s">
        <v>5928</v>
      </c>
      <c r="H1781" s="22" t="s">
        <v>7828</v>
      </c>
      <c r="I1781" s="22">
        <v>1018</v>
      </c>
      <c r="K1781" s="22" t="s">
        <v>5835</v>
      </c>
      <c r="N1781" s="25" t="s">
        <v>7616</v>
      </c>
      <c r="O1781" s="25" t="s">
        <v>5835</v>
      </c>
      <c r="R1781" s="22" t="s">
        <v>5928</v>
      </c>
    </row>
    <row r="1782" spans="3:18" ht="16">
      <c r="C1782" s="19" t="s">
        <v>1860</v>
      </c>
      <c r="D1782" s="20" t="s">
        <v>3705</v>
      </c>
      <c r="E1782" s="21" t="s">
        <v>5968</v>
      </c>
      <c r="F1782" s="21" t="s">
        <v>5969</v>
      </c>
      <c r="G1782" s="22" t="s">
        <v>5879</v>
      </c>
      <c r="H1782" s="22" t="s">
        <v>5835</v>
      </c>
      <c r="I1782" s="22">
        <v>26.2</v>
      </c>
      <c r="K1782" s="22" t="s">
        <v>5835</v>
      </c>
      <c r="N1782" s="25" t="s">
        <v>7617</v>
      </c>
      <c r="O1782" s="25" t="s">
        <v>5835</v>
      </c>
      <c r="R1782" s="22" t="s">
        <v>5879</v>
      </c>
    </row>
    <row r="1783" spans="3:18" ht="16">
      <c r="C1783" s="19" t="s">
        <v>1861</v>
      </c>
      <c r="D1783" s="20" t="s">
        <v>3706</v>
      </c>
      <c r="E1783" s="21" t="s">
        <v>6054</v>
      </c>
      <c r="F1783" s="21" t="s">
        <v>6055</v>
      </c>
      <c r="G1783" s="22" t="s">
        <v>5843</v>
      </c>
      <c r="H1783" s="22" t="s">
        <v>5835</v>
      </c>
      <c r="I1783" s="22">
        <v>104.4</v>
      </c>
      <c r="K1783" s="22" t="s">
        <v>5835</v>
      </c>
      <c r="N1783" s="25" t="s">
        <v>7618</v>
      </c>
      <c r="O1783" s="25" t="s">
        <v>5835</v>
      </c>
      <c r="R1783" s="22" t="s">
        <v>5843</v>
      </c>
    </row>
    <row r="1784" spans="3:18" ht="16">
      <c r="C1784" s="19" t="s">
        <v>1862</v>
      </c>
      <c r="D1784" s="20" t="s">
        <v>3707</v>
      </c>
      <c r="E1784" s="21" t="s">
        <v>5968</v>
      </c>
      <c r="F1784" s="21" t="s">
        <v>5969</v>
      </c>
      <c r="G1784" s="22" t="s">
        <v>5838</v>
      </c>
      <c r="H1784" s="22" t="s">
        <v>5835</v>
      </c>
      <c r="I1784" s="22">
        <v>11.9</v>
      </c>
      <c r="K1784" s="22" t="s">
        <v>5835</v>
      </c>
      <c r="N1784" s="25" t="s">
        <v>7619</v>
      </c>
      <c r="O1784" s="25" t="s">
        <v>5835</v>
      </c>
      <c r="R1784" s="22" t="s">
        <v>5838</v>
      </c>
    </row>
    <row r="1785" spans="3:18" ht="16">
      <c r="C1785" s="19" t="s">
        <v>1863</v>
      </c>
      <c r="D1785" s="20" t="s">
        <v>3708</v>
      </c>
      <c r="E1785" s="21" t="s">
        <v>6274</v>
      </c>
      <c r="F1785" s="21" t="s">
        <v>17</v>
      </c>
      <c r="G1785" s="22" t="s">
        <v>5943</v>
      </c>
      <c r="H1785" s="22" t="s">
        <v>5835</v>
      </c>
      <c r="I1785" s="22">
        <v>174.5</v>
      </c>
      <c r="K1785" s="22" t="s">
        <v>5835</v>
      </c>
      <c r="N1785" s="25" t="s">
        <v>7620</v>
      </c>
      <c r="O1785" s="25" t="s">
        <v>5835</v>
      </c>
      <c r="R1785" s="22" t="s">
        <v>5943</v>
      </c>
    </row>
    <row r="1786" spans="3:18" ht="16">
      <c r="C1786" s="19" t="s">
        <v>1866</v>
      </c>
      <c r="D1786" s="20" t="s">
        <v>3711</v>
      </c>
      <c r="E1786" s="21" t="s">
        <v>6254</v>
      </c>
      <c r="F1786" s="21" t="s">
        <v>8</v>
      </c>
      <c r="G1786" s="22" t="s">
        <v>5869</v>
      </c>
      <c r="H1786" s="22" t="s">
        <v>5835</v>
      </c>
      <c r="I1786" s="22">
        <v>48.9</v>
      </c>
      <c r="K1786" s="22" t="s">
        <v>5835</v>
      </c>
      <c r="N1786" s="25" t="s">
        <v>7621</v>
      </c>
      <c r="O1786" s="25" t="s">
        <v>5835</v>
      </c>
      <c r="R1786" s="22" t="s">
        <v>5869</v>
      </c>
    </row>
    <row r="1787" spans="3:18" ht="16">
      <c r="C1787" s="19" t="s">
        <v>1867</v>
      </c>
      <c r="D1787" s="20" t="s">
        <v>3712</v>
      </c>
      <c r="E1787" s="21" t="s">
        <v>5968</v>
      </c>
      <c r="F1787" s="21" t="s">
        <v>5969</v>
      </c>
      <c r="G1787" s="22" t="s">
        <v>5869</v>
      </c>
      <c r="H1787" s="22" t="s">
        <v>5835</v>
      </c>
      <c r="I1787" s="22">
        <v>59.1</v>
      </c>
      <c r="K1787" s="22" t="s">
        <v>5835</v>
      </c>
      <c r="N1787" s="25" t="s">
        <v>7622</v>
      </c>
      <c r="O1787" s="25" t="s">
        <v>5835</v>
      </c>
      <c r="R1787" s="22" t="s">
        <v>5869</v>
      </c>
    </row>
    <row r="1788" spans="3:18" ht="16">
      <c r="C1788" s="19" t="s">
        <v>1868</v>
      </c>
      <c r="D1788" s="20" t="s">
        <v>3713</v>
      </c>
      <c r="E1788" s="21" t="s">
        <v>5968</v>
      </c>
      <c r="F1788" s="21" t="s">
        <v>5969</v>
      </c>
      <c r="G1788" s="22" t="s">
        <v>7827</v>
      </c>
      <c r="H1788" s="22" t="s">
        <v>5835</v>
      </c>
      <c r="I1788" s="22">
        <v>18</v>
      </c>
      <c r="K1788" s="22" t="s">
        <v>5835</v>
      </c>
      <c r="N1788" s="25" t="s">
        <v>7623</v>
      </c>
      <c r="O1788" s="25" t="s">
        <v>5835</v>
      </c>
      <c r="R1788" s="22" t="s">
        <v>5940</v>
      </c>
    </row>
    <row r="1789" spans="3:18" ht="16">
      <c r="C1789" s="19" t="s">
        <v>1869</v>
      </c>
      <c r="D1789" s="20" t="s">
        <v>3714</v>
      </c>
      <c r="E1789" s="21" t="s">
        <v>6074</v>
      </c>
      <c r="F1789" s="21" t="s">
        <v>6075</v>
      </c>
      <c r="G1789" s="22" t="s">
        <v>5884</v>
      </c>
      <c r="H1789" s="22" t="s">
        <v>5835</v>
      </c>
      <c r="I1789" s="22">
        <v>35.299999999999997</v>
      </c>
      <c r="K1789" s="22" t="s">
        <v>5835</v>
      </c>
      <c r="N1789" s="25" t="s">
        <v>7624</v>
      </c>
      <c r="O1789" s="25" t="s">
        <v>5835</v>
      </c>
      <c r="R1789" s="22" t="s">
        <v>5884</v>
      </c>
    </row>
    <row r="1790" spans="3:18" ht="16">
      <c r="C1790" s="19" t="s">
        <v>1871</v>
      </c>
      <c r="D1790" s="20" t="s">
        <v>3716</v>
      </c>
      <c r="E1790" s="21" t="s">
        <v>6074</v>
      </c>
      <c r="F1790" s="21" t="s">
        <v>6075</v>
      </c>
      <c r="G1790" s="22" t="s">
        <v>5889</v>
      </c>
      <c r="H1790" s="22" t="s">
        <v>5835</v>
      </c>
      <c r="I1790" s="22">
        <v>7.2</v>
      </c>
      <c r="K1790" s="22" t="s">
        <v>5835</v>
      </c>
      <c r="N1790" s="25" t="s">
        <v>7625</v>
      </c>
      <c r="O1790" s="25" t="s">
        <v>5835</v>
      </c>
      <c r="R1790" s="22" t="s">
        <v>5889</v>
      </c>
    </row>
    <row r="1791" spans="3:18" ht="16">
      <c r="C1791" s="19" t="s">
        <v>1872</v>
      </c>
      <c r="D1791" s="20" t="s">
        <v>3717</v>
      </c>
      <c r="E1791" s="21" t="s">
        <v>6166</v>
      </c>
      <c r="F1791" s="21" t="s">
        <v>6080</v>
      </c>
      <c r="G1791" s="22" t="s">
        <v>7825</v>
      </c>
      <c r="H1791" s="22" t="s">
        <v>5835</v>
      </c>
      <c r="I1791" s="22">
        <v>15.5</v>
      </c>
      <c r="K1791" s="22" t="s">
        <v>5835</v>
      </c>
      <c r="N1791" s="25" t="s">
        <v>7626</v>
      </c>
      <c r="O1791" s="25" t="s">
        <v>5835</v>
      </c>
      <c r="R1791" s="22" t="s">
        <v>6202</v>
      </c>
    </row>
    <row r="1792" spans="3:18" ht="16">
      <c r="C1792" s="19" t="s">
        <v>1874</v>
      </c>
      <c r="D1792" s="20" t="s">
        <v>3719</v>
      </c>
      <c r="E1792" s="21" t="s">
        <v>6054</v>
      </c>
      <c r="F1792" s="21" t="s">
        <v>6055</v>
      </c>
      <c r="G1792" s="22" t="s">
        <v>5865</v>
      </c>
      <c r="H1792" s="22" t="s">
        <v>7828</v>
      </c>
      <c r="I1792" s="22">
        <v>346.1</v>
      </c>
      <c r="K1792" s="22" t="s">
        <v>5835</v>
      </c>
      <c r="N1792" s="25" t="s">
        <v>7627</v>
      </c>
      <c r="O1792" s="25" t="s">
        <v>5835</v>
      </c>
      <c r="R1792" s="22" t="s">
        <v>5865</v>
      </c>
    </row>
    <row r="1793" spans="3:18" ht="16">
      <c r="C1793" s="19" t="s">
        <v>1875</v>
      </c>
      <c r="D1793" s="20" t="s">
        <v>3720</v>
      </c>
      <c r="E1793" s="21" t="s">
        <v>6313</v>
      </c>
      <c r="F1793" s="21" t="s">
        <v>6314</v>
      </c>
      <c r="G1793" s="22" t="s">
        <v>5958</v>
      </c>
      <c r="H1793" s="22" t="s">
        <v>7828</v>
      </c>
      <c r="I1793" s="22">
        <v>45.1</v>
      </c>
      <c r="K1793" s="22" t="s">
        <v>5835</v>
      </c>
      <c r="N1793" s="25" t="s">
        <v>7628</v>
      </c>
      <c r="O1793" s="25" t="s">
        <v>5835</v>
      </c>
      <c r="R1793" s="22" t="s">
        <v>5958</v>
      </c>
    </row>
    <row r="1794" spans="3:18" ht="16">
      <c r="C1794" s="19" t="s">
        <v>7629</v>
      </c>
      <c r="D1794" s="20" t="s">
        <v>7630</v>
      </c>
      <c r="E1794" s="21" t="s">
        <v>6796</v>
      </c>
      <c r="F1794" s="21" t="s">
        <v>6680</v>
      </c>
      <c r="G1794" s="22" t="s">
        <v>5859</v>
      </c>
      <c r="H1794" s="22" t="s">
        <v>5835</v>
      </c>
      <c r="I1794" s="22" t="s">
        <v>5835</v>
      </c>
      <c r="K1794" s="22" t="s">
        <v>5835</v>
      </c>
      <c r="N1794" s="25" t="s">
        <v>7631</v>
      </c>
      <c r="O1794" s="25" t="s">
        <v>5835</v>
      </c>
      <c r="R1794" s="22" t="s">
        <v>5859</v>
      </c>
    </row>
    <row r="1795" spans="3:18" ht="16">
      <c r="C1795" s="19" t="s">
        <v>1876</v>
      </c>
      <c r="D1795" s="20" t="s">
        <v>3721</v>
      </c>
      <c r="E1795" s="21" t="s">
        <v>6254</v>
      </c>
      <c r="F1795" s="21" t="s">
        <v>8</v>
      </c>
      <c r="G1795" s="22" t="s">
        <v>7825</v>
      </c>
      <c r="H1795" s="22" t="s">
        <v>5835</v>
      </c>
      <c r="I1795" s="22">
        <v>8.3000000000000007</v>
      </c>
      <c r="K1795" s="22" t="s">
        <v>5835</v>
      </c>
      <c r="N1795" s="25" t="s">
        <v>7632</v>
      </c>
      <c r="O1795" s="25" t="s">
        <v>5835</v>
      </c>
      <c r="R1795" s="22" t="s">
        <v>6202</v>
      </c>
    </row>
    <row r="1796" spans="3:18" ht="16">
      <c r="C1796" s="19" t="s">
        <v>1878</v>
      </c>
      <c r="D1796" s="20" t="s">
        <v>3722</v>
      </c>
      <c r="E1796" s="21" t="s">
        <v>6170</v>
      </c>
      <c r="F1796" s="21" t="s">
        <v>5896</v>
      </c>
      <c r="G1796" s="22" t="s">
        <v>7827</v>
      </c>
      <c r="H1796" s="22" t="s">
        <v>5835</v>
      </c>
      <c r="I1796" s="22">
        <v>7.7</v>
      </c>
      <c r="K1796" s="22" t="s">
        <v>5835</v>
      </c>
      <c r="N1796" s="25" t="s">
        <v>7633</v>
      </c>
      <c r="O1796" s="25" t="s">
        <v>5835</v>
      </c>
      <c r="R1796" s="22" t="s">
        <v>5940</v>
      </c>
    </row>
    <row r="1797" spans="3:18" ht="16">
      <c r="C1797" s="19" t="s">
        <v>1879</v>
      </c>
      <c r="D1797" s="20" t="s">
        <v>3723</v>
      </c>
      <c r="E1797" s="21" t="s">
        <v>5923</v>
      </c>
      <c r="F1797" s="21" t="s">
        <v>5831</v>
      </c>
      <c r="G1797" s="22" t="s">
        <v>5833</v>
      </c>
      <c r="H1797" s="22" t="s">
        <v>5835</v>
      </c>
      <c r="I1797" s="22">
        <v>26.4</v>
      </c>
      <c r="K1797" s="22" t="s">
        <v>5835</v>
      </c>
      <c r="N1797" s="25" t="s">
        <v>7634</v>
      </c>
      <c r="O1797" s="25" t="s">
        <v>5835</v>
      </c>
      <c r="R1797" s="22" t="s">
        <v>5833</v>
      </c>
    </row>
    <row r="1798" spans="3:18" ht="16">
      <c r="C1798" s="19" t="s">
        <v>1880</v>
      </c>
      <c r="D1798" s="20" t="s">
        <v>3724</v>
      </c>
      <c r="E1798" s="21" t="s">
        <v>5968</v>
      </c>
      <c r="F1798" s="21" t="s">
        <v>5969</v>
      </c>
      <c r="G1798" s="22" t="s">
        <v>5879</v>
      </c>
      <c r="H1798" s="22" t="s">
        <v>5835</v>
      </c>
      <c r="I1798" s="22">
        <v>16.399999999999999</v>
      </c>
      <c r="K1798" s="22" t="s">
        <v>5835</v>
      </c>
      <c r="N1798" s="25" t="s">
        <v>7635</v>
      </c>
      <c r="O1798" s="25" t="s">
        <v>5835</v>
      </c>
      <c r="R1798" s="22" t="s">
        <v>5879</v>
      </c>
    </row>
    <row r="1799" spans="3:18" ht="16">
      <c r="C1799" s="19" t="s">
        <v>1882</v>
      </c>
      <c r="D1799" s="20" t="s">
        <v>3726</v>
      </c>
      <c r="E1799" s="21" t="s">
        <v>6067</v>
      </c>
      <c r="F1799" s="21" t="s">
        <v>17</v>
      </c>
      <c r="G1799" s="22" t="s">
        <v>7825</v>
      </c>
      <c r="H1799" s="22" t="s">
        <v>5835</v>
      </c>
      <c r="I1799" s="22">
        <v>18.100000000000001</v>
      </c>
      <c r="K1799" s="22" t="s">
        <v>5835</v>
      </c>
      <c r="N1799" s="25" t="s">
        <v>7636</v>
      </c>
      <c r="O1799" s="25" t="s">
        <v>5835</v>
      </c>
      <c r="R1799" s="22" t="s">
        <v>6202</v>
      </c>
    </row>
    <row r="1800" spans="3:18" ht="16">
      <c r="C1800" s="19" t="s">
        <v>1883</v>
      </c>
      <c r="D1800" s="20" t="s">
        <v>3727</v>
      </c>
      <c r="E1800" s="21" t="s">
        <v>6074</v>
      </c>
      <c r="F1800" s="21" t="s">
        <v>6075</v>
      </c>
      <c r="G1800" s="22" t="s">
        <v>5882</v>
      </c>
      <c r="H1800" s="22" t="s">
        <v>5835</v>
      </c>
      <c r="I1800" s="22">
        <v>18.600000000000001</v>
      </c>
      <c r="K1800" s="22" t="s">
        <v>5835</v>
      </c>
      <c r="N1800" s="25" t="s">
        <v>7637</v>
      </c>
      <c r="O1800" s="25" t="s">
        <v>5835</v>
      </c>
      <c r="R1800" s="22" t="s">
        <v>5882</v>
      </c>
    </row>
    <row r="1801" spans="3:18" ht="16">
      <c r="C1801" s="19" t="s">
        <v>1884</v>
      </c>
      <c r="D1801" s="20" t="s">
        <v>3728</v>
      </c>
      <c r="E1801" s="21" t="s">
        <v>5980</v>
      </c>
      <c r="F1801" s="21" t="s">
        <v>5852</v>
      </c>
      <c r="G1801" s="22" t="s">
        <v>5964</v>
      </c>
      <c r="H1801" s="22" t="s">
        <v>5835</v>
      </c>
      <c r="I1801" s="22">
        <v>32.200000000000003</v>
      </c>
      <c r="K1801" s="22" t="s">
        <v>5835</v>
      </c>
      <c r="N1801" s="25" t="s">
        <v>7638</v>
      </c>
      <c r="O1801" s="25" t="s">
        <v>5835</v>
      </c>
      <c r="R1801" s="22" t="s">
        <v>5964</v>
      </c>
    </row>
    <row r="1802" spans="3:18" ht="16">
      <c r="C1802" s="19" t="s">
        <v>1885</v>
      </c>
      <c r="D1802" s="20" t="s">
        <v>3729</v>
      </c>
      <c r="E1802" s="21" t="s">
        <v>5968</v>
      </c>
      <c r="F1802" s="21" t="s">
        <v>5969</v>
      </c>
      <c r="G1802" s="22" t="s">
        <v>5887</v>
      </c>
      <c r="H1802" s="22" t="s">
        <v>5835</v>
      </c>
      <c r="I1802" s="22">
        <v>21</v>
      </c>
      <c r="K1802" s="22" t="s">
        <v>5835</v>
      </c>
      <c r="N1802" s="25" t="s">
        <v>7639</v>
      </c>
      <c r="O1802" s="25" t="s">
        <v>5835</v>
      </c>
      <c r="R1802" s="22" t="s">
        <v>5887</v>
      </c>
    </row>
    <row r="1803" spans="3:18" ht="16">
      <c r="C1803" s="19" t="s">
        <v>1886</v>
      </c>
      <c r="D1803" s="20" t="s">
        <v>3730</v>
      </c>
      <c r="E1803" s="21" t="s">
        <v>6074</v>
      </c>
      <c r="F1803" s="21" t="s">
        <v>6075</v>
      </c>
      <c r="G1803" s="22" t="s">
        <v>5884</v>
      </c>
      <c r="H1803" s="22" t="s">
        <v>5835</v>
      </c>
      <c r="I1803" s="22">
        <v>149</v>
      </c>
      <c r="K1803" s="22" t="s">
        <v>5835</v>
      </c>
      <c r="N1803" s="25" t="s">
        <v>7640</v>
      </c>
      <c r="O1803" s="25" t="s">
        <v>5835</v>
      </c>
      <c r="R1803" s="22" t="s">
        <v>5884</v>
      </c>
    </row>
    <row r="1804" spans="3:18" ht="16">
      <c r="C1804" s="19" t="s">
        <v>1887</v>
      </c>
      <c r="D1804" s="20" t="s">
        <v>3731</v>
      </c>
      <c r="E1804" s="21" t="s">
        <v>5968</v>
      </c>
      <c r="F1804" s="21" t="s">
        <v>5969</v>
      </c>
      <c r="G1804" s="22" t="s">
        <v>7827</v>
      </c>
      <c r="H1804" s="22" t="s">
        <v>5835</v>
      </c>
      <c r="I1804" s="22">
        <v>9.6999999999999993</v>
      </c>
      <c r="K1804" s="22" t="s">
        <v>5835</v>
      </c>
      <c r="N1804" s="25" t="s">
        <v>7641</v>
      </c>
      <c r="O1804" s="25" t="s">
        <v>5835</v>
      </c>
      <c r="R1804" s="22" t="s">
        <v>5940</v>
      </c>
    </row>
    <row r="1805" spans="3:18" ht="16">
      <c r="C1805" s="19" t="s">
        <v>1889</v>
      </c>
      <c r="D1805" s="20" t="s">
        <v>3733</v>
      </c>
      <c r="E1805" s="21" t="s">
        <v>5968</v>
      </c>
      <c r="F1805" s="21" t="s">
        <v>5969</v>
      </c>
      <c r="G1805" s="22" t="s">
        <v>5869</v>
      </c>
      <c r="H1805" s="22" t="s">
        <v>5835</v>
      </c>
      <c r="I1805" s="22">
        <v>14.4</v>
      </c>
      <c r="K1805" s="22" t="s">
        <v>5835</v>
      </c>
      <c r="N1805" s="25" t="s">
        <v>7642</v>
      </c>
      <c r="O1805" s="25" t="s">
        <v>5835</v>
      </c>
      <c r="R1805" s="22" t="s">
        <v>5869</v>
      </c>
    </row>
    <row r="1806" spans="3:18" ht="16">
      <c r="C1806" s="19" t="s">
        <v>1892</v>
      </c>
      <c r="D1806" s="20" t="s">
        <v>3736</v>
      </c>
      <c r="E1806" s="21" t="s">
        <v>5968</v>
      </c>
      <c r="F1806" s="21" t="s">
        <v>5969</v>
      </c>
      <c r="G1806" s="22" t="s">
        <v>5879</v>
      </c>
      <c r="H1806" s="22" t="s">
        <v>5835</v>
      </c>
      <c r="I1806" s="22">
        <v>16.5</v>
      </c>
      <c r="K1806" s="22" t="s">
        <v>5835</v>
      </c>
      <c r="N1806" s="25" t="s">
        <v>7643</v>
      </c>
      <c r="O1806" s="25" t="s">
        <v>5835</v>
      </c>
      <c r="R1806" s="22" t="s">
        <v>5879</v>
      </c>
    </row>
    <row r="1807" spans="3:18" ht="16">
      <c r="C1807" s="19" t="s">
        <v>1893</v>
      </c>
      <c r="D1807" s="20" t="s">
        <v>3737</v>
      </c>
      <c r="E1807" s="21" t="s">
        <v>5968</v>
      </c>
      <c r="F1807" s="21" t="s">
        <v>5969</v>
      </c>
      <c r="G1807" s="22" t="s">
        <v>7827</v>
      </c>
      <c r="H1807" s="22" t="s">
        <v>5835</v>
      </c>
      <c r="I1807" s="22">
        <v>50.1</v>
      </c>
      <c r="K1807" s="22" t="s">
        <v>5835</v>
      </c>
      <c r="N1807" s="25" t="s">
        <v>7644</v>
      </c>
      <c r="O1807" s="25" t="s">
        <v>5835</v>
      </c>
      <c r="R1807" s="22" t="s">
        <v>5940</v>
      </c>
    </row>
    <row r="1808" spans="3:18" ht="16">
      <c r="C1808" s="19" t="s">
        <v>1894</v>
      </c>
      <c r="D1808" s="20" t="s">
        <v>3738</v>
      </c>
      <c r="E1808" s="21" t="s">
        <v>5968</v>
      </c>
      <c r="F1808" s="21" t="s">
        <v>5969</v>
      </c>
      <c r="G1808" s="22" t="s">
        <v>7827</v>
      </c>
      <c r="H1808" s="22" t="s">
        <v>5835</v>
      </c>
      <c r="I1808" s="22">
        <v>9.9</v>
      </c>
      <c r="K1808" s="22" t="s">
        <v>5835</v>
      </c>
      <c r="N1808" s="25" t="s">
        <v>7645</v>
      </c>
      <c r="O1808" s="25" t="s">
        <v>5835</v>
      </c>
      <c r="R1808" s="22" t="s">
        <v>5940</v>
      </c>
    </row>
    <row r="1809" spans="3:18" ht="16">
      <c r="C1809" s="19" t="s">
        <v>1896</v>
      </c>
      <c r="D1809" s="20" t="s">
        <v>3740</v>
      </c>
      <c r="E1809" s="21" t="s">
        <v>6252</v>
      </c>
      <c r="F1809" s="21" t="s">
        <v>6080</v>
      </c>
      <c r="G1809" s="22" t="s">
        <v>7825</v>
      </c>
      <c r="H1809" s="22" t="s">
        <v>5835</v>
      </c>
      <c r="I1809" s="22">
        <v>5.2</v>
      </c>
      <c r="K1809" s="22" t="s">
        <v>5835</v>
      </c>
      <c r="N1809" s="25" t="s">
        <v>7646</v>
      </c>
      <c r="O1809" s="25" t="s">
        <v>5835</v>
      </c>
      <c r="R1809" s="22" t="s">
        <v>6202</v>
      </c>
    </row>
    <row r="1810" spans="3:18" ht="16">
      <c r="C1810" s="19" t="s">
        <v>1902</v>
      </c>
      <c r="D1810" s="20" t="s">
        <v>3746</v>
      </c>
      <c r="E1810" s="21" t="s">
        <v>6521</v>
      </c>
      <c r="F1810" s="21" t="s">
        <v>6314</v>
      </c>
      <c r="G1810" s="22" t="s">
        <v>5964</v>
      </c>
      <c r="H1810" s="22" t="s">
        <v>5835</v>
      </c>
      <c r="I1810" s="22">
        <v>5</v>
      </c>
      <c r="K1810" s="22" t="s">
        <v>5835</v>
      </c>
      <c r="N1810" s="25" t="s">
        <v>7647</v>
      </c>
      <c r="O1810" s="25" t="s">
        <v>5835</v>
      </c>
      <c r="R1810" s="22" t="s">
        <v>5964</v>
      </c>
    </row>
    <row r="1811" spans="3:18" ht="16">
      <c r="C1811" s="19" t="s">
        <v>1905</v>
      </c>
      <c r="D1811" s="20" t="s">
        <v>3748</v>
      </c>
      <c r="E1811" s="21" t="s">
        <v>6521</v>
      </c>
      <c r="F1811" s="21" t="s">
        <v>6314</v>
      </c>
      <c r="G1811" s="22" t="s">
        <v>5964</v>
      </c>
      <c r="H1811" s="22" t="s">
        <v>5835</v>
      </c>
      <c r="I1811" s="22">
        <v>7.6</v>
      </c>
      <c r="K1811" s="22" t="s">
        <v>5835</v>
      </c>
      <c r="N1811" s="25" t="s">
        <v>7648</v>
      </c>
      <c r="O1811" s="25" t="s">
        <v>5835</v>
      </c>
      <c r="R1811" s="22" t="s">
        <v>5964</v>
      </c>
    </row>
    <row r="1812" spans="3:18" ht="16">
      <c r="C1812" s="19" t="s">
        <v>1911</v>
      </c>
      <c r="D1812" s="20" t="s">
        <v>3753</v>
      </c>
      <c r="E1812" s="21" t="s">
        <v>5968</v>
      </c>
      <c r="F1812" s="21" t="s">
        <v>5969</v>
      </c>
      <c r="G1812" s="22" t="s">
        <v>7827</v>
      </c>
      <c r="H1812" s="22" t="s">
        <v>5835</v>
      </c>
      <c r="I1812" s="22">
        <v>17.2</v>
      </c>
      <c r="K1812" s="22" t="s">
        <v>5835</v>
      </c>
      <c r="N1812" s="25" t="s">
        <v>7649</v>
      </c>
      <c r="O1812" s="25" t="s">
        <v>5835</v>
      </c>
      <c r="R1812" s="22" t="s">
        <v>5940</v>
      </c>
    </row>
    <row r="1813" spans="3:18" ht="16">
      <c r="C1813" s="19" t="s">
        <v>1913</v>
      </c>
      <c r="D1813" s="20" t="s">
        <v>3755</v>
      </c>
      <c r="E1813" s="21" t="s">
        <v>5851</v>
      </c>
      <c r="F1813" s="21" t="s">
        <v>5852</v>
      </c>
      <c r="G1813" s="22" t="s">
        <v>5836</v>
      </c>
      <c r="H1813" s="22" t="s">
        <v>5835</v>
      </c>
      <c r="I1813" s="22">
        <v>35.9</v>
      </c>
      <c r="K1813" s="22" t="s">
        <v>5835</v>
      </c>
      <c r="N1813" s="25" t="s">
        <v>7650</v>
      </c>
      <c r="O1813" s="25" t="s">
        <v>5835</v>
      </c>
      <c r="R1813" s="22" t="s">
        <v>5836</v>
      </c>
    </row>
    <row r="1814" spans="3:18" ht="16">
      <c r="C1814" s="19" t="s">
        <v>1914</v>
      </c>
      <c r="D1814" s="20" t="s">
        <v>3756</v>
      </c>
      <c r="E1814" s="21" t="s">
        <v>5968</v>
      </c>
      <c r="F1814" s="21" t="s">
        <v>5969</v>
      </c>
      <c r="G1814" s="22" t="s">
        <v>7827</v>
      </c>
      <c r="H1814" s="22" t="s">
        <v>5835</v>
      </c>
      <c r="I1814" s="22">
        <v>15.6</v>
      </c>
      <c r="K1814" s="22" t="s">
        <v>5835</v>
      </c>
      <c r="N1814" s="25" t="s">
        <v>7651</v>
      </c>
      <c r="O1814" s="25" t="s">
        <v>5835</v>
      </c>
      <c r="R1814" s="22" t="s">
        <v>5940</v>
      </c>
    </row>
    <row r="1815" spans="3:18" ht="16">
      <c r="C1815" s="19" t="s">
        <v>1915</v>
      </c>
      <c r="D1815" s="20" t="s">
        <v>3757</v>
      </c>
      <c r="E1815" s="21" t="s">
        <v>5968</v>
      </c>
      <c r="F1815" s="21" t="s">
        <v>5969</v>
      </c>
      <c r="G1815" s="22" t="s">
        <v>5972</v>
      </c>
      <c r="H1815" s="22" t="s">
        <v>5835</v>
      </c>
      <c r="I1815" s="22">
        <v>132.19999999999999</v>
      </c>
      <c r="K1815" s="22" t="s">
        <v>5835</v>
      </c>
      <c r="N1815" s="25" t="s">
        <v>7652</v>
      </c>
      <c r="O1815" s="25" t="s">
        <v>5835</v>
      </c>
      <c r="R1815" s="22" t="s">
        <v>5972</v>
      </c>
    </row>
    <row r="1816" spans="3:18" ht="16">
      <c r="C1816" s="19" t="s">
        <v>1916</v>
      </c>
      <c r="D1816" s="20" t="s">
        <v>3758</v>
      </c>
      <c r="E1816" s="21" t="s">
        <v>5956</v>
      </c>
      <c r="F1816" s="21" t="s">
        <v>5957</v>
      </c>
      <c r="G1816" s="22" t="s">
        <v>5846</v>
      </c>
      <c r="H1816" s="22" t="s">
        <v>5835</v>
      </c>
      <c r="I1816" s="22">
        <v>75.5</v>
      </c>
      <c r="K1816" s="22" t="s">
        <v>5835</v>
      </c>
      <c r="N1816" s="25" t="s">
        <v>7653</v>
      </c>
      <c r="O1816" s="25" t="s">
        <v>5835</v>
      </c>
      <c r="R1816" s="22" t="s">
        <v>5846</v>
      </c>
    </row>
    <row r="1817" spans="3:18" ht="16">
      <c r="C1817" s="19" t="s">
        <v>1917</v>
      </c>
      <c r="D1817" s="20" t="s">
        <v>3759</v>
      </c>
      <c r="E1817" s="21" t="s">
        <v>5968</v>
      </c>
      <c r="F1817" s="21" t="s">
        <v>5969</v>
      </c>
      <c r="G1817" s="22" t="s">
        <v>5972</v>
      </c>
      <c r="H1817" s="22" t="s">
        <v>5835</v>
      </c>
      <c r="I1817" s="22">
        <v>96.3</v>
      </c>
      <c r="K1817" s="22" t="s">
        <v>5835</v>
      </c>
      <c r="N1817" s="25" t="s">
        <v>7654</v>
      </c>
      <c r="O1817" s="25" t="s">
        <v>5835</v>
      </c>
      <c r="R1817" s="22" t="s">
        <v>5972</v>
      </c>
    </row>
    <row r="1818" spans="3:18" ht="16">
      <c r="C1818" s="19" t="s">
        <v>1918</v>
      </c>
      <c r="D1818" s="20" t="s">
        <v>3760</v>
      </c>
      <c r="E1818" s="21" t="s">
        <v>5968</v>
      </c>
      <c r="F1818" s="21" t="s">
        <v>5969</v>
      </c>
      <c r="G1818" s="22" t="s">
        <v>7827</v>
      </c>
      <c r="H1818" s="22" t="s">
        <v>5835</v>
      </c>
      <c r="I1818" s="22">
        <v>8.4</v>
      </c>
      <c r="K1818" s="22" t="s">
        <v>5835</v>
      </c>
      <c r="N1818" s="25" t="s">
        <v>7655</v>
      </c>
      <c r="O1818" s="25" t="s">
        <v>5835</v>
      </c>
      <c r="R1818" s="22" t="s">
        <v>5940</v>
      </c>
    </row>
    <row r="1819" spans="3:18" ht="16">
      <c r="C1819" s="19" t="s">
        <v>1919</v>
      </c>
      <c r="D1819" s="20" t="s">
        <v>3761</v>
      </c>
      <c r="E1819" s="21" t="s">
        <v>5968</v>
      </c>
      <c r="F1819" s="21" t="s">
        <v>5969</v>
      </c>
      <c r="G1819" s="22" t="s">
        <v>7827</v>
      </c>
      <c r="H1819" s="22" t="s">
        <v>5835</v>
      </c>
      <c r="I1819" s="22">
        <v>6.1</v>
      </c>
      <c r="K1819" s="22" t="s">
        <v>5835</v>
      </c>
      <c r="N1819" s="25" t="s">
        <v>7656</v>
      </c>
      <c r="O1819" s="25" t="s">
        <v>5835</v>
      </c>
      <c r="R1819" s="22" t="s">
        <v>5940</v>
      </c>
    </row>
    <row r="1820" spans="3:18" ht="16">
      <c r="C1820" s="19" t="s">
        <v>1920</v>
      </c>
      <c r="D1820" s="20" t="s">
        <v>3762</v>
      </c>
      <c r="E1820" s="21" t="s">
        <v>6796</v>
      </c>
      <c r="F1820" s="21" t="s">
        <v>6680</v>
      </c>
      <c r="G1820" s="22" t="s">
        <v>5859</v>
      </c>
      <c r="H1820" s="22" t="s">
        <v>5835</v>
      </c>
      <c r="I1820" s="22">
        <v>45.8</v>
      </c>
      <c r="K1820" s="22" t="s">
        <v>5835</v>
      </c>
      <c r="N1820" s="25" t="s">
        <v>7657</v>
      </c>
      <c r="O1820" s="25" t="s">
        <v>5835</v>
      </c>
      <c r="R1820" s="22" t="s">
        <v>5859</v>
      </c>
    </row>
    <row r="1821" spans="3:18" ht="16">
      <c r="C1821" s="19" t="s">
        <v>1922</v>
      </c>
      <c r="D1821" s="20" t="s">
        <v>3764</v>
      </c>
      <c r="E1821" s="21" t="s">
        <v>5968</v>
      </c>
      <c r="F1821" s="21" t="s">
        <v>5969</v>
      </c>
      <c r="G1821" s="22" t="s">
        <v>5972</v>
      </c>
      <c r="H1821" s="22" t="s">
        <v>5835</v>
      </c>
      <c r="I1821" s="22">
        <v>180.4</v>
      </c>
      <c r="K1821" s="22" t="s">
        <v>5835</v>
      </c>
      <c r="N1821" s="25" t="s">
        <v>7658</v>
      </c>
      <c r="O1821" s="25" t="s">
        <v>5835</v>
      </c>
      <c r="R1821" s="22" t="s">
        <v>5972</v>
      </c>
    </row>
    <row r="1822" spans="3:18" ht="16">
      <c r="C1822" s="19" t="s">
        <v>1923</v>
      </c>
      <c r="D1822" s="20" t="s">
        <v>3765</v>
      </c>
      <c r="E1822" s="21" t="s">
        <v>6796</v>
      </c>
      <c r="F1822" s="21" t="s">
        <v>6680</v>
      </c>
      <c r="G1822" s="22" t="s">
        <v>5859</v>
      </c>
      <c r="H1822" s="22" t="s">
        <v>5835</v>
      </c>
      <c r="I1822" s="22">
        <v>14.8</v>
      </c>
      <c r="K1822" s="22" t="s">
        <v>5835</v>
      </c>
      <c r="N1822" s="25" t="s">
        <v>7659</v>
      </c>
      <c r="O1822" s="25" t="s">
        <v>5835</v>
      </c>
      <c r="R1822" s="22" t="s">
        <v>5859</v>
      </c>
    </row>
    <row r="1823" spans="3:18" ht="16">
      <c r="C1823" s="19" t="s">
        <v>1924</v>
      </c>
      <c r="D1823" s="20" t="s">
        <v>3766</v>
      </c>
      <c r="E1823" s="21" t="s">
        <v>5968</v>
      </c>
      <c r="F1823" s="21" t="s">
        <v>5969</v>
      </c>
      <c r="G1823" s="22" t="s">
        <v>7827</v>
      </c>
      <c r="H1823" s="22" t="s">
        <v>5835</v>
      </c>
      <c r="I1823" s="22">
        <v>9</v>
      </c>
      <c r="K1823" s="22" t="s">
        <v>5835</v>
      </c>
      <c r="N1823" s="25" t="s">
        <v>7660</v>
      </c>
      <c r="O1823" s="25" t="s">
        <v>5835</v>
      </c>
      <c r="R1823" s="22" t="s">
        <v>5940</v>
      </c>
    </row>
    <row r="1824" spans="3:18" ht="16">
      <c r="C1824" s="19" t="s">
        <v>1925</v>
      </c>
      <c r="D1824" s="20" t="s">
        <v>3767</v>
      </c>
      <c r="E1824" s="21" t="s">
        <v>6054</v>
      </c>
      <c r="F1824" s="21" t="s">
        <v>6055</v>
      </c>
      <c r="G1824" s="22" t="s">
        <v>5865</v>
      </c>
      <c r="H1824" s="22" t="s">
        <v>5835</v>
      </c>
      <c r="I1824" s="22">
        <v>26.2</v>
      </c>
      <c r="K1824" s="22" t="s">
        <v>5835</v>
      </c>
      <c r="N1824" s="25" t="s">
        <v>7661</v>
      </c>
      <c r="O1824" s="25" t="s">
        <v>5835</v>
      </c>
      <c r="R1824" s="22" t="s">
        <v>5865</v>
      </c>
    </row>
    <row r="1825" spans="3:18" ht="16">
      <c r="C1825" s="19" t="s">
        <v>1926</v>
      </c>
      <c r="D1825" s="20" t="s">
        <v>3768</v>
      </c>
      <c r="E1825" s="21" t="s">
        <v>5968</v>
      </c>
      <c r="F1825" s="21" t="s">
        <v>5969</v>
      </c>
      <c r="G1825" s="22" t="s">
        <v>5972</v>
      </c>
      <c r="H1825" s="22" t="s">
        <v>5835</v>
      </c>
      <c r="I1825" s="22">
        <v>64.2</v>
      </c>
      <c r="K1825" s="22" t="s">
        <v>5835</v>
      </c>
      <c r="N1825" s="25" t="s">
        <v>7662</v>
      </c>
      <c r="O1825" s="25" t="s">
        <v>5835</v>
      </c>
      <c r="R1825" s="22" t="s">
        <v>5972</v>
      </c>
    </row>
    <row r="1826" spans="3:18" ht="16">
      <c r="C1826" s="19" t="s">
        <v>1927</v>
      </c>
      <c r="D1826" s="20" t="s">
        <v>7663</v>
      </c>
      <c r="E1826" s="21" t="s">
        <v>5968</v>
      </c>
      <c r="F1826" s="21" t="s">
        <v>5969</v>
      </c>
      <c r="G1826" s="22" t="s">
        <v>7827</v>
      </c>
      <c r="H1826" s="22" t="s">
        <v>5835</v>
      </c>
      <c r="I1826" s="22">
        <v>224.7</v>
      </c>
      <c r="K1826" s="22" t="s">
        <v>5835</v>
      </c>
      <c r="N1826" s="25" t="s">
        <v>7664</v>
      </c>
      <c r="O1826" s="25" t="s">
        <v>5835</v>
      </c>
      <c r="R1826" s="22" t="s">
        <v>5940</v>
      </c>
    </row>
    <row r="1827" spans="3:18" ht="16">
      <c r="C1827" s="19" t="s">
        <v>1928</v>
      </c>
      <c r="D1827" s="20" t="s">
        <v>3769</v>
      </c>
      <c r="E1827" s="21" t="s">
        <v>6679</v>
      </c>
      <c r="F1827" s="21" t="s">
        <v>6680</v>
      </c>
      <c r="G1827" s="22" t="s">
        <v>5859</v>
      </c>
      <c r="H1827" s="22" t="s">
        <v>5835</v>
      </c>
      <c r="I1827" s="22">
        <v>19.3</v>
      </c>
      <c r="K1827" s="22" t="s">
        <v>5835</v>
      </c>
      <c r="N1827" s="25" t="s">
        <v>7665</v>
      </c>
      <c r="O1827" s="25" t="s">
        <v>5835</v>
      </c>
      <c r="R1827" s="22" t="s">
        <v>5859</v>
      </c>
    </row>
    <row r="1828" spans="3:18" ht="16">
      <c r="C1828" s="19" t="s">
        <v>1929</v>
      </c>
      <c r="D1828" s="20" t="s">
        <v>3770</v>
      </c>
      <c r="E1828" s="21" t="s">
        <v>5895</v>
      </c>
      <c r="F1828" s="21" t="s">
        <v>5896</v>
      </c>
      <c r="G1828" s="22" t="s">
        <v>7827</v>
      </c>
      <c r="H1828" s="22" t="s">
        <v>5835</v>
      </c>
      <c r="I1828" s="22">
        <v>17.600000000000001</v>
      </c>
      <c r="K1828" s="22" t="s">
        <v>5835</v>
      </c>
      <c r="N1828" s="25" t="s">
        <v>7666</v>
      </c>
      <c r="O1828" s="25" t="s">
        <v>5835</v>
      </c>
      <c r="R1828" s="22" t="s">
        <v>5940</v>
      </c>
    </row>
    <row r="1829" spans="3:18" ht="16">
      <c r="C1829" s="19" t="s">
        <v>1930</v>
      </c>
      <c r="D1829" s="20" t="s">
        <v>3771</v>
      </c>
      <c r="E1829" s="21" t="s">
        <v>5923</v>
      </c>
      <c r="F1829" s="21" t="s">
        <v>5831</v>
      </c>
      <c r="G1829" s="22" t="s">
        <v>5869</v>
      </c>
      <c r="H1829" s="22" t="s">
        <v>5835</v>
      </c>
      <c r="I1829" s="22">
        <v>134.5</v>
      </c>
      <c r="K1829" s="22" t="s">
        <v>5835</v>
      </c>
      <c r="N1829" s="25" t="s">
        <v>7667</v>
      </c>
      <c r="O1829" s="25" t="s">
        <v>5835</v>
      </c>
      <c r="R1829" s="22" t="s">
        <v>5869</v>
      </c>
    </row>
    <row r="1830" spans="3:18" ht="16">
      <c r="C1830" s="19" t="s">
        <v>1931</v>
      </c>
      <c r="D1830" s="20" t="s">
        <v>3772</v>
      </c>
      <c r="E1830" s="21" t="s">
        <v>5968</v>
      </c>
      <c r="F1830" s="21" t="s">
        <v>5969</v>
      </c>
      <c r="G1830" s="22" t="s">
        <v>5899</v>
      </c>
      <c r="H1830" s="22" t="s">
        <v>5835</v>
      </c>
      <c r="I1830" s="22">
        <v>149.9</v>
      </c>
      <c r="K1830" s="22" t="s">
        <v>5835</v>
      </c>
      <c r="N1830" s="25" t="s">
        <v>7668</v>
      </c>
      <c r="O1830" s="25" t="s">
        <v>5835</v>
      </c>
      <c r="R1830" s="22" t="s">
        <v>5899</v>
      </c>
    </row>
    <row r="1831" spans="3:18" ht="16">
      <c r="C1831" s="19" t="s">
        <v>1932</v>
      </c>
      <c r="D1831" s="20" t="s">
        <v>3773</v>
      </c>
      <c r="E1831" s="21" t="s">
        <v>6796</v>
      </c>
      <c r="F1831" s="21" t="s">
        <v>6680</v>
      </c>
      <c r="G1831" s="22" t="s">
        <v>5859</v>
      </c>
      <c r="H1831" s="22" t="s">
        <v>5835</v>
      </c>
      <c r="I1831" s="22">
        <v>99.1</v>
      </c>
      <c r="K1831" s="22" t="s">
        <v>5835</v>
      </c>
      <c r="N1831" s="25" t="s">
        <v>7669</v>
      </c>
      <c r="O1831" s="25" t="s">
        <v>5835</v>
      </c>
      <c r="R1831" s="22" t="s">
        <v>5859</v>
      </c>
    </row>
    <row r="1832" spans="3:18" ht="16">
      <c r="C1832" s="19" t="s">
        <v>1934</v>
      </c>
      <c r="D1832" s="20" t="s">
        <v>3775</v>
      </c>
      <c r="E1832" s="21" t="s">
        <v>5968</v>
      </c>
      <c r="F1832" s="21" t="s">
        <v>5969</v>
      </c>
      <c r="G1832" s="22" t="s">
        <v>7827</v>
      </c>
      <c r="H1832" s="22" t="s">
        <v>5835</v>
      </c>
      <c r="I1832" s="22">
        <v>19.600000000000001</v>
      </c>
      <c r="K1832" s="22" t="s">
        <v>5835</v>
      </c>
      <c r="N1832" s="25" t="s">
        <v>7670</v>
      </c>
      <c r="O1832" s="25" t="s">
        <v>5835</v>
      </c>
      <c r="R1832" s="22" t="s">
        <v>5940</v>
      </c>
    </row>
    <row r="1833" spans="3:18" ht="16">
      <c r="C1833" s="19" t="s">
        <v>1935</v>
      </c>
      <c r="D1833" s="20" t="s">
        <v>3776</v>
      </c>
      <c r="E1833" s="21" t="s">
        <v>5968</v>
      </c>
      <c r="F1833" s="21" t="s">
        <v>5969</v>
      </c>
      <c r="G1833" s="22" t="s">
        <v>5865</v>
      </c>
      <c r="H1833" s="22" t="s">
        <v>5835</v>
      </c>
      <c r="I1833" s="22">
        <v>89.5</v>
      </c>
      <c r="K1833" s="22" t="s">
        <v>5835</v>
      </c>
      <c r="N1833" s="25" t="s">
        <v>7671</v>
      </c>
      <c r="O1833" s="25" t="s">
        <v>5835</v>
      </c>
      <c r="R1833" s="22" t="s">
        <v>5865</v>
      </c>
    </row>
    <row r="1834" spans="3:18" ht="16">
      <c r="C1834" s="19" t="s">
        <v>1983</v>
      </c>
      <c r="D1834" s="20" t="s">
        <v>3824</v>
      </c>
      <c r="E1834" s="21" t="s">
        <v>5968</v>
      </c>
      <c r="F1834" s="21" t="s">
        <v>5969</v>
      </c>
      <c r="G1834" s="22" t="s">
        <v>5849</v>
      </c>
      <c r="H1834" s="22" t="s">
        <v>5835</v>
      </c>
      <c r="I1834" s="22">
        <v>7.8</v>
      </c>
      <c r="K1834" s="22" t="s">
        <v>5835</v>
      </c>
      <c r="N1834" s="25" t="s">
        <v>7672</v>
      </c>
      <c r="O1834" s="25" t="s">
        <v>5835</v>
      </c>
      <c r="R1834" s="22" t="s">
        <v>5849</v>
      </c>
    </row>
    <row r="1835" spans="3:18" ht="16">
      <c r="C1835" s="19" t="s">
        <v>1984</v>
      </c>
      <c r="D1835" s="20" t="s">
        <v>3825</v>
      </c>
      <c r="E1835" s="21" t="s">
        <v>5895</v>
      </c>
      <c r="F1835" s="21" t="s">
        <v>5896</v>
      </c>
      <c r="G1835" s="22" t="s">
        <v>7827</v>
      </c>
      <c r="H1835" s="22" t="s">
        <v>5835</v>
      </c>
      <c r="I1835" s="22">
        <v>19.5</v>
      </c>
      <c r="K1835" s="22" t="s">
        <v>5835</v>
      </c>
      <c r="N1835" s="25" t="s">
        <v>7673</v>
      </c>
      <c r="O1835" s="25" t="s">
        <v>5835</v>
      </c>
      <c r="R1835" s="22" t="s">
        <v>5940</v>
      </c>
    </row>
    <row r="1836" spans="3:18" ht="16">
      <c r="C1836" s="19" t="s">
        <v>1985</v>
      </c>
      <c r="D1836" s="20" t="s">
        <v>3826</v>
      </c>
      <c r="E1836" s="21" t="s">
        <v>5926</v>
      </c>
      <c r="F1836" s="21" t="s">
        <v>5927</v>
      </c>
      <c r="G1836" s="22" t="s">
        <v>5843</v>
      </c>
      <c r="H1836" s="22" t="s">
        <v>5835</v>
      </c>
      <c r="I1836" s="22">
        <v>44.4</v>
      </c>
      <c r="K1836" s="22" t="s">
        <v>5835</v>
      </c>
      <c r="N1836" s="25" t="s">
        <v>7674</v>
      </c>
      <c r="O1836" s="25" t="s">
        <v>5835</v>
      </c>
      <c r="R1836" s="22" t="s">
        <v>5843</v>
      </c>
    </row>
    <row r="1837" spans="3:18" ht="16">
      <c r="C1837" s="19" t="s">
        <v>1988</v>
      </c>
      <c r="D1837" s="20" t="s">
        <v>3829</v>
      </c>
      <c r="E1837" s="21" t="s">
        <v>6796</v>
      </c>
      <c r="F1837" s="21" t="s">
        <v>6680</v>
      </c>
      <c r="G1837" s="22" t="s">
        <v>5859</v>
      </c>
      <c r="H1837" s="22" t="s">
        <v>5835</v>
      </c>
      <c r="I1837" s="22">
        <v>8.1999999999999993</v>
      </c>
      <c r="K1837" s="22" t="s">
        <v>5835</v>
      </c>
      <c r="N1837" s="25" t="s">
        <v>7675</v>
      </c>
      <c r="O1837" s="25" t="s">
        <v>5835</v>
      </c>
      <c r="R1837" s="22" t="s">
        <v>5859</v>
      </c>
    </row>
    <row r="1838" spans="3:18" ht="16">
      <c r="C1838" s="19" t="s">
        <v>1989</v>
      </c>
      <c r="D1838" s="20" t="s">
        <v>3830</v>
      </c>
      <c r="E1838" s="21" t="s">
        <v>6054</v>
      </c>
      <c r="F1838" s="21" t="s">
        <v>6055</v>
      </c>
      <c r="G1838" s="22" t="s">
        <v>5865</v>
      </c>
      <c r="H1838" s="22" t="s">
        <v>5835</v>
      </c>
      <c r="I1838" s="22">
        <v>10.7</v>
      </c>
      <c r="K1838" s="22" t="s">
        <v>5835</v>
      </c>
      <c r="N1838" s="25" t="s">
        <v>7676</v>
      </c>
      <c r="O1838" s="25" t="s">
        <v>5835</v>
      </c>
      <c r="R1838" s="22" t="s">
        <v>5865</v>
      </c>
    </row>
    <row r="1839" spans="3:18" ht="16">
      <c r="C1839" s="19" t="s">
        <v>7677</v>
      </c>
      <c r="D1839" s="20" t="s">
        <v>7678</v>
      </c>
      <c r="E1839" s="21" t="s">
        <v>6074</v>
      </c>
      <c r="F1839" s="21" t="s">
        <v>6075</v>
      </c>
      <c r="G1839" s="22" t="s">
        <v>5882</v>
      </c>
      <c r="H1839" s="22" t="s">
        <v>5835</v>
      </c>
      <c r="I1839" s="22">
        <v>52.6</v>
      </c>
      <c r="K1839" s="22" t="s">
        <v>5835</v>
      </c>
      <c r="N1839" s="25" t="s">
        <v>7679</v>
      </c>
      <c r="O1839" s="25" t="s">
        <v>5835</v>
      </c>
      <c r="R1839" s="22" t="s">
        <v>5882</v>
      </c>
    </row>
    <row r="1840" spans="3:18" ht="16">
      <c r="C1840" s="19" t="s">
        <v>7680</v>
      </c>
      <c r="D1840" s="20" t="s">
        <v>7681</v>
      </c>
      <c r="E1840" s="21" t="s">
        <v>6074</v>
      </c>
      <c r="F1840" s="21" t="s">
        <v>6075</v>
      </c>
      <c r="G1840" s="22" t="s">
        <v>5891</v>
      </c>
      <c r="H1840" s="22" t="s">
        <v>5835</v>
      </c>
      <c r="I1840" s="22">
        <v>49.9</v>
      </c>
      <c r="K1840" s="22" t="s">
        <v>5835</v>
      </c>
      <c r="N1840" s="25" t="s">
        <v>7682</v>
      </c>
      <c r="O1840" s="25" t="s">
        <v>5835</v>
      </c>
      <c r="R1840" s="22" t="s">
        <v>5891</v>
      </c>
    </row>
    <row r="1841" spans="3:18" ht="16">
      <c r="C1841" s="19" t="s">
        <v>7683</v>
      </c>
      <c r="D1841" s="20" t="s">
        <v>7684</v>
      </c>
      <c r="E1841" s="21" t="s">
        <v>5968</v>
      </c>
      <c r="F1841" s="21" t="s">
        <v>5969</v>
      </c>
      <c r="G1841" s="22" t="s">
        <v>5974</v>
      </c>
      <c r="H1841" s="22" t="s">
        <v>5835</v>
      </c>
      <c r="I1841" s="22">
        <v>83.6</v>
      </c>
      <c r="K1841" s="22" t="s">
        <v>5835</v>
      </c>
      <c r="N1841" s="25" t="s">
        <v>7685</v>
      </c>
      <c r="O1841" s="25" t="s">
        <v>5835</v>
      </c>
      <c r="R1841" s="22" t="s">
        <v>5974</v>
      </c>
    </row>
    <row r="1842" spans="3:18" ht="16">
      <c r="C1842" s="19" t="s">
        <v>7686</v>
      </c>
      <c r="D1842" s="20" t="s">
        <v>7687</v>
      </c>
      <c r="E1842" s="21" t="s">
        <v>6254</v>
      </c>
      <c r="F1842" s="21" t="s">
        <v>8</v>
      </c>
      <c r="G1842" s="22" t="s">
        <v>5935</v>
      </c>
      <c r="H1842" s="22" t="s">
        <v>7828</v>
      </c>
      <c r="I1842" s="22">
        <v>95.4</v>
      </c>
      <c r="K1842" s="22" t="s">
        <v>5835</v>
      </c>
      <c r="N1842" s="25" t="s">
        <v>7688</v>
      </c>
      <c r="O1842" s="25" t="s">
        <v>5835</v>
      </c>
      <c r="R1842" s="22" t="s">
        <v>5935</v>
      </c>
    </row>
    <row r="1843" spans="3:18" ht="16">
      <c r="C1843" s="19" t="s">
        <v>7689</v>
      </c>
      <c r="D1843" s="20" t="s">
        <v>7690</v>
      </c>
      <c r="E1843" s="21" t="s">
        <v>5968</v>
      </c>
      <c r="F1843" s="21" t="s">
        <v>5969</v>
      </c>
      <c r="G1843" s="22" t="s">
        <v>7827</v>
      </c>
      <c r="H1843" s="22" t="s">
        <v>5835</v>
      </c>
      <c r="I1843" s="22">
        <v>27.5</v>
      </c>
      <c r="K1843" s="22" t="s">
        <v>5835</v>
      </c>
      <c r="N1843" s="25" t="s">
        <v>7691</v>
      </c>
      <c r="O1843" s="25" t="s">
        <v>5835</v>
      </c>
      <c r="R1843" s="22" t="s">
        <v>5940</v>
      </c>
    </row>
    <row r="1844" spans="3:18" ht="16">
      <c r="C1844" s="19" t="s">
        <v>7692</v>
      </c>
      <c r="D1844" s="20" t="s">
        <v>7693</v>
      </c>
      <c r="E1844" s="21" t="s">
        <v>5968</v>
      </c>
      <c r="F1844" s="21" t="s">
        <v>5969</v>
      </c>
      <c r="G1844" s="22" t="s">
        <v>7827</v>
      </c>
      <c r="H1844" s="22" t="s">
        <v>5835</v>
      </c>
      <c r="I1844" s="22">
        <v>11.4</v>
      </c>
      <c r="K1844" s="22" t="s">
        <v>5835</v>
      </c>
      <c r="N1844" s="25" t="s">
        <v>7694</v>
      </c>
      <c r="O1844" s="25" t="s">
        <v>5835</v>
      </c>
      <c r="R1844" s="22" t="s">
        <v>5940</v>
      </c>
    </row>
    <row r="1845" spans="3:18" ht="16">
      <c r="C1845" s="19" t="s">
        <v>7695</v>
      </c>
      <c r="D1845" s="20" t="s">
        <v>7696</v>
      </c>
      <c r="E1845" s="21" t="s">
        <v>5851</v>
      </c>
      <c r="F1845" s="21" t="s">
        <v>5852</v>
      </c>
      <c r="G1845" s="22" t="s">
        <v>5849</v>
      </c>
      <c r="H1845" s="22" t="s">
        <v>5835</v>
      </c>
      <c r="I1845" s="22">
        <v>12.5</v>
      </c>
      <c r="K1845" s="22" t="s">
        <v>5835</v>
      </c>
      <c r="N1845" s="25" t="s">
        <v>7697</v>
      </c>
      <c r="O1845" s="25" t="s">
        <v>5835</v>
      </c>
      <c r="R1845" s="22" t="s">
        <v>5849</v>
      </c>
    </row>
    <row r="1846" spans="3:18" ht="16">
      <c r="C1846" s="19" t="s">
        <v>7698</v>
      </c>
      <c r="D1846" s="20" t="s">
        <v>7699</v>
      </c>
      <c r="E1846" s="21" t="s">
        <v>6096</v>
      </c>
      <c r="F1846" s="21" t="s">
        <v>5896</v>
      </c>
      <c r="G1846" s="22" t="s">
        <v>5887</v>
      </c>
      <c r="H1846" s="22" t="s">
        <v>7828</v>
      </c>
      <c r="I1846" s="22">
        <v>327.9</v>
      </c>
      <c r="K1846" s="22" t="s">
        <v>5835</v>
      </c>
      <c r="N1846" s="25" t="s">
        <v>7700</v>
      </c>
      <c r="O1846" s="25" t="s">
        <v>5835</v>
      </c>
      <c r="R1846" s="22" t="s">
        <v>7701</v>
      </c>
    </row>
    <row r="1847" spans="3:18" ht="16">
      <c r="C1847" s="19" t="s">
        <v>7702</v>
      </c>
      <c r="D1847" s="20" t="s">
        <v>7703</v>
      </c>
      <c r="E1847" s="21" t="s">
        <v>6166</v>
      </c>
      <c r="F1847" s="21" t="s">
        <v>6080</v>
      </c>
      <c r="G1847" s="22" t="s">
        <v>7825</v>
      </c>
      <c r="H1847" s="22" t="s">
        <v>5835</v>
      </c>
      <c r="I1847" s="22">
        <v>12.5</v>
      </c>
      <c r="K1847" s="22" t="s">
        <v>5835</v>
      </c>
      <c r="N1847" s="25" t="s">
        <v>7704</v>
      </c>
      <c r="O1847" s="25" t="s">
        <v>5835</v>
      </c>
      <c r="R1847" s="22" t="s">
        <v>6202</v>
      </c>
    </row>
    <row r="1848" spans="3:18" ht="16">
      <c r="C1848" s="19" t="s">
        <v>7705</v>
      </c>
      <c r="D1848" s="20" t="s">
        <v>7706</v>
      </c>
      <c r="E1848" s="21" t="s">
        <v>5851</v>
      </c>
      <c r="F1848" s="21" t="s">
        <v>5852</v>
      </c>
      <c r="G1848" s="22" t="s">
        <v>5836</v>
      </c>
      <c r="H1848" s="22" t="s">
        <v>5835</v>
      </c>
      <c r="I1848" s="22">
        <v>19.899999999999999</v>
      </c>
      <c r="K1848" s="22"/>
      <c r="N1848" s="25" t="s">
        <v>7707</v>
      </c>
      <c r="O1848" s="25"/>
      <c r="R1848" s="22" t="s">
        <v>7708</v>
      </c>
    </row>
    <row r="1849" spans="3:18" ht="16">
      <c r="C1849" s="19" t="s">
        <v>7709</v>
      </c>
      <c r="D1849" s="20" t="s">
        <v>7710</v>
      </c>
      <c r="E1849" s="21" t="s">
        <v>6067</v>
      </c>
      <c r="F1849" s="21" t="s">
        <v>17</v>
      </c>
      <c r="G1849" s="22" t="s">
        <v>5920</v>
      </c>
      <c r="H1849" s="22" t="s">
        <v>5835</v>
      </c>
      <c r="I1849" s="22">
        <v>52.6</v>
      </c>
      <c r="K1849" s="22"/>
      <c r="N1849" s="25" t="s">
        <v>7711</v>
      </c>
      <c r="O1849" s="25"/>
      <c r="R1849" s="22" t="s">
        <v>7712</v>
      </c>
    </row>
    <row r="1850" spans="3:18" ht="16">
      <c r="C1850" s="19" t="s">
        <v>7713</v>
      </c>
      <c r="D1850" s="20" t="s">
        <v>7714</v>
      </c>
      <c r="E1850" s="21" t="s">
        <v>7715</v>
      </c>
      <c r="F1850" s="21"/>
      <c r="G1850" s="22" t="s">
        <v>5875</v>
      </c>
      <c r="H1850" s="22" t="s">
        <v>7828</v>
      </c>
      <c r="I1850" s="22">
        <v>287.2</v>
      </c>
      <c r="K1850" s="22"/>
      <c r="N1850" s="25" t="s">
        <v>7716</v>
      </c>
      <c r="O1850" s="25"/>
      <c r="R1850" s="22" t="s">
        <v>7717</v>
      </c>
    </row>
    <row r="1851" spans="3:18" ht="16">
      <c r="C1851" s="19" t="s">
        <v>7718</v>
      </c>
      <c r="D1851" s="20" t="s">
        <v>7719</v>
      </c>
      <c r="E1851" s="21" t="s">
        <v>7720</v>
      </c>
      <c r="F1851" s="21"/>
      <c r="G1851" s="22" t="s">
        <v>5891</v>
      </c>
      <c r="H1851" s="22" t="s">
        <v>7828</v>
      </c>
      <c r="I1851" s="22">
        <v>1829</v>
      </c>
      <c r="K1851" s="22"/>
      <c r="N1851" s="25" t="s">
        <v>7721</v>
      </c>
      <c r="O1851" s="25"/>
      <c r="R1851" s="22" t="s">
        <v>7722</v>
      </c>
    </row>
    <row r="1852" spans="3:18" ht="16">
      <c r="C1852" s="19" t="s">
        <v>7723</v>
      </c>
      <c r="D1852" s="20" t="s">
        <v>7724</v>
      </c>
      <c r="E1852" s="21" t="s">
        <v>7725</v>
      </c>
      <c r="F1852" s="21"/>
      <c r="G1852" s="22" t="s">
        <v>7827</v>
      </c>
      <c r="H1852" s="22" t="s">
        <v>5835</v>
      </c>
      <c r="I1852" s="22">
        <v>81.599999999999994</v>
      </c>
      <c r="K1852" s="22"/>
      <c r="N1852" s="25" t="s">
        <v>7726</v>
      </c>
      <c r="O1852" s="25"/>
      <c r="R1852" s="22" t="s">
        <v>5940</v>
      </c>
    </row>
    <row r="1853" spans="3:18" ht="16">
      <c r="C1853" s="19" t="s">
        <v>526</v>
      </c>
      <c r="D1853" s="20" t="s">
        <v>2468</v>
      </c>
      <c r="E1853" s="21" t="s">
        <v>6001</v>
      </c>
      <c r="F1853" s="21"/>
      <c r="G1853" s="22" t="s">
        <v>5970</v>
      </c>
      <c r="H1853" s="22" t="s">
        <v>7828</v>
      </c>
      <c r="I1853" s="22">
        <v>777.7</v>
      </c>
      <c r="K1853" s="22"/>
      <c r="N1853" s="25"/>
      <c r="O1853" s="25"/>
      <c r="R1853" s="22" t="s">
        <v>5970</v>
      </c>
    </row>
    <row r="1854" spans="3:18" ht="16">
      <c r="C1854" s="19" t="s">
        <v>1653</v>
      </c>
      <c r="D1854" s="20" t="s">
        <v>3560</v>
      </c>
      <c r="E1854" s="21" t="s">
        <v>6166</v>
      </c>
      <c r="F1854" s="21"/>
      <c r="G1854" s="22" t="s">
        <v>5920</v>
      </c>
      <c r="H1854" s="22" t="s">
        <v>5835</v>
      </c>
      <c r="I1854" s="22">
        <v>67.3</v>
      </c>
      <c r="K1854" s="22"/>
      <c r="N1854" s="25"/>
      <c r="O1854" s="25"/>
      <c r="R1854" s="22" t="s">
        <v>5920</v>
      </c>
    </row>
    <row r="1855" spans="3:18" ht="16">
      <c r="C1855" s="19" t="s">
        <v>1852</v>
      </c>
      <c r="D1855" s="20" t="s">
        <v>3697</v>
      </c>
      <c r="E1855" s="21" t="s">
        <v>6521</v>
      </c>
      <c r="F1855" s="21"/>
      <c r="G1855" s="22" t="s">
        <v>5958</v>
      </c>
      <c r="H1855" s="22" t="s">
        <v>5835</v>
      </c>
      <c r="I1855" s="22">
        <v>15.7</v>
      </c>
      <c r="K1855" s="22"/>
      <c r="N1855" s="25"/>
      <c r="O1855" s="25"/>
      <c r="R1855" s="22" t="s">
        <v>5958</v>
      </c>
    </row>
    <row r="1856" spans="3:18" ht="16">
      <c r="C1856" s="19" t="s">
        <v>1705</v>
      </c>
      <c r="D1856" s="20" t="s">
        <v>7727</v>
      </c>
      <c r="E1856" s="21" t="s">
        <v>6257</v>
      </c>
      <c r="F1856" s="21"/>
      <c r="G1856" s="22" t="s">
        <v>5937</v>
      </c>
      <c r="H1856" s="22" t="s">
        <v>7828</v>
      </c>
      <c r="I1856" s="22">
        <v>255.1</v>
      </c>
      <c r="K1856" s="22"/>
      <c r="N1856" s="25"/>
      <c r="O1856" s="25"/>
      <c r="R1856" s="22" t="s">
        <v>5937</v>
      </c>
    </row>
    <row r="1857" spans="3:18" ht="16">
      <c r="C1857" s="19" t="s">
        <v>1725</v>
      </c>
      <c r="D1857" s="20" t="s">
        <v>3594</v>
      </c>
      <c r="E1857" s="21" t="s">
        <v>6413</v>
      </c>
      <c r="F1857" s="21"/>
      <c r="G1857" s="22" t="s">
        <v>5849</v>
      </c>
      <c r="H1857" s="22" t="s">
        <v>5835</v>
      </c>
      <c r="I1857" s="22">
        <v>35.5</v>
      </c>
      <c r="K1857" s="22"/>
      <c r="N1857" s="25"/>
      <c r="O1857" s="25"/>
      <c r="R1857" s="22" t="s">
        <v>5849</v>
      </c>
    </row>
    <row r="1858" spans="3:18" ht="16">
      <c r="C1858" s="19" t="s">
        <v>1723</v>
      </c>
      <c r="D1858" s="20" t="s">
        <v>3593</v>
      </c>
      <c r="E1858" s="21" t="s">
        <v>6254</v>
      </c>
      <c r="F1858" s="21"/>
      <c r="G1858" s="22" t="s">
        <v>5935</v>
      </c>
      <c r="H1858" s="22" t="s">
        <v>5835</v>
      </c>
      <c r="I1858" s="22">
        <v>52.9</v>
      </c>
      <c r="K1858" s="22"/>
      <c r="N1858" s="25"/>
      <c r="O1858" s="25"/>
      <c r="R1858" s="22" t="s">
        <v>5935</v>
      </c>
    </row>
    <row r="1859" spans="3:18" ht="16">
      <c r="C1859" s="19" t="s">
        <v>1726</v>
      </c>
      <c r="D1859" s="20" t="s">
        <v>3595</v>
      </c>
      <c r="E1859" s="21" t="s">
        <v>6413</v>
      </c>
      <c r="F1859" s="21"/>
      <c r="G1859" s="22" t="s">
        <v>5849</v>
      </c>
      <c r="H1859" s="22" t="s">
        <v>5835</v>
      </c>
      <c r="I1859" s="22">
        <v>24.9</v>
      </c>
      <c r="K1859" s="22"/>
      <c r="N1859" s="25"/>
      <c r="O1859" s="25"/>
      <c r="R1859" s="22" t="s">
        <v>5849</v>
      </c>
    </row>
    <row r="1860" spans="3:18" ht="16">
      <c r="C1860" s="19" t="s">
        <v>7728</v>
      </c>
      <c r="D1860" s="20" t="s">
        <v>7729</v>
      </c>
      <c r="E1860" s="21"/>
      <c r="F1860" s="21"/>
      <c r="G1860" s="22" t="s">
        <v>5937</v>
      </c>
      <c r="H1860" s="22" t="s">
        <v>5835</v>
      </c>
      <c r="I1860" s="22">
        <v>57.4</v>
      </c>
      <c r="K1860" s="22"/>
      <c r="N1860" s="25"/>
      <c r="O1860" s="25"/>
      <c r="R1860" s="22" t="s">
        <v>5937</v>
      </c>
    </row>
    <row r="1861" spans="3:18" ht="16">
      <c r="C1861" s="19" t="s">
        <v>7730</v>
      </c>
      <c r="D1861" s="20" t="s">
        <v>7731</v>
      </c>
      <c r="E1861" s="21"/>
      <c r="F1861" s="21"/>
      <c r="G1861" s="22" t="s">
        <v>5988</v>
      </c>
      <c r="H1861" s="22" t="s">
        <v>5835</v>
      </c>
      <c r="I1861" s="22">
        <v>35.1</v>
      </c>
      <c r="K1861" s="22"/>
      <c r="N1861" s="25"/>
      <c r="O1861" s="25"/>
      <c r="R1861" s="22" t="s">
        <v>5988</v>
      </c>
    </row>
    <row r="1862" spans="3:18" ht="16">
      <c r="C1862" s="19" t="s">
        <v>7732</v>
      </c>
      <c r="D1862" s="20" t="s">
        <v>7733</v>
      </c>
      <c r="E1862" s="21"/>
      <c r="F1862" s="21"/>
      <c r="G1862" s="22" t="s">
        <v>7827</v>
      </c>
      <c r="H1862" s="22" t="s">
        <v>7828</v>
      </c>
      <c r="I1862" s="22">
        <v>466.5</v>
      </c>
      <c r="K1862" s="22"/>
      <c r="N1862" s="25"/>
      <c r="O1862" s="25"/>
      <c r="R1862" s="22" t="s">
        <v>5940</v>
      </c>
    </row>
    <row r="1863" spans="3:18" ht="16">
      <c r="C1863" s="19" t="s">
        <v>7734</v>
      </c>
      <c r="D1863" s="20" t="s">
        <v>7735</v>
      </c>
      <c r="E1863" s="21"/>
      <c r="F1863" s="21"/>
      <c r="G1863" s="22" t="s">
        <v>5920</v>
      </c>
      <c r="H1863" s="22" t="s">
        <v>5835</v>
      </c>
      <c r="I1863" s="22">
        <v>61.4</v>
      </c>
      <c r="K1863" s="22"/>
      <c r="N1863" s="25"/>
      <c r="O1863" s="25"/>
      <c r="R1863" s="22" t="s">
        <v>7712</v>
      </c>
    </row>
    <row r="1864" spans="3:18" ht="16">
      <c r="C1864" s="19" t="s">
        <v>7736</v>
      </c>
      <c r="D1864" s="20" t="s">
        <v>7737</v>
      </c>
      <c r="E1864" s="21"/>
      <c r="F1864" s="21"/>
      <c r="G1864" s="22" t="s">
        <v>5958</v>
      </c>
      <c r="H1864" s="22" t="s">
        <v>5835</v>
      </c>
      <c r="I1864" s="22">
        <v>21.3</v>
      </c>
      <c r="K1864" s="22"/>
      <c r="N1864" s="25"/>
      <c r="O1864" s="25"/>
      <c r="R1864" s="22" t="s">
        <v>7738</v>
      </c>
    </row>
    <row r="1865" spans="3:18" ht="16">
      <c r="C1865" s="19" t="s">
        <v>7739</v>
      </c>
      <c r="D1865" s="20" t="s">
        <v>7740</v>
      </c>
      <c r="E1865" s="21"/>
      <c r="F1865" s="21"/>
      <c r="G1865" s="22" t="s">
        <v>7827</v>
      </c>
      <c r="H1865" s="22" t="s">
        <v>5835</v>
      </c>
      <c r="I1865" s="22">
        <v>13.2</v>
      </c>
      <c r="K1865" s="22"/>
      <c r="N1865" s="25"/>
      <c r="O1865" s="25"/>
      <c r="R1865" s="22" t="s">
        <v>5940</v>
      </c>
    </row>
    <row r="1866" spans="3:18" ht="16">
      <c r="C1866" s="19" t="s">
        <v>7741</v>
      </c>
      <c r="D1866" s="20" t="s">
        <v>7742</v>
      </c>
      <c r="E1866" s="21"/>
      <c r="F1866" s="21"/>
      <c r="G1866" s="22" t="s">
        <v>5891</v>
      </c>
      <c r="H1866" s="22" t="s">
        <v>5835</v>
      </c>
      <c r="I1866" s="22">
        <v>44.6</v>
      </c>
      <c r="K1866" s="22"/>
      <c r="N1866" s="25"/>
      <c r="O1866" s="25"/>
      <c r="R1866" s="22" t="s">
        <v>7722</v>
      </c>
    </row>
    <row r="1867" spans="3:18" ht="16">
      <c r="C1867" s="19" t="s">
        <v>7743</v>
      </c>
      <c r="D1867" s="20" t="s">
        <v>7744</v>
      </c>
      <c r="E1867" s="21"/>
      <c r="F1867" s="21"/>
      <c r="G1867" s="22" t="s">
        <v>5843</v>
      </c>
      <c r="H1867" s="22" t="s">
        <v>5835</v>
      </c>
      <c r="I1867" s="22">
        <v>26.1</v>
      </c>
      <c r="K1867" s="22"/>
      <c r="N1867" s="25"/>
      <c r="O1867" s="25"/>
      <c r="R1867" s="22" t="s">
        <v>7745</v>
      </c>
    </row>
    <row r="1868" spans="3:18" ht="16">
      <c r="C1868" s="19" t="s">
        <v>7746</v>
      </c>
      <c r="D1868" s="20" t="s">
        <v>7747</v>
      </c>
      <c r="E1868" s="21"/>
      <c r="F1868" s="21"/>
      <c r="G1868" s="22" t="s">
        <v>7827</v>
      </c>
      <c r="H1868" s="22" t="s">
        <v>5835</v>
      </c>
      <c r="I1868" s="22">
        <v>33.299999999999997</v>
      </c>
      <c r="K1868" s="22"/>
      <c r="N1868" s="25"/>
      <c r="O1868" s="25"/>
      <c r="R1868" s="22" t="s">
        <v>5940</v>
      </c>
    </row>
    <row r="1869" spans="3:18" ht="16">
      <c r="C1869" s="19" t="s">
        <v>7748</v>
      </c>
      <c r="D1869" s="20" t="s">
        <v>7749</v>
      </c>
      <c r="E1869" s="21"/>
      <c r="F1869" s="21"/>
      <c r="G1869" s="22" t="s">
        <v>7827</v>
      </c>
      <c r="H1869" s="22" t="s">
        <v>5835</v>
      </c>
      <c r="I1869" s="22">
        <v>68.5</v>
      </c>
      <c r="K1869" s="22"/>
      <c r="N1869" s="25"/>
      <c r="O1869" s="25"/>
      <c r="R1869" s="22" t="s">
        <v>5940</v>
      </c>
    </row>
    <row r="1870" spans="3:18" ht="16">
      <c r="C1870" s="19" t="s">
        <v>7750</v>
      </c>
      <c r="D1870" s="20" t="s">
        <v>7751</v>
      </c>
      <c r="E1870" s="21"/>
      <c r="F1870" s="21"/>
      <c r="G1870" s="22" t="s">
        <v>7825</v>
      </c>
      <c r="H1870" s="22" t="s">
        <v>7828</v>
      </c>
      <c r="I1870" s="22">
        <v>558.1</v>
      </c>
      <c r="K1870" s="22"/>
      <c r="N1870" s="25"/>
      <c r="O1870" s="25"/>
      <c r="R1870" s="22" t="s">
        <v>6202</v>
      </c>
    </row>
    <row r="1871" spans="3:18" ht="16">
      <c r="C1871" s="19" t="s">
        <v>7752</v>
      </c>
      <c r="D1871" s="20" t="s">
        <v>7753</v>
      </c>
      <c r="E1871" s="21"/>
      <c r="F1871" s="21"/>
      <c r="G1871" s="22" t="s">
        <v>5843</v>
      </c>
      <c r="H1871" s="22" t="s">
        <v>5835</v>
      </c>
      <c r="I1871" s="22">
        <v>22.8</v>
      </c>
      <c r="K1871" s="22"/>
      <c r="N1871" s="25"/>
      <c r="O1871" s="25"/>
      <c r="R1871" s="22" t="s">
        <v>7745</v>
      </c>
    </row>
    <row r="1872" spans="3:18" ht="16">
      <c r="C1872" s="19" t="s">
        <v>7754</v>
      </c>
      <c r="D1872" s="20" t="s">
        <v>7755</v>
      </c>
      <c r="E1872" s="21"/>
      <c r="F1872" s="21"/>
      <c r="G1872" s="22" t="s">
        <v>5970</v>
      </c>
      <c r="H1872" s="22" t="s">
        <v>7828</v>
      </c>
      <c r="I1872" s="22">
        <v>396.1</v>
      </c>
      <c r="K1872" s="22"/>
      <c r="N1872" s="25"/>
      <c r="O1872" s="25"/>
      <c r="R1872" s="22" t="s">
        <v>7756</v>
      </c>
    </row>
    <row r="1873" spans="3:18" ht="16">
      <c r="C1873" s="19" t="s">
        <v>7757</v>
      </c>
      <c r="D1873" s="20" t="s">
        <v>7758</v>
      </c>
      <c r="E1873" s="21"/>
      <c r="F1873" s="21"/>
      <c r="G1873" s="22" t="s">
        <v>7827</v>
      </c>
      <c r="H1873" s="22"/>
      <c r="I1873" s="22">
        <v>59.7</v>
      </c>
      <c r="K1873" s="22"/>
      <c r="N1873" s="25"/>
      <c r="O1873" s="25"/>
      <c r="R1873" s="22" t="s">
        <v>5940</v>
      </c>
    </row>
    <row r="1874" spans="3:18" ht="16">
      <c r="C1874" s="19" t="s">
        <v>7759</v>
      </c>
      <c r="D1874" s="20" t="s">
        <v>7760</v>
      </c>
      <c r="E1874" s="21"/>
      <c r="F1874" s="21"/>
      <c r="G1874" s="22" t="s">
        <v>7827</v>
      </c>
      <c r="H1874" s="22"/>
      <c r="I1874" s="22">
        <v>154.1</v>
      </c>
      <c r="K1874" s="22"/>
      <c r="N1874" s="25"/>
      <c r="O1874" s="25"/>
      <c r="R1874" s="22" t="s">
        <v>5940</v>
      </c>
    </row>
    <row r="1875" spans="3:18" ht="16">
      <c r="C1875" s="19" t="s">
        <v>7761</v>
      </c>
      <c r="D1875" s="20" t="s">
        <v>7762</v>
      </c>
      <c r="E1875" s="21"/>
      <c r="F1875" s="21"/>
      <c r="G1875" s="22" t="s">
        <v>5843</v>
      </c>
      <c r="H1875" s="22"/>
      <c r="I1875" s="22">
        <v>75.2</v>
      </c>
      <c r="K1875" s="22"/>
      <c r="N1875" s="25"/>
      <c r="O1875" s="25"/>
      <c r="R1875" s="22" t="s">
        <v>7745</v>
      </c>
    </row>
    <row r="1876" spans="3:18" ht="16">
      <c r="C1876" s="19" t="s">
        <v>7763</v>
      </c>
      <c r="D1876" s="20" t="s">
        <v>7764</v>
      </c>
      <c r="E1876" s="21"/>
      <c r="F1876" s="21"/>
      <c r="G1876" s="22" t="s">
        <v>5970</v>
      </c>
      <c r="H1876" s="22"/>
      <c r="I1876" s="22">
        <v>18.8</v>
      </c>
      <c r="K1876" s="22"/>
      <c r="N1876" s="25"/>
      <c r="O1876" s="25"/>
      <c r="R1876" s="22" t="s">
        <v>7756</v>
      </c>
    </row>
    <row r="1877" spans="3:18" ht="16">
      <c r="C1877" s="19" t="s">
        <v>7765</v>
      </c>
      <c r="D1877" s="20" t="s">
        <v>7766</v>
      </c>
      <c r="E1877" s="21"/>
      <c r="F1877" s="21"/>
      <c r="G1877" s="22" t="s">
        <v>5889</v>
      </c>
      <c r="H1877" s="22"/>
      <c r="I1877" s="22">
        <v>14.4</v>
      </c>
      <c r="K1877" s="22"/>
      <c r="N1877" s="25"/>
      <c r="O1877" s="25"/>
      <c r="R1877" s="22" t="s">
        <v>7767</v>
      </c>
    </row>
    <row r="1878" spans="3:18" ht="16">
      <c r="C1878" s="19" t="s">
        <v>7768</v>
      </c>
      <c r="D1878" s="20" t="s">
        <v>7769</v>
      </c>
      <c r="E1878" s="21"/>
      <c r="F1878" s="21"/>
      <c r="G1878" s="22" t="s">
        <v>5857</v>
      </c>
      <c r="H1878" s="22"/>
      <c r="I1878" s="22">
        <v>24.1</v>
      </c>
      <c r="K1878" s="22"/>
      <c r="N1878" s="25"/>
      <c r="O1878" s="25"/>
      <c r="R1878" s="22" t="s">
        <v>7770</v>
      </c>
    </row>
    <row r="1879" spans="3:18" ht="16">
      <c r="C1879" s="19" t="s">
        <v>7771</v>
      </c>
      <c r="D1879" s="20" t="s">
        <v>7772</v>
      </c>
      <c r="E1879" s="21"/>
      <c r="F1879" s="21"/>
      <c r="G1879" s="22" t="s">
        <v>5958</v>
      </c>
      <c r="H1879" s="22"/>
      <c r="I1879" s="22">
        <v>23.6</v>
      </c>
      <c r="K1879" s="22"/>
      <c r="N1879" s="25"/>
      <c r="O1879" s="25"/>
      <c r="R1879" s="22" t="s">
        <v>7738</v>
      </c>
    </row>
    <row r="1880" spans="3:18" ht="16">
      <c r="C1880" s="19" t="s">
        <v>7773</v>
      </c>
      <c r="D1880" s="20" t="s">
        <v>7774</v>
      </c>
      <c r="E1880" s="21"/>
      <c r="F1880" s="21"/>
      <c r="G1880" s="22" t="s">
        <v>5935</v>
      </c>
      <c r="H1880" s="22"/>
      <c r="I1880" s="22">
        <v>19.399999999999999</v>
      </c>
      <c r="K1880" s="22"/>
      <c r="N1880" s="25"/>
      <c r="O1880" s="25"/>
      <c r="R1880" s="22" t="s">
        <v>7775</v>
      </c>
    </row>
    <row r="1881" spans="3:18" ht="16">
      <c r="C1881" s="19" t="s">
        <v>7776</v>
      </c>
      <c r="D1881" s="20" t="s">
        <v>7777</v>
      </c>
      <c r="E1881" s="21"/>
      <c r="F1881" s="21"/>
      <c r="G1881" s="22" t="s">
        <v>5857</v>
      </c>
      <c r="H1881" s="22"/>
      <c r="I1881" s="22">
        <v>15.6</v>
      </c>
      <c r="K1881" s="22"/>
      <c r="N1881" s="25"/>
      <c r="O1881" s="25"/>
      <c r="R1881" s="22" t="s">
        <v>7770</v>
      </c>
    </row>
    <row r="1882" spans="3:18" ht="16">
      <c r="C1882" s="19" t="s">
        <v>7778</v>
      </c>
      <c r="D1882" s="20" t="s">
        <v>7779</v>
      </c>
      <c r="E1882" s="21"/>
      <c r="F1882" s="21"/>
      <c r="G1882" s="22" t="s">
        <v>5930</v>
      </c>
      <c r="H1882" s="22"/>
      <c r="I1882" s="22">
        <v>37.5</v>
      </c>
      <c r="K1882" s="22"/>
      <c r="N1882" s="25"/>
      <c r="O1882" s="25"/>
      <c r="R1882" s="22" t="s">
        <v>7780</v>
      </c>
    </row>
    <row r="1883" spans="3:18" ht="16">
      <c r="C1883" s="19" t="s">
        <v>7781</v>
      </c>
      <c r="D1883" s="20" t="s">
        <v>7782</v>
      </c>
      <c r="E1883" s="21"/>
      <c r="F1883" s="21"/>
      <c r="G1883" s="22" t="s">
        <v>5889</v>
      </c>
      <c r="H1883" s="22"/>
      <c r="I1883" s="22">
        <v>28.6</v>
      </c>
      <c r="K1883" s="22"/>
      <c r="N1883" s="25"/>
      <c r="O1883" s="25"/>
      <c r="R1883" s="22" t="s">
        <v>7767</v>
      </c>
    </row>
    <row r="1884" spans="3:18" ht="16">
      <c r="C1884" s="19" t="s">
        <v>7783</v>
      </c>
      <c r="D1884" s="20" t="s">
        <v>7784</v>
      </c>
      <c r="E1884" s="21"/>
      <c r="F1884" s="21"/>
      <c r="G1884" s="22" t="s">
        <v>5843</v>
      </c>
      <c r="H1884" s="22"/>
      <c r="I1884" s="22">
        <v>21.1</v>
      </c>
      <c r="K1884" s="22"/>
      <c r="N1884" s="25"/>
      <c r="O1884" s="25"/>
      <c r="R1884" s="22" t="s">
        <v>7745</v>
      </c>
    </row>
    <row r="1885" spans="3:18" ht="16">
      <c r="C1885" s="19" t="s">
        <v>7785</v>
      </c>
      <c r="D1885" s="20" t="s">
        <v>7786</v>
      </c>
      <c r="E1885" s="21"/>
      <c r="F1885" s="21"/>
      <c r="G1885" s="22" t="s">
        <v>7825</v>
      </c>
      <c r="H1885" s="22"/>
      <c r="I1885" s="22">
        <v>36.200000000000003</v>
      </c>
      <c r="K1885" s="22"/>
      <c r="N1885" s="25"/>
      <c r="O1885" s="25"/>
      <c r="R1885" s="22" t="s">
        <v>6202</v>
      </c>
    </row>
    <row r="1886" spans="3:18" ht="16">
      <c r="C1886" s="19" t="s">
        <v>7787</v>
      </c>
      <c r="D1886" s="20" t="s">
        <v>7788</v>
      </c>
      <c r="E1886" s="21"/>
      <c r="F1886" s="21"/>
      <c r="G1886" s="22" t="s">
        <v>7825</v>
      </c>
      <c r="H1886" s="22"/>
      <c r="I1886" s="22">
        <v>267.60000000000002</v>
      </c>
      <c r="K1886" s="22"/>
      <c r="N1886" s="25"/>
      <c r="O1886" s="25"/>
      <c r="R1886" s="22" t="s">
        <v>6202</v>
      </c>
    </row>
    <row r="1887" spans="3:18" ht="16">
      <c r="C1887" s="19" t="s">
        <v>7789</v>
      </c>
      <c r="D1887" s="20" t="s">
        <v>7790</v>
      </c>
      <c r="E1887" s="21"/>
      <c r="F1887" s="21"/>
      <c r="G1887" s="22" t="s">
        <v>5849</v>
      </c>
      <c r="H1887" s="22"/>
      <c r="I1887" s="22">
        <v>23.5</v>
      </c>
      <c r="K1887" s="22"/>
      <c r="N1887" s="25"/>
      <c r="O1887" s="25"/>
      <c r="R1887" s="22" t="s">
        <v>5849</v>
      </c>
    </row>
    <row r="1888" spans="3:18" ht="16">
      <c r="C1888" s="19" t="s">
        <v>7791</v>
      </c>
      <c r="D1888" s="20" t="s">
        <v>7792</v>
      </c>
      <c r="E1888" s="21"/>
      <c r="F1888" s="21"/>
      <c r="G1888" s="22" t="s">
        <v>7827</v>
      </c>
      <c r="H1888" s="22"/>
      <c r="I1888" s="22">
        <v>28.2</v>
      </c>
      <c r="K1888" s="22"/>
      <c r="N1888" s="25"/>
      <c r="O1888" s="25"/>
      <c r="R1888" s="22" t="s">
        <v>5940</v>
      </c>
    </row>
    <row r="1889" spans="3:18" ht="16">
      <c r="C1889" s="19" t="s">
        <v>7793</v>
      </c>
      <c r="D1889" s="28" t="s">
        <v>7794</v>
      </c>
      <c r="E1889" s="21"/>
      <c r="F1889" s="21"/>
      <c r="G1889" s="22" t="s">
        <v>5881</v>
      </c>
      <c r="H1889" s="22"/>
      <c r="I1889" s="22">
        <v>23.7</v>
      </c>
      <c r="K1889" s="22"/>
      <c r="N1889" s="25"/>
      <c r="O1889" s="25"/>
      <c r="R1889" s="22" t="s">
        <v>7795</v>
      </c>
    </row>
    <row r="1890" spans="3:18" ht="16">
      <c r="C1890" s="19" t="s">
        <v>7796</v>
      </c>
      <c r="D1890" s="20" t="s">
        <v>7797</v>
      </c>
      <c r="E1890" s="21"/>
      <c r="F1890" s="21"/>
      <c r="G1890" s="22" t="s">
        <v>5836</v>
      </c>
      <c r="H1890" s="22"/>
      <c r="I1890" s="22">
        <v>10.4</v>
      </c>
      <c r="K1890" s="22"/>
      <c r="N1890" s="25"/>
      <c r="O1890" s="25"/>
      <c r="R1890" s="22" t="s">
        <v>7708</v>
      </c>
    </row>
    <row r="1891" spans="3:18" ht="16">
      <c r="C1891" s="19" t="s">
        <v>7798</v>
      </c>
      <c r="D1891" s="20" t="s">
        <v>7799</v>
      </c>
      <c r="E1891" s="21"/>
      <c r="F1891" s="21"/>
      <c r="G1891" s="22" t="s">
        <v>5976</v>
      </c>
      <c r="H1891" s="22"/>
      <c r="I1891" s="22">
        <v>52.8</v>
      </c>
      <c r="K1891" s="22"/>
      <c r="N1891" s="25"/>
      <c r="O1891" s="25"/>
      <c r="R1891" s="22" t="s">
        <v>7800</v>
      </c>
    </row>
    <row r="1892" spans="3:18" ht="16">
      <c r="C1892" s="19" t="s">
        <v>7801</v>
      </c>
      <c r="D1892" s="20" t="s">
        <v>7802</v>
      </c>
      <c r="E1892" s="21"/>
      <c r="F1892" s="21"/>
      <c r="G1892" s="22" t="s">
        <v>5857</v>
      </c>
      <c r="H1892" s="22"/>
      <c r="I1892" s="22">
        <v>30.4</v>
      </c>
      <c r="K1892" s="22"/>
      <c r="N1892" s="25"/>
      <c r="O1892" s="25"/>
      <c r="R1892" s="22" t="s">
        <v>7770</v>
      </c>
    </row>
    <row r="1893" spans="3:18" ht="16">
      <c r="C1893" s="19" t="s">
        <v>7803</v>
      </c>
      <c r="D1893" s="20" t="s">
        <v>7804</v>
      </c>
      <c r="E1893" s="21"/>
      <c r="F1893" s="21"/>
      <c r="G1893" s="22" t="s">
        <v>7827</v>
      </c>
      <c r="H1893" s="22"/>
      <c r="I1893" s="22">
        <v>46.1</v>
      </c>
      <c r="K1893" s="22"/>
      <c r="N1893" s="25"/>
      <c r="O1893" s="25"/>
      <c r="R1893" s="22" t="s">
        <v>5940</v>
      </c>
    </row>
    <row r="1894" spans="3:18" ht="16">
      <c r="C1894" s="19" t="s">
        <v>7805</v>
      </c>
      <c r="D1894" s="20" t="s">
        <v>7806</v>
      </c>
      <c r="E1894" s="21"/>
      <c r="F1894" s="21"/>
      <c r="G1894" s="22" t="s">
        <v>5958</v>
      </c>
      <c r="H1894" s="22"/>
      <c r="I1894" s="22">
        <v>33.799999999999997</v>
      </c>
      <c r="K1894" s="22"/>
      <c r="N1894" s="25"/>
      <c r="O1894" s="25"/>
      <c r="R1894" s="22" t="s">
        <v>7738</v>
      </c>
    </row>
    <row r="1895" spans="3:18" ht="16">
      <c r="C1895" s="19" t="s">
        <v>7807</v>
      </c>
      <c r="D1895" s="20" t="s">
        <v>7808</v>
      </c>
      <c r="E1895" s="21"/>
      <c r="F1895" s="21"/>
      <c r="G1895" s="22" t="s">
        <v>12</v>
      </c>
      <c r="H1895" s="22"/>
      <c r="I1895" s="22">
        <v>29.4</v>
      </c>
      <c r="K1895" s="22"/>
      <c r="N1895" s="25"/>
      <c r="O1895" s="25"/>
      <c r="R1895" s="22" t="s">
        <v>7809</v>
      </c>
    </row>
    <row r="1896" spans="3:18" ht="16">
      <c r="C1896" s="19" t="s">
        <v>7810</v>
      </c>
      <c r="D1896" s="20" t="s">
        <v>7811</v>
      </c>
      <c r="E1896" s="21"/>
      <c r="F1896" s="21"/>
      <c r="G1896" s="22" t="s">
        <v>7827</v>
      </c>
      <c r="H1896" s="22"/>
      <c r="I1896" s="22">
        <v>370.8</v>
      </c>
      <c r="K1896" s="22"/>
      <c r="N1896" s="25"/>
      <c r="O1896" s="25"/>
      <c r="R1896" s="22" t="s">
        <v>5940</v>
      </c>
    </row>
    <row r="1897" spans="3:18" ht="16">
      <c r="C1897" s="19" t="s">
        <v>7812</v>
      </c>
      <c r="D1897" s="20" t="s">
        <v>7813</v>
      </c>
      <c r="E1897" s="21"/>
      <c r="F1897" s="21"/>
      <c r="G1897" s="22" t="s">
        <v>5958</v>
      </c>
      <c r="H1897" s="22"/>
      <c r="I1897" s="22">
        <v>30.1</v>
      </c>
      <c r="K1897" s="22"/>
      <c r="N1897" s="25"/>
      <c r="O1897" s="25"/>
      <c r="R1897" s="22" t="s">
        <v>7738</v>
      </c>
    </row>
    <row r="1898" spans="3:18" ht="16">
      <c r="C1898" s="19" t="s">
        <v>7814</v>
      </c>
      <c r="D1898" s="29" t="s">
        <v>7815</v>
      </c>
      <c r="E1898" s="21"/>
      <c r="F1898" s="21"/>
      <c r="G1898" s="22" t="s">
        <v>7827</v>
      </c>
      <c r="H1898" s="22"/>
      <c r="I1898" s="22">
        <v>35.6</v>
      </c>
      <c r="K1898" s="22"/>
      <c r="N1898" s="25"/>
      <c r="O1898" s="25"/>
      <c r="R1898" s="22" t="s">
        <v>5940</v>
      </c>
    </row>
    <row r="1899" spans="3:18" ht="16">
      <c r="C1899" s="19" t="s">
        <v>7816</v>
      </c>
      <c r="D1899" s="20" t="s">
        <v>7817</v>
      </c>
      <c r="E1899" s="21"/>
      <c r="F1899" s="21"/>
      <c r="G1899" s="22" t="s">
        <v>5981</v>
      </c>
      <c r="H1899" s="22"/>
      <c r="I1899" s="22">
        <v>255.3</v>
      </c>
      <c r="K1899" s="22"/>
      <c r="N1899" s="25"/>
      <c r="O1899" s="25"/>
      <c r="R1899" s="22" t="s">
        <v>7818</v>
      </c>
    </row>
    <row r="1900" spans="3:18" ht="16">
      <c r="C1900" s="19" t="s">
        <v>7819</v>
      </c>
      <c r="D1900" s="20" t="s">
        <v>7820</v>
      </c>
      <c r="E1900" s="21"/>
      <c r="F1900" s="21"/>
      <c r="G1900" s="22" t="s">
        <v>5958</v>
      </c>
      <c r="H1900" s="22"/>
      <c r="I1900" s="22" t="s">
        <v>5835</v>
      </c>
      <c r="K1900" s="22"/>
      <c r="N1900" s="25"/>
      <c r="O1900" s="25"/>
      <c r="R1900" s="22" t="s">
        <v>5958</v>
      </c>
    </row>
    <row r="1901" spans="3:18" ht="16">
      <c r="C1901" s="19" t="s">
        <v>7821</v>
      </c>
      <c r="D1901" s="28" t="s">
        <v>7822</v>
      </c>
      <c r="E1901" s="21"/>
      <c r="F1901" s="21"/>
      <c r="G1901" s="22" t="s">
        <v>5958</v>
      </c>
      <c r="H1901" s="22"/>
      <c r="I1901" s="22" t="s">
        <v>5835</v>
      </c>
      <c r="K1901" s="22"/>
      <c r="N1901" s="25"/>
      <c r="O1901" s="25"/>
      <c r="R1901" s="22" t="s">
        <v>5958</v>
      </c>
    </row>
    <row r="1902" spans="3:18" ht="16">
      <c r="C1902" s="19" t="s">
        <v>7823</v>
      </c>
      <c r="D1902" s="20" t="s">
        <v>7824</v>
      </c>
      <c r="E1902" s="21"/>
      <c r="F1902" s="21"/>
      <c r="G1902" s="22" t="s">
        <v>5958</v>
      </c>
      <c r="H1902" s="22"/>
      <c r="I1902" s="22" t="s">
        <v>5835</v>
      </c>
      <c r="K1902" s="22"/>
      <c r="N1902" s="25"/>
      <c r="O1902" s="25"/>
      <c r="R1902" s="22" t="s">
        <v>5958</v>
      </c>
    </row>
    <row r="1903" spans="3:18" ht="16">
      <c r="C1903" s="19" t="s">
        <v>687</v>
      </c>
      <c r="D1903" s="20" t="s">
        <v>2624</v>
      </c>
      <c r="E1903" s="21"/>
      <c r="F1903" s="21"/>
      <c r="G1903" s="22" t="s">
        <v>5928</v>
      </c>
      <c r="H1903" s="22"/>
      <c r="I1903" s="22" t="s">
        <v>5835</v>
      </c>
      <c r="K1903" s="22"/>
      <c r="N1903" s="25"/>
      <c r="O1903" s="25"/>
      <c r="R1903" s="22" t="s">
        <v>5928</v>
      </c>
    </row>
    <row r="1904" spans="3:18" ht="16">
      <c r="C1904" s="19" t="s">
        <v>918</v>
      </c>
      <c r="D1904" s="20" t="s">
        <v>2847</v>
      </c>
      <c r="E1904" s="21"/>
      <c r="F1904" s="21"/>
      <c r="G1904" s="22" t="s">
        <v>5881</v>
      </c>
      <c r="H1904" s="22"/>
      <c r="I1904" s="22" t="s">
        <v>5835</v>
      </c>
      <c r="K1904" s="22"/>
      <c r="N1904" s="25"/>
      <c r="O1904" s="25"/>
      <c r="R1904" s="22" t="s">
        <v>5881</v>
      </c>
    </row>
    <row r="1905" spans="3:18" ht="16">
      <c r="C1905" s="19" t="s">
        <v>990</v>
      </c>
      <c r="D1905" s="20" t="s">
        <v>2918</v>
      </c>
      <c r="E1905" s="21"/>
      <c r="F1905" s="21"/>
      <c r="G1905" s="22" t="s">
        <v>5846</v>
      </c>
      <c r="H1905" s="22"/>
      <c r="I1905" s="22" t="s">
        <v>5835</v>
      </c>
      <c r="K1905" s="22"/>
      <c r="N1905" s="25"/>
      <c r="O1905" s="25"/>
      <c r="R1905" s="22" t="s">
        <v>5846</v>
      </c>
    </row>
    <row r="1906" spans="3:18" ht="16">
      <c r="C1906" s="19" t="s">
        <v>1039</v>
      </c>
      <c r="D1906" s="20" t="s">
        <v>2967</v>
      </c>
      <c r="E1906" s="21"/>
      <c r="F1906" s="21"/>
      <c r="G1906" s="22" t="s">
        <v>7825</v>
      </c>
      <c r="H1906" s="22"/>
      <c r="I1906" s="22" t="s">
        <v>5835</v>
      </c>
      <c r="K1906" s="22"/>
      <c r="N1906" s="25"/>
      <c r="O1906" s="25"/>
      <c r="R1906" s="22" t="s">
        <v>7825</v>
      </c>
    </row>
    <row r="1907" spans="3:18" ht="16">
      <c r="C1907" s="19" t="s">
        <v>1750</v>
      </c>
      <c r="D1907" s="20" t="s">
        <v>3601</v>
      </c>
      <c r="E1907" s="21"/>
      <c r="F1907" s="21"/>
      <c r="G1907" s="22" t="s">
        <v>5857</v>
      </c>
      <c r="H1907" s="22"/>
      <c r="I1907" s="22" t="s">
        <v>5835</v>
      </c>
      <c r="K1907" s="22"/>
      <c r="N1907" s="25"/>
      <c r="O1907" s="25"/>
      <c r="R1907" s="22" t="s">
        <v>5857</v>
      </c>
    </row>
    <row r="1908" spans="3:18" ht="16">
      <c r="C1908" s="19" t="s">
        <v>1754</v>
      </c>
      <c r="D1908" s="20" t="s">
        <v>3605</v>
      </c>
      <c r="E1908" s="21"/>
      <c r="F1908" s="21"/>
      <c r="G1908" s="22" t="s">
        <v>5958</v>
      </c>
      <c r="H1908" s="22"/>
      <c r="I1908" s="22" t="s">
        <v>5835</v>
      </c>
      <c r="K1908" s="22"/>
      <c r="N1908" s="25"/>
      <c r="O1908" s="25"/>
      <c r="R1908" s="22" t="s">
        <v>5958</v>
      </c>
    </row>
    <row r="1909" spans="3:18" ht="16">
      <c r="C1909" s="19" t="s">
        <v>1759</v>
      </c>
      <c r="D1909" s="20" t="s">
        <v>7826</v>
      </c>
      <c r="E1909" s="21"/>
      <c r="F1909" s="21"/>
      <c r="G1909" s="22" t="s">
        <v>7827</v>
      </c>
      <c r="H1909" s="22"/>
      <c r="I1909" s="22" t="s">
        <v>5835</v>
      </c>
      <c r="K1909" s="22"/>
      <c r="N1909" s="25"/>
      <c r="O1909" s="25"/>
      <c r="R1909" s="22" t="s">
        <v>7827</v>
      </c>
    </row>
    <row r="1910" spans="3:18" ht="16">
      <c r="C1910" s="19" t="s">
        <v>1766</v>
      </c>
      <c r="D1910" s="20" t="s">
        <v>3615</v>
      </c>
      <c r="E1910" s="21"/>
      <c r="F1910" s="21"/>
      <c r="G1910" s="22" t="s">
        <v>7827</v>
      </c>
      <c r="H1910" s="22"/>
      <c r="I1910" s="22" t="s">
        <v>5835</v>
      </c>
      <c r="K1910" s="22"/>
      <c r="N1910" s="25"/>
      <c r="O1910" s="25"/>
      <c r="R1910" s="22" t="s">
        <v>7827</v>
      </c>
    </row>
    <row r="1911" spans="3:18" ht="16">
      <c r="C1911" s="19" t="s">
        <v>956</v>
      </c>
      <c r="D1911" s="20" t="s">
        <v>2885</v>
      </c>
      <c r="E1911" s="21"/>
      <c r="F1911" s="21"/>
      <c r="G1911" s="22" t="s">
        <v>7827</v>
      </c>
      <c r="H1911" s="22"/>
      <c r="I1911" s="22" t="s">
        <v>5835</v>
      </c>
      <c r="K1911" s="22"/>
      <c r="N1911" s="25"/>
      <c r="O1911" s="25"/>
      <c r="R1911" s="22" t="s">
        <v>7827</v>
      </c>
    </row>
    <row r="1912" spans="3:18" ht="16">
      <c r="C1912" s="19" t="s">
        <v>1710</v>
      </c>
      <c r="D1912" s="20" t="s">
        <v>3590</v>
      </c>
      <c r="E1912" s="21"/>
      <c r="F1912" s="21"/>
      <c r="G1912" s="22" t="s">
        <v>5869</v>
      </c>
      <c r="H1912" s="22"/>
      <c r="I1912" s="22" t="s">
        <v>5835</v>
      </c>
      <c r="K1912" s="22"/>
      <c r="N1912" s="25"/>
      <c r="O1912" s="25"/>
      <c r="R1912" s="22" t="s">
        <v>5869</v>
      </c>
    </row>
    <row r="1913" spans="3:18" ht="16">
      <c r="C1913" s="19" t="s">
        <v>1751</v>
      </c>
      <c r="D1913" s="20" t="s">
        <v>3602</v>
      </c>
      <c r="E1913" s="21"/>
      <c r="F1913" s="21"/>
      <c r="G1913" s="22" t="s">
        <v>12</v>
      </c>
      <c r="H1913" s="22"/>
      <c r="I1913" s="22" t="s">
        <v>5835</v>
      </c>
      <c r="K1913" s="22"/>
      <c r="N1913" s="25"/>
      <c r="O1913" s="25"/>
      <c r="R1913" s="22" t="s">
        <v>12</v>
      </c>
    </row>
    <row r="1914" spans="3:18" ht="16">
      <c r="C1914" s="19" t="s">
        <v>1752</v>
      </c>
      <c r="D1914" s="20" t="s">
        <v>3603</v>
      </c>
      <c r="E1914" s="21"/>
      <c r="F1914" s="21"/>
      <c r="G1914" s="22" t="s">
        <v>7825</v>
      </c>
      <c r="H1914" s="22"/>
      <c r="I1914" s="22" t="s">
        <v>5835</v>
      </c>
      <c r="K1914" s="22"/>
      <c r="N1914" s="25"/>
      <c r="O1914" s="25"/>
      <c r="R1914" s="22" t="s">
        <v>7825</v>
      </c>
    </row>
    <row r="1915" spans="3:18" ht="16">
      <c r="C1915" s="19" t="s">
        <v>1626</v>
      </c>
      <c r="D1915" s="20" t="s">
        <v>3535</v>
      </c>
      <c r="E1915" s="21"/>
      <c r="F1915" s="21"/>
      <c r="G1915" s="22" t="s">
        <v>5891</v>
      </c>
      <c r="H1915" s="22"/>
      <c r="I1915" s="22">
        <v>37.799999999999997</v>
      </c>
      <c r="K1915" s="22"/>
      <c r="N1915" s="25"/>
      <c r="O1915" s="25"/>
      <c r="R1915" s="22" t="s">
        <v>5891</v>
      </c>
    </row>
    <row r="1916" spans="3:18" ht="16">
      <c r="C1916" s="19" t="s">
        <v>1762</v>
      </c>
      <c r="D1916" s="20" t="s">
        <v>3612</v>
      </c>
      <c r="E1916" s="21"/>
      <c r="F1916" s="21"/>
      <c r="G1916" s="22" t="s">
        <v>5857</v>
      </c>
      <c r="H1916" s="22"/>
      <c r="I1916" s="22" t="s">
        <v>5835</v>
      </c>
      <c r="K1916" s="22"/>
      <c r="N1916" s="25"/>
      <c r="O1916" s="25"/>
      <c r="R1916" s="22" t="s">
        <v>5857</v>
      </c>
    </row>
    <row r="1917" spans="3:18" ht="16">
      <c r="C1917" s="19" t="s">
        <v>1763</v>
      </c>
      <c r="D1917" s="20" t="s">
        <v>3613</v>
      </c>
      <c r="E1917" s="21"/>
      <c r="F1917" s="21"/>
      <c r="G1917" s="22" t="s">
        <v>5836</v>
      </c>
      <c r="H1917" s="22"/>
      <c r="I1917" s="22" t="s">
        <v>5835</v>
      </c>
      <c r="K1917" s="22"/>
      <c r="N1917" s="25"/>
      <c r="O1917" s="25"/>
      <c r="R1917" s="22" t="s">
        <v>5836</v>
      </c>
    </row>
    <row r="1918" spans="3:18" ht="16">
      <c r="C1918" s="19" t="s">
        <v>1733</v>
      </c>
      <c r="D1918" s="20" t="s">
        <v>3597</v>
      </c>
      <c r="E1918" s="21"/>
      <c r="F1918" s="21"/>
      <c r="G1918" s="22" t="s">
        <v>5853</v>
      </c>
      <c r="H1918" s="22"/>
      <c r="I1918" s="22" t="s">
        <v>5835</v>
      </c>
      <c r="K1918" s="22"/>
      <c r="N1918" s="25"/>
      <c r="O1918" s="25"/>
      <c r="R1918" s="22" t="s">
        <v>5853</v>
      </c>
    </row>
    <row r="1919" spans="3:18" ht="16">
      <c r="C1919" s="19" t="s">
        <v>1744</v>
      </c>
      <c r="D1919" s="20" t="s">
        <v>3599</v>
      </c>
      <c r="E1919" s="21"/>
      <c r="F1919" s="21"/>
      <c r="G1919" s="22" t="s">
        <v>7827</v>
      </c>
      <c r="H1919" s="22"/>
      <c r="I1919" s="22" t="s">
        <v>5835</v>
      </c>
      <c r="K1919" s="22"/>
      <c r="N1919" s="25"/>
      <c r="O1919" s="25"/>
      <c r="R1919" s="22" t="s">
        <v>7827</v>
      </c>
    </row>
    <row r="1920" spans="3:18" ht="16">
      <c r="C1920" s="19" t="s">
        <v>1753</v>
      </c>
      <c r="D1920" s="20" t="s">
        <v>3604</v>
      </c>
      <c r="E1920" s="21"/>
      <c r="F1920" s="21"/>
      <c r="G1920" s="22" t="s">
        <v>5849</v>
      </c>
      <c r="H1920" s="22"/>
      <c r="I1920" s="22" t="s">
        <v>5835</v>
      </c>
      <c r="K1920" s="22"/>
      <c r="N1920" s="25"/>
      <c r="O1920" s="25"/>
      <c r="R1920" s="22" t="s">
        <v>5849</v>
      </c>
    </row>
    <row r="1921" spans="3:18" ht="16">
      <c r="C1921" s="19" t="s">
        <v>1760</v>
      </c>
      <c r="D1921" s="20" t="s">
        <v>3610</v>
      </c>
      <c r="E1921" s="21"/>
      <c r="F1921" s="21"/>
      <c r="G1921" s="22" t="s">
        <v>5964</v>
      </c>
      <c r="H1921" s="22"/>
      <c r="I1921" s="22" t="s">
        <v>5835</v>
      </c>
      <c r="K1921" s="22"/>
      <c r="N1921" s="25"/>
      <c r="O1921" s="25"/>
      <c r="R1921" s="22" t="s">
        <v>5964</v>
      </c>
    </row>
    <row r="1922" spans="3:18" ht="16">
      <c r="C1922" s="19" t="s">
        <v>1734</v>
      </c>
      <c r="D1922" s="20" t="s">
        <v>3598</v>
      </c>
      <c r="E1922" s="21"/>
      <c r="F1922" s="21"/>
      <c r="G1922" s="22" t="s">
        <v>5962</v>
      </c>
      <c r="H1922" s="22"/>
      <c r="I1922" s="22" t="s">
        <v>5835</v>
      </c>
      <c r="K1922" s="22"/>
      <c r="N1922" s="25"/>
      <c r="O1922" s="25"/>
      <c r="R1922" s="22" t="s">
        <v>5962</v>
      </c>
    </row>
    <row r="1923" spans="3:18" ht="16">
      <c r="C1923" s="19" t="s">
        <v>694</v>
      </c>
      <c r="D1923" s="20" t="s">
        <v>2630</v>
      </c>
      <c r="E1923" s="21"/>
      <c r="F1923" s="21"/>
      <c r="G1923" s="22" t="s">
        <v>5958</v>
      </c>
      <c r="H1923" s="22"/>
      <c r="I1923" s="22" t="s">
        <v>5835</v>
      </c>
      <c r="K1923" s="22"/>
      <c r="N1923" s="25"/>
      <c r="O1923" s="25"/>
      <c r="R1923" s="22" t="s">
        <v>5958</v>
      </c>
    </row>
    <row r="1924" spans="3:18" ht="16">
      <c r="C1924" s="19" t="s">
        <v>1468</v>
      </c>
      <c r="D1924" s="20" t="s">
        <v>3386</v>
      </c>
      <c r="E1924" s="21"/>
      <c r="F1924" s="21"/>
      <c r="G1924" s="22" t="s">
        <v>5933</v>
      </c>
      <c r="H1924" s="22"/>
      <c r="I1924" s="22" t="s">
        <v>5835</v>
      </c>
      <c r="K1924" s="22"/>
      <c r="N1924" s="25"/>
      <c r="O1924" s="25"/>
      <c r="R1924" s="22" t="s">
        <v>5933</v>
      </c>
    </row>
    <row r="1925" spans="3:18" ht="16">
      <c r="C1925" s="19" t="s">
        <v>1747</v>
      </c>
      <c r="D1925" s="20" t="s">
        <v>3600</v>
      </c>
      <c r="E1925" s="21"/>
      <c r="F1925" s="21"/>
      <c r="G1925" s="22" t="s">
        <v>5909</v>
      </c>
      <c r="H1925" s="22"/>
      <c r="I1925" s="22" t="s">
        <v>5835</v>
      </c>
      <c r="K1925" s="22"/>
      <c r="N1925" s="25"/>
      <c r="O1925" s="25"/>
      <c r="R1925" s="22" t="s">
        <v>5909</v>
      </c>
    </row>
    <row r="1926" spans="3:18" ht="16">
      <c r="C1926" s="19" t="s">
        <v>1761</v>
      </c>
      <c r="D1926" s="20" t="s">
        <v>3611</v>
      </c>
      <c r="E1926" s="21"/>
      <c r="F1926" s="21"/>
      <c r="G1926" s="22" t="s">
        <v>5875</v>
      </c>
      <c r="H1926" s="22"/>
      <c r="I1926" s="22" t="s">
        <v>5835</v>
      </c>
      <c r="K1926" s="22"/>
      <c r="N1926" s="25"/>
      <c r="O1926" s="25"/>
      <c r="R1926" s="22" t="s">
        <v>5875</v>
      </c>
    </row>
    <row r="1927" spans="3:18" ht="16">
      <c r="C1927" s="19" t="s">
        <v>1728</v>
      </c>
      <c r="D1927" s="20" t="s">
        <v>3596</v>
      </c>
      <c r="E1927" s="21"/>
      <c r="F1927" s="21"/>
      <c r="G1927" s="22" t="s">
        <v>5909</v>
      </c>
      <c r="H1927" s="22"/>
      <c r="I1927" s="22" t="s">
        <v>5835</v>
      </c>
      <c r="K1927" s="22"/>
      <c r="N1927" s="25"/>
      <c r="O1927" s="25"/>
      <c r="R1927" s="22" t="s">
        <v>5909</v>
      </c>
    </row>
    <row r="1928" spans="3:18" ht="16">
      <c r="C1928" s="19" t="s">
        <v>1540</v>
      </c>
      <c r="D1928" s="20" t="s">
        <v>3455</v>
      </c>
      <c r="E1928" s="21"/>
      <c r="F1928" s="21"/>
      <c r="G1928" s="22" t="s">
        <v>5958</v>
      </c>
      <c r="H1928" s="22"/>
      <c r="I1928" s="22" t="s">
        <v>5835</v>
      </c>
      <c r="K1928" s="22"/>
      <c r="N1928" s="25"/>
      <c r="O1928" s="25"/>
      <c r="R1928" s="22" t="s">
        <v>5958</v>
      </c>
    </row>
    <row r="1929" spans="3:18" ht="16">
      <c r="C1929" s="19" t="s">
        <v>1639</v>
      </c>
      <c r="D1929" s="20" t="s">
        <v>3548</v>
      </c>
      <c r="E1929" s="21"/>
      <c r="F1929" s="21"/>
      <c r="G1929" s="22" t="s">
        <v>5902</v>
      </c>
      <c r="H1929" s="22"/>
      <c r="I1929" s="22" t="s">
        <v>5835</v>
      </c>
      <c r="K1929" s="22"/>
      <c r="N1929" s="25"/>
      <c r="O1929" s="25"/>
      <c r="R1929" s="22" t="s">
        <v>5902</v>
      </c>
    </row>
    <row r="1930" spans="3:18" ht="16">
      <c r="C1930" s="19" t="s">
        <v>1756</v>
      </c>
      <c r="D1930" s="20" t="s">
        <v>3607</v>
      </c>
      <c r="E1930" s="21"/>
      <c r="F1930" s="21"/>
      <c r="G1930" s="22" t="s">
        <v>12</v>
      </c>
      <c r="H1930" s="22"/>
      <c r="I1930" s="22" t="s">
        <v>5835</v>
      </c>
      <c r="K1930" s="22"/>
      <c r="N1930" s="25"/>
      <c r="O1930" s="25"/>
      <c r="R1930" s="22" t="s">
        <v>12</v>
      </c>
    </row>
    <row r="1931" spans="3:18" ht="16">
      <c r="C1931" s="19" t="s">
        <v>1755</v>
      </c>
      <c r="D1931" s="20" t="s">
        <v>3606</v>
      </c>
      <c r="E1931" s="21"/>
      <c r="F1931" s="21"/>
      <c r="G1931" s="22" t="s">
        <v>5958</v>
      </c>
      <c r="H1931" s="22"/>
      <c r="I1931" s="22" t="s">
        <v>5835</v>
      </c>
      <c r="K1931" s="22"/>
      <c r="N1931" s="25"/>
      <c r="O1931" s="25"/>
      <c r="R1931" s="22" t="s">
        <v>5958</v>
      </c>
    </row>
    <row r="1932" spans="3:18" ht="16">
      <c r="C1932" s="19" t="s">
        <v>1757</v>
      </c>
      <c r="D1932" s="20" t="s">
        <v>3608</v>
      </c>
      <c r="E1932" s="21"/>
      <c r="F1932" s="21"/>
      <c r="G1932" s="22" t="s">
        <v>10</v>
      </c>
      <c r="H1932" s="22"/>
      <c r="I1932" s="22" t="s">
        <v>5835</v>
      </c>
      <c r="K1932" s="22"/>
      <c r="N1932" s="25"/>
      <c r="O1932" s="25"/>
      <c r="R1932" s="22" t="s">
        <v>10</v>
      </c>
    </row>
    <row r="1933" spans="3:18" ht="16">
      <c r="C1933" s="19" t="s">
        <v>1596</v>
      </c>
      <c r="D1933" s="20" t="s">
        <v>3509</v>
      </c>
      <c r="E1933" s="21"/>
      <c r="F1933" s="21"/>
      <c r="G1933" s="22" t="s">
        <v>5889</v>
      </c>
      <c r="H1933" s="22"/>
      <c r="I1933" s="22" t="s">
        <v>5835</v>
      </c>
      <c r="K1933" s="22"/>
      <c r="N1933" s="25"/>
      <c r="O1933" s="25"/>
      <c r="R1933" s="22" t="s">
        <v>5889</v>
      </c>
    </row>
    <row r="1934" spans="3:18" ht="16">
      <c r="C1934" s="19" t="s">
        <v>1421</v>
      </c>
      <c r="D1934" s="20" t="s">
        <v>3339</v>
      </c>
      <c r="E1934" s="21"/>
      <c r="F1934" s="21"/>
      <c r="G1934" s="22" t="s">
        <v>5920</v>
      </c>
      <c r="H1934" s="22"/>
      <c r="I1934" s="22" t="s">
        <v>5835</v>
      </c>
      <c r="K1934" s="22"/>
      <c r="N1934" s="25"/>
      <c r="O1934" s="25"/>
      <c r="R1934" s="22" t="s">
        <v>5920</v>
      </c>
    </row>
    <row r="1935" spans="3:18" ht="16">
      <c r="C1935" s="19" t="s">
        <v>1544</v>
      </c>
      <c r="D1935" s="20" t="s">
        <v>3459</v>
      </c>
      <c r="E1935" s="21"/>
      <c r="F1935" s="21"/>
      <c r="G1935" s="22" t="s">
        <v>5859</v>
      </c>
      <c r="H1935" s="22"/>
      <c r="I1935" s="22" t="s">
        <v>5835</v>
      </c>
      <c r="K1935" s="22"/>
      <c r="N1935" s="25"/>
      <c r="O1935" s="25"/>
      <c r="R1935" s="22" t="s">
        <v>5859</v>
      </c>
    </row>
    <row r="1936" spans="3:18" ht="16">
      <c r="C1936" s="19" t="s">
        <v>1593</v>
      </c>
      <c r="D1936" s="20" t="s">
        <v>3506</v>
      </c>
      <c r="E1936" s="21"/>
      <c r="F1936" s="21"/>
      <c r="G1936" s="22" t="s">
        <v>12</v>
      </c>
      <c r="H1936" s="22"/>
      <c r="I1936" s="22" t="s">
        <v>5835</v>
      </c>
      <c r="K1936" s="22"/>
      <c r="N1936" s="25"/>
      <c r="O1936" s="25"/>
      <c r="R1936" s="22" t="s">
        <v>12</v>
      </c>
    </row>
    <row r="1937" spans="3:18" ht="16">
      <c r="C1937" s="19" t="s">
        <v>1664</v>
      </c>
      <c r="D1937" s="20" t="s">
        <v>3569</v>
      </c>
      <c r="E1937" s="21"/>
      <c r="F1937" s="21"/>
      <c r="G1937" s="22" t="s">
        <v>7825</v>
      </c>
      <c r="H1937" s="22"/>
      <c r="I1937" s="22" t="s">
        <v>5835</v>
      </c>
      <c r="K1937" s="22"/>
      <c r="N1937" s="25"/>
      <c r="O1937" s="25"/>
      <c r="R1937" s="22" t="s">
        <v>7825</v>
      </c>
    </row>
    <row r="1938" spans="3:18" ht="16">
      <c r="C1938" s="19" t="s">
        <v>1678</v>
      </c>
      <c r="D1938" s="20" t="s">
        <v>3578</v>
      </c>
      <c r="E1938" s="21"/>
      <c r="F1938" s="21"/>
      <c r="G1938" s="22" t="s">
        <v>5958</v>
      </c>
      <c r="H1938" s="22"/>
      <c r="I1938" s="22" t="s">
        <v>5835</v>
      </c>
      <c r="K1938" s="22"/>
      <c r="N1938" s="25"/>
      <c r="O1938" s="25"/>
      <c r="R1938" s="22" t="s">
        <v>5958</v>
      </c>
    </row>
    <row r="1939" spans="3:18" ht="16">
      <c r="C1939" s="19" t="s">
        <v>1758</v>
      </c>
      <c r="D1939" s="20" t="s">
        <v>3609</v>
      </c>
      <c r="E1939" s="21"/>
      <c r="F1939" s="21"/>
      <c r="G1939" s="22" t="s">
        <v>7827</v>
      </c>
      <c r="H1939" s="22"/>
      <c r="I1939" s="22" t="s">
        <v>5835</v>
      </c>
      <c r="K1939" s="22"/>
      <c r="N1939" s="25"/>
      <c r="O1939" s="25"/>
      <c r="R1939" s="22" t="s">
        <v>7827</v>
      </c>
    </row>
    <row r="1940" spans="3:18" ht="16">
      <c r="C1940" s="19" t="s">
        <v>1767</v>
      </c>
      <c r="D1940" s="20" t="s">
        <v>3616</v>
      </c>
      <c r="E1940" s="21"/>
      <c r="F1940" s="21"/>
      <c r="G1940" s="22" t="s">
        <v>7825</v>
      </c>
      <c r="H1940" s="22"/>
      <c r="I1940" s="22" t="s">
        <v>5835</v>
      </c>
      <c r="K1940" s="22"/>
      <c r="N1940" s="25"/>
      <c r="O1940" s="25"/>
      <c r="R1940" s="22" t="s">
        <v>7825</v>
      </c>
    </row>
    <row r="1941" spans="3:18" ht="16">
      <c r="C1941" s="19" t="s">
        <v>1768</v>
      </c>
      <c r="D1941" s="20" t="s">
        <v>3617</v>
      </c>
      <c r="E1941" s="21"/>
      <c r="F1941" s="21"/>
      <c r="G1941" s="22" t="s">
        <v>12</v>
      </c>
      <c r="H1941" s="22"/>
      <c r="I1941" s="22" t="s">
        <v>5835</v>
      </c>
      <c r="K1941" s="22"/>
      <c r="N1941" s="25"/>
      <c r="O1941" s="25"/>
      <c r="R1941" s="22" t="s">
        <v>12</v>
      </c>
    </row>
    <row r="1942" spans="3:18" ht="16">
      <c r="C1942" s="19" t="s">
        <v>1819</v>
      </c>
      <c r="D1942" s="20" t="s">
        <v>3665</v>
      </c>
      <c r="E1942" s="21"/>
      <c r="F1942" s="21"/>
      <c r="G1942" s="22" t="s">
        <v>10</v>
      </c>
      <c r="H1942" s="22"/>
      <c r="I1942" s="22" t="s">
        <v>5835</v>
      </c>
      <c r="K1942" s="22"/>
      <c r="N1942" s="25"/>
      <c r="O1942" s="25"/>
      <c r="R1942" s="22" t="s">
        <v>10</v>
      </c>
    </row>
    <row r="1943" spans="3:18" ht="16">
      <c r="C1943" s="19" t="s">
        <v>204</v>
      </c>
      <c r="D1943" s="20" t="s">
        <v>2157</v>
      </c>
      <c r="E1943" s="21"/>
      <c r="F1943" s="21"/>
      <c r="G1943" s="22" t="s">
        <v>5877</v>
      </c>
      <c r="H1943" s="22"/>
      <c r="I1943" s="22" t="s">
        <v>5835</v>
      </c>
      <c r="K1943" s="22"/>
      <c r="N1943" s="25"/>
      <c r="O1943" s="25"/>
      <c r="R1943" s="22" t="s">
        <v>5877</v>
      </c>
    </row>
    <row r="1944" spans="3:18" ht="16">
      <c r="C1944" s="19" t="s">
        <v>1592</v>
      </c>
      <c r="D1944" s="20" t="s">
        <v>3505</v>
      </c>
      <c r="E1944" s="21"/>
      <c r="F1944" s="21"/>
      <c r="G1944" s="22" t="s">
        <v>5906</v>
      </c>
      <c r="H1944" s="22"/>
      <c r="I1944" s="22" t="s">
        <v>5835</v>
      </c>
      <c r="K1944" s="22"/>
      <c r="N1944" s="25"/>
      <c r="O1944" s="25"/>
      <c r="R1944" s="22" t="s">
        <v>5906</v>
      </c>
    </row>
    <row r="1945" spans="3:18" ht="16">
      <c r="C1945" s="19" t="s">
        <v>1765</v>
      </c>
      <c r="D1945" s="20" t="s">
        <v>3614</v>
      </c>
      <c r="E1945" s="21"/>
      <c r="F1945" s="21"/>
      <c r="G1945" s="22" t="s">
        <v>12</v>
      </c>
      <c r="H1945" s="22"/>
      <c r="I1945" s="22"/>
      <c r="K1945" s="22"/>
      <c r="N1945" s="25"/>
      <c r="O1945" s="25"/>
      <c r="R1945" s="22" t="s">
        <v>12</v>
      </c>
    </row>
    <row r="1946" spans="3:18" ht="16">
      <c r="C1946" s="19" t="s">
        <v>1447</v>
      </c>
      <c r="D1946" s="20" t="s">
        <v>3365</v>
      </c>
      <c r="E1946" s="21"/>
      <c r="F1946" s="21"/>
      <c r="G1946" s="22" t="s">
        <v>5981</v>
      </c>
      <c r="H1946" s="22"/>
      <c r="I1946" s="22"/>
      <c r="K1946" s="22"/>
      <c r="N1946" s="25"/>
      <c r="O1946" s="25"/>
      <c r="R1946" s="22" t="s">
        <v>5981</v>
      </c>
    </row>
    <row r="1947" spans="3:18" ht="16">
      <c r="C1947" s="19" t="s">
        <v>1704</v>
      </c>
      <c r="D1947" s="20" t="s">
        <v>3589</v>
      </c>
      <c r="E1947" s="21"/>
      <c r="F1947" s="21"/>
      <c r="G1947" s="22" t="s">
        <v>5849</v>
      </c>
      <c r="H1947" s="22"/>
      <c r="I1947" s="22"/>
      <c r="K1947" s="22"/>
      <c r="N1947" s="25"/>
      <c r="O1947" s="25"/>
      <c r="R1947" s="22" t="s">
        <v>5849</v>
      </c>
    </row>
    <row r="1948" spans="3:18" ht="16">
      <c r="C1948" s="19"/>
      <c r="D1948" s="20"/>
      <c r="E1948" s="21"/>
      <c r="F1948" s="21"/>
      <c r="G1948" s="22"/>
      <c r="H1948" s="22"/>
      <c r="I1948" s="22"/>
      <c r="K1948" s="22"/>
      <c r="N1948" s="25"/>
      <c r="O1948" s="25"/>
      <c r="R1948" s="22"/>
    </row>
    <row r="1949" spans="3:18" ht="16">
      <c r="C1949" s="19"/>
      <c r="D1949" s="20"/>
      <c r="E1949" s="21"/>
      <c r="F1949" s="21"/>
      <c r="G1949" s="22"/>
      <c r="H1949" s="22"/>
      <c r="I1949" s="22"/>
      <c r="K1949" s="22"/>
      <c r="N1949" s="25"/>
      <c r="O1949" s="25"/>
      <c r="R1949" s="22"/>
    </row>
    <row r="1950" spans="3:18" ht="16">
      <c r="C1950" s="19"/>
      <c r="D1950" s="20"/>
      <c r="E1950" s="21"/>
      <c r="F1950" s="21"/>
      <c r="G1950" s="22"/>
      <c r="H1950" s="22"/>
      <c r="I1950" s="22"/>
      <c r="K1950" s="22"/>
      <c r="N1950" s="25"/>
      <c r="O1950" s="25"/>
      <c r="R1950" s="22"/>
    </row>
    <row r="1951" spans="3:18" ht="16">
      <c r="C1951" s="19"/>
      <c r="D1951" s="20"/>
      <c r="E1951" s="21"/>
      <c r="F1951" s="21"/>
      <c r="G1951" s="22"/>
      <c r="H1951" s="22"/>
      <c r="I1951" s="22"/>
      <c r="K1951" s="22"/>
      <c r="N1951" s="25"/>
      <c r="O1951" s="25"/>
      <c r="R1951" s="22"/>
    </row>
    <row r="1952" spans="3:18" ht="16">
      <c r="C1952" s="19"/>
      <c r="D1952" s="20"/>
      <c r="E1952" s="21"/>
      <c r="F1952" s="21"/>
      <c r="G1952" s="22"/>
      <c r="H1952" s="22"/>
      <c r="I1952" s="22"/>
      <c r="K1952" s="22"/>
      <c r="N1952" s="25"/>
      <c r="O1952" s="25"/>
      <c r="R1952" s="22"/>
    </row>
    <row r="1953" spans="3:18" ht="16">
      <c r="C1953" s="19"/>
      <c r="D1953" s="20"/>
      <c r="E1953" s="21"/>
      <c r="F1953" s="21"/>
      <c r="G1953" s="22"/>
      <c r="H1953" s="22"/>
      <c r="I1953" s="22"/>
      <c r="K1953" s="22"/>
      <c r="N1953" s="25"/>
      <c r="O1953" s="25"/>
      <c r="R1953" s="22"/>
    </row>
    <row r="1954" spans="3:18" ht="16">
      <c r="C1954" s="19"/>
      <c r="D1954" s="20"/>
      <c r="E1954" s="21"/>
      <c r="F1954" s="21"/>
      <c r="G1954" s="22"/>
      <c r="H1954" s="22"/>
      <c r="I1954" s="22"/>
      <c r="K1954" s="22"/>
      <c r="N1954" s="25"/>
      <c r="O1954" s="25"/>
      <c r="R1954" s="22"/>
    </row>
    <row r="1955" spans="3:18" ht="16">
      <c r="C1955" s="19"/>
      <c r="D1955" s="20"/>
      <c r="E1955" s="21"/>
      <c r="F1955" s="21"/>
      <c r="G1955" s="22"/>
      <c r="H1955" s="22"/>
      <c r="I1955" s="22"/>
      <c r="K1955" s="22"/>
      <c r="N1955" s="25"/>
      <c r="O1955" s="25"/>
      <c r="R1955" s="22"/>
    </row>
    <row r="1956" spans="3:18" ht="16">
      <c r="C1956" s="19"/>
      <c r="D1956" s="20"/>
      <c r="E1956" s="21"/>
      <c r="F1956" s="21"/>
      <c r="G1956" s="22"/>
      <c r="H1956" s="22"/>
      <c r="I1956" s="22"/>
      <c r="K1956" s="22"/>
      <c r="N1956" s="25"/>
      <c r="O1956" s="25"/>
      <c r="R1956" s="22"/>
    </row>
    <row r="1957" spans="3:18" ht="16">
      <c r="C1957" s="19"/>
      <c r="D1957" s="20"/>
      <c r="E1957" s="21"/>
      <c r="F1957" s="21"/>
      <c r="G1957" s="22"/>
      <c r="H1957" s="22"/>
      <c r="I1957" s="22"/>
      <c r="K1957" s="22"/>
      <c r="N1957" s="25"/>
      <c r="O1957" s="25"/>
      <c r="R1957" s="22"/>
    </row>
    <row r="1958" spans="3:18" ht="16">
      <c r="C1958" s="19"/>
      <c r="D1958" s="20"/>
      <c r="E1958" s="21"/>
      <c r="F1958" s="21"/>
      <c r="G1958" s="22"/>
      <c r="H1958" s="22"/>
      <c r="I1958" s="22"/>
      <c r="K1958" s="22"/>
      <c r="N1958" s="25"/>
      <c r="O1958" s="25"/>
      <c r="R1958" s="22"/>
    </row>
    <row r="1959" spans="3:18" ht="16">
      <c r="C1959" s="19"/>
      <c r="D1959" s="20"/>
      <c r="E1959" s="21"/>
      <c r="F1959" s="21"/>
      <c r="G1959" s="22"/>
      <c r="H1959" s="22"/>
      <c r="I1959" s="22"/>
      <c r="K1959" s="22"/>
      <c r="N1959" s="25"/>
      <c r="O1959" s="25"/>
      <c r="R1959" s="22"/>
    </row>
    <row r="1960" spans="3:18" ht="16">
      <c r="C1960" s="19"/>
      <c r="D1960" s="20"/>
      <c r="E1960" s="21"/>
      <c r="F1960" s="21"/>
      <c r="G1960" s="22"/>
      <c r="H1960" s="22"/>
      <c r="I1960" s="22"/>
      <c r="K1960" s="22"/>
      <c r="N1960" s="25"/>
      <c r="O1960" s="25"/>
      <c r="R1960" s="22"/>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Revenue</vt:lpstr>
      <vt:lpstr>Links</vt:lpstr>
      <vt:lpstr>ChainNodes</vt:lpstr>
      <vt:lpstr>ChainLinks</vt:lpstr>
      <vt:lpstr>ChainStocks</vt:lpstr>
      <vt:lpstr>README</vt:lpstr>
      <vt:lpstr>營收表現</vt:lpstr>
      <vt:lpstr>類別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burne</cp:lastModifiedBy>
  <dcterms:created xsi:type="dcterms:W3CDTF">2026-01-30T08:16:41Z</dcterms:created>
  <dcterms:modified xsi:type="dcterms:W3CDTF">2026-02-11T06:07:03Z</dcterms:modified>
</cp:coreProperties>
</file>